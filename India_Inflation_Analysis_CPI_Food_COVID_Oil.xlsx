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6.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7.xml" ContentType="application/vnd.openxmlformats-officedocument.drawingml.chartshapes+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0.xml" ContentType="application/vnd.openxmlformats-officedocument.drawingml.chartshapes+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1.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12.xml" ContentType="application/vnd.openxmlformats-officedocument.drawing+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166925"/>
  <mc:AlternateContent xmlns:mc="http://schemas.openxmlformats.org/markup-compatibility/2006">
    <mc:Choice Requires="x15">
      <x15ac:absPath xmlns:x15ac="http://schemas.microsoft.com/office/spreadsheetml/2010/11/ac" url="/Users/muskanlagwal/Downloads/"/>
    </mc:Choice>
  </mc:AlternateContent>
  <xr:revisionPtr revIDLastSave="0" documentId="13_ncr:1_{C319D1B8-6E9F-324A-8F8B-3C1644859DF3}" xr6:coauthVersionLast="47" xr6:coauthVersionMax="47" xr10:uidLastSave="{00000000-0000-0000-0000-000000000000}"/>
  <bookViews>
    <workbookView xWindow="0" yWindow="660" windowWidth="29400" windowHeight="18460" activeTab="5" xr2:uid="{D5719C98-3370-9A4C-B401-468799F59149}"/>
  </bookViews>
  <sheets>
    <sheet name="All_India_Index_Upto_April23 (1" sheetId="2" r:id="rId1"/>
    <sheet name="Inflation_Dashboard" sheetId="26" r:id="rId2"/>
    <sheet name="Q1_Contribution_Analysis" sheetId="4" r:id="rId3"/>
    <sheet name="Sheet6" sheetId="16" state="hidden" r:id="rId4"/>
    <sheet name="Sheet7" sheetId="17" state="hidden" r:id="rId5"/>
    <sheet name="Q2_YoY_Inflation_Trend" sheetId="18" r:id="rId6"/>
    <sheet name="Sheet2" sheetId="19" state="hidden" r:id="rId7"/>
    <sheet name="Q3_Food_Inflation" sheetId="20" r:id="rId8"/>
    <sheet name="Sheet8" sheetId="21" state="hidden" r:id="rId9"/>
    <sheet name="Q4_COVID_Inflation_Analysis" sheetId="22" r:id="rId10"/>
    <sheet name="Sheet3" sheetId="23" state="hidden" r:id="rId11"/>
    <sheet name="Sheet4" sheetId="24" state="hidden" r:id="rId12"/>
    <sheet name="Q5_Final_Insights" sheetId="25" r:id="rId13"/>
    <sheet name="Q3_Food_" sheetId="7" state="hidden" r:id="rId14"/>
    <sheet name="Contribution" sheetId="3" state="hidden" r:id="rId15"/>
  </sheets>
  <definedNames>
    <definedName name="ExternalData_1" localSheetId="0" hidden="1">'All_India_Index_Upto_April23 (1'!$A$1:$AE$373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3" i="17" l="1"/>
  <c r="I3" i="17"/>
  <c r="C28" i="19" a="1"/>
  <c r="C28" i="19" s="1"/>
  <c r="F3" i="23"/>
  <c r="F4" i="23"/>
  <c r="F5" i="23"/>
  <c r="F6" i="23"/>
  <c r="F7" i="23"/>
  <c r="F8" i="23"/>
  <c r="F9" i="23"/>
  <c r="F10" i="23"/>
  <c r="F11" i="23"/>
  <c r="F12" i="23"/>
  <c r="F13" i="23"/>
  <c r="F14" i="23"/>
  <c r="F15" i="23"/>
  <c r="F16" i="23"/>
  <c r="F17" i="23"/>
  <c r="F18" i="23"/>
  <c r="F19" i="23"/>
  <c r="F20" i="23"/>
  <c r="F21" i="23"/>
  <c r="F22" i="23"/>
  <c r="F23" i="23"/>
  <c r="F24" i="23"/>
  <c r="F25" i="23"/>
  <c r="F26" i="23"/>
  <c r="F27" i="23"/>
  <c r="F28" i="23"/>
  <c r="F29" i="23"/>
  <c r="F30" i="23"/>
  <c r="F31" i="23"/>
  <c r="F32" i="23"/>
  <c r="F33" i="23"/>
  <c r="F34" i="23"/>
  <c r="F35" i="23"/>
  <c r="F36" i="23"/>
  <c r="F37" i="23"/>
  <c r="F38" i="23"/>
  <c r="F39" i="23"/>
  <c r="F40" i="23"/>
  <c r="F41" i="23"/>
  <c r="F42" i="23"/>
  <c r="F43" i="23"/>
  <c r="F44" i="23"/>
  <c r="F45" i="23"/>
  <c r="F46" i="23"/>
  <c r="F47" i="23"/>
  <c r="F48" i="23"/>
  <c r="F49" i="23"/>
  <c r="F50" i="23"/>
  <c r="F51" i="23"/>
  <c r="F52" i="23"/>
  <c r="F53" i="23"/>
  <c r="F54" i="23"/>
  <c r="F55" i="23"/>
  <c r="F56" i="23"/>
  <c r="F57" i="23"/>
  <c r="F58" i="23"/>
  <c r="F59" i="23"/>
  <c r="F60" i="23"/>
  <c r="F61" i="23"/>
  <c r="F62" i="23"/>
  <c r="F63" i="23"/>
  <c r="F64" i="23"/>
  <c r="F65" i="23"/>
  <c r="F66" i="23"/>
  <c r="F67" i="23"/>
  <c r="F68" i="23"/>
  <c r="F69" i="23"/>
  <c r="F70" i="23"/>
  <c r="F71" i="23"/>
  <c r="F72" i="23"/>
  <c r="F73" i="23"/>
  <c r="F74" i="23"/>
  <c r="F75" i="23"/>
  <c r="F76" i="23"/>
  <c r="F2" i="23"/>
  <c r="L77" i="23" a="1"/>
  <c r="L77" i="23" s="1"/>
  <c r="J77" i="23" a="1"/>
  <c r="J77" i="23" s="1"/>
  <c r="I77" i="23" a="1"/>
  <c r="I77" i="23" s="1"/>
  <c r="G77" i="23"/>
  <c r="L76" i="23" a="1"/>
  <c r="L76" i="23" s="1"/>
  <c r="J76" i="23" a="1"/>
  <c r="J76" i="23"/>
  <c r="I76" i="23" a="1"/>
  <c r="I76" i="23" s="1"/>
  <c r="G76" i="23"/>
  <c r="L75" i="23" a="1"/>
  <c r="L75" i="23" s="1"/>
  <c r="J75" i="23" a="1"/>
  <c r="J75" i="23" s="1"/>
  <c r="I75" i="23" a="1"/>
  <c r="I75" i="23" s="1"/>
  <c r="G75" i="23"/>
  <c r="L74" i="23" a="1"/>
  <c r="L74" i="23" s="1"/>
  <c r="J74" i="23" a="1"/>
  <c r="J74" i="23" s="1"/>
  <c r="I74" i="23" a="1"/>
  <c r="I74" i="23" s="1"/>
  <c r="G74" i="23"/>
  <c r="L73" i="23" a="1"/>
  <c r="L73" i="23" s="1"/>
  <c r="J73" i="23" a="1"/>
  <c r="J73" i="23"/>
  <c r="I73" i="23" a="1"/>
  <c r="I73" i="23" s="1"/>
  <c r="K73" i="23" s="1"/>
  <c r="G73" i="23"/>
  <c r="L72" i="23" a="1"/>
  <c r="L72" i="23" s="1"/>
  <c r="J72" i="23" a="1"/>
  <c r="J72" i="23" s="1"/>
  <c r="I72" i="23" a="1"/>
  <c r="I72" i="23" s="1"/>
  <c r="G72" i="23"/>
  <c r="L71" i="23" a="1"/>
  <c r="L71" i="23" s="1"/>
  <c r="J71" i="23" a="1"/>
  <c r="J71" i="23" s="1"/>
  <c r="I71" i="23" a="1"/>
  <c r="I71" i="23" s="1"/>
  <c r="G71" i="23"/>
  <c r="L70" i="23" a="1"/>
  <c r="L70" i="23" s="1"/>
  <c r="J70" i="23" a="1"/>
  <c r="J70" i="23" s="1"/>
  <c r="I70" i="23" a="1"/>
  <c r="I70" i="23" s="1"/>
  <c r="K70" i="23" s="1"/>
  <c r="G70" i="23"/>
  <c r="L69" i="23" a="1"/>
  <c r="L69" i="23" s="1"/>
  <c r="J69" i="23" a="1"/>
  <c r="J69" i="23" s="1"/>
  <c r="I69" i="23" a="1"/>
  <c r="I69" i="23" s="1"/>
  <c r="G69" i="23"/>
  <c r="L68" i="23" a="1"/>
  <c r="L68" i="23" s="1"/>
  <c r="J68" i="23" a="1"/>
  <c r="J68" i="23" s="1"/>
  <c r="I68" i="23" a="1"/>
  <c r="I68" i="23" s="1"/>
  <c r="K68" i="23" s="1"/>
  <c r="G68" i="23"/>
  <c r="L67" i="23" a="1"/>
  <c r="L67" i="23" s="1"/>
  <c r="J67" i="23" a="1"/>
  <c r="J67" i="23" s="1"/>
  <c r="I67" i="23" a="1"/>
  <c r="I67" i="23" s="1"/>
  <c r="G67" i="23"/>
  <c r="L66" i="23" a="1"/>
  <c r="L66" i="23" s="1"/>
  <c r="J66" i="23" a="1"/>
  <c r="J66" i="23" s="1"/>
  <c r="I66" i="23" a="1"/>
  <c r="I66" i="23" s="1"/>
  <c r="K66" i="23" s="1"/>
  <c r="G66" i="23"/>
  <c r="L65" i="23" a="1"/>
  <c r="L65" i="23" s="1"/>
  <c r="J65" i="23" a="1"/>
  <c r="J65" i="23" s="1"/>
  <c r="I65" i="23" a="1"/>
  <c r="I65" i="23" s="1"/>
  <c r="G65" i="23"/>
  <c r="L64" i="23" a="1"/>
  <c r="L64" i="23" s="1"/>
  <c r="J64" i="23" a="1"/>
  <c r="J64" i="23" s="1"/>
  <c r="I64" i="23" a="1"/>
  <c r="I64" i="23" s="1"/>
  <c r="K64" i="23" s="1"/>
  <c r="G64" i="23"/>
  <c r="L63" i="23" a="1"/>
  <c r="L63" i="23" s="1"/>
  <c r="J63" i="23" a="1"/>
  <c r="J63" i="23" s="1"/>
  <c r="I63" i="23" a="1"/>
  <c r="I63" i="23" s="1"/>
  <c r="G63" i="23"/>
  <c r="L62" i="23" a="1"/>
  <c r="L62" i="23" s="1"/>
  <c r="J62" i="23" a="1"/>
  <c r="J62" i="23" s="1"/>
  <c r="I62" i="23" a="1"/>
  <c r="I62" i="23" s="1"/>
  <c r="K62" i="23" s="1"/>
  <c r="G62" i="23"/>
  <c r="L61" i="23" a="1"/>
  <c r="L61" i="23" s="1"/>
  <c r="J61" i="23" a="1"/>
  <c r="J61" i="23" s="1"/>
  <c r="I61" i="23" a="1"/>
  <c r="I61" i="23" s="1"/>
  <c r="G61" i="23"/>
  <c r="L60" i="23" a="1"/>
  <c r="L60" i="23" s="1"/>
  <c r="J60" i="23" a="1"/>
  <c r="J60" i="23" s="1"/>
  <c r="I60" i="23" a="1"/>
  <c r="I60" i="23" s="1"/>
  <c r="K60" i="23" s="1"/>
  <c r="G60" i="23"/>
  <c r="L59" i="23" a="1"/>
  <c r="L59" i="23" s="1"/>
  <c r="J59" i="23" a="1"/>
  <c r="J59" i="23" s="1"/>
  <c r="I59" i="23" a="1"/>
  <c r="I59" i="23" s="1"/>
  <c r="G59" i="23"/>
  <c r="L58" i="23" a="1"/>
  <c r="L58" i="23" s="1"/>
  <c r="J58" i="23" a="1"/>
  <c r="J58" i="23" s="1"/>
  <c r="I58" i="23" a="1"/>
  <c r="I58" i="23" s="1"/>
  <c r="K58" i="23" s="1"/>
  <c r="G58" i="23"/>
  <c r="L57" i="23" a="1"/>
  <c r="L57" i="23" s="1"/>
  <c r="J57" i="23" a="1"/>
  <c r="J57" i="23" s="1"/>
  <c r="I57" i="23" a="1"/>
  <c r="I57" i="23" s="1"/>
  <c r="G57" i="23"/>
  <c r="L56" i="23" a="1"/>
  <c r="L56" i="23" s="1"/>
  <c r="J56" i="23" a="1"/>
  <c r="J56" i="23" s="1"/>
  <c r="I56" i="23" a="1"/>
  <c r="I56" i="23" s="1"/>
  <c r="K56" i="23" s="1"/>
  <c r="G56" i="23"/>
  <c r="L55" i="23" a="1"/>
  <c r="L55" i="23" s="1"/>
  <c r="J55" i="23" a="1"/>
  <c r="J55" i="23" s="1"/>
  <c r="I55" i="23" a="1"/>
  <c r="I55" i="23" s="1"/>
  <c r="G55" i="23"/>
  <c r="L54" i="23" a="1"/>
  <c r="L54" i="23" s="1"/>
  <c r="J54" i="23" a="1"/>
  <c r="J54" i="23" s="1"/>
  <c r="I54" i="23" a="1"/>
  <c r="I54" i="23" s="1"/>
  <c r="K54" i="23" s="1"/>
  <c r="G54" i="23"/>
  <c r="L53" i="23" a="1"/>
  <c r="L53" i="23" s="1"/>
  <c r="J53" i="23" a="1"/>
  <c r="J53" i="23" s="1"/>
  <c r="I53" i="23" a="1"/>
  <c r="I53" i="23" s="1"/>
  <c r="G53" i="23"/>
  <c r="L52" i="23" a="1"/>
  <c r="L52" i="23" s="1"/>
  <c r="J52" i="23" a="1"/>
  <c r="J52" i="23" s="1"/>
  <c r="I52" i="23" a="1"/>
  <c r="I52" i="23" s="1"/>
  <c r="G52" i="23"/>
  <c r="L51" i="23" a="1"/>
  <c r="L51" i="23" s="1"/>
  <c r="J51" i="23" a="1"/>
  <c r="J51" i="23" s="1"/>
  <c r="I51" i="23" a="1"/>
  <c r="I51" i="23" s="1"/>
  <c r="G51" i="23"/>
  <c r="L50" i="23" a="1"/>
  <c r="L50" i="23" s="1"/>
  <c r="J50" i="23" a="1"/>
  <c r="J50" i="23" s="1"/>
  <c r="I50" i="23" a="1"/>
  <c r="I50" i="23" s="1"/>
  <c r="K50" i="23" s="1"/>
  <c r="G50" i="23"/>
  <c r="L49" i="23" a="1"/>
  <c r="L49" i="23" s="1"/>
  <c r="J49" i="23" a="1"/>
  <c r="J49" i="23" s="1"/>
  <c r="I49" i="23" a="1"/>
  <c r="I49" i="23" s="1"/>
  <c r="G49" i="23"/>
  <c r="L48" i="23" a="1"/>
  <c r="L48" i="23" s="1"/>
  <c r="J48" i="23" a="1"/>
  <c r="J48" i="23" s="1"/>
  <c r="I48" i="23" a="1"/>
  <c r="I48" i="23" s="1"/>
  <c r="K48" i="23" s="1"/>
  <c r="G48" i="23"/>
  <c r="L47" i="23" a="1"/>
  <c r="L47" i="23" s="1"/>
  <c r="J47" i="23" a="1"/>
  <c r="J47" i="23" s="1"/>
  <c r="I47" i="23" a="1"/>
  <c r="I47" i="23" s="1"/>
  <c r="G47" i="23"/>
  <c r="L46" i="23" a="1"/>
  <c r="L46" i="23" s="1"/>
  <c r="J46" i="23" a="1"/>
  <c r="J46" i="23" s="1"/>
  <c r="I46" i="23" a="1"/>
  <c r="I46" i="23" s="1"/>
  <c r="K46" i="23" s="1"/>
  <c r="G46" i="23"/>
  <c r="L45" i="23" a="1"/>
  <c r="L45" i="23" s="1"/>
  <c r="J45" i="23" a="1"/>
  <c r="J45" i="23" s="1"/>
  <c r="I45" i="23" a="1"/>
  <c r="I45" i="23" s="1"/>
  <c r="G45" i="23"/>
  <c r="L44" i="23" a="1"/>
  <c r="L44" i="23" s="1"/>
  <c r="J44" i="23" a="1"/>
  <c r="J44" i="23" s="1"/>
  <c r="I44" i="23" a="1"/>
  <c r="I44" i="23" s="1"/>
  <c r="K44" i="23" s="1"/>
  <c r="G44" i="23"/>
  <c r="L43" i="23" a="1"/>
  <c r="L43" i="23" s="1"/>
  <c r="J43" i="23" a="1"/>
  <c r="J43" i="23" s="1"/>
  <c r="I43" i="23" a="1"/>
  <c r="I43" i="23" s="1"/>
  <c r="G43" i="23"/>
  <c r="L42" i="23" a="1"/>
  <c r="L42" i="23" s="1"/>
  <c r="J42" i="23" a="1"/>
  <c r="J42" i="23" s="1"/>
  <c r="I42" i="23" a="1"/>
  <c r="I42" i="23" s="1"/>
  <c r="K42" i="23" s="1"/>
  <c r="G42" i="23"/>
  <c r="L41" i="23" a="1"/>
  <c r="L41" i="23" s="1"/>
  <c r="J41" i="23" a="1"/>
  <c r="J41" i="23" s="1"/>
  <c r="I41" i="23" a="1"/>
  <c r="I41" i="23" s="1"/>
  <c r="G41" i="23"/>
  <c r="L40" i="23" a="1"/>
  <c r="L40" i="23" s="1"/>
  <c r="J40" i="23" a="1"/>
  <c r="J40" i="23" s="1"/>
  <c r="I40" i="23" a="1"/>
  <c r="I40" i="23" s="1"/>
  <c r="K40" i="23" s="1"/>
  <c r="G40" i="23"/>
  <c r="L39" i="23" a="1"/>
  <c r="L39" i="23" s="1"/>
  <c r="J39" i="23" a="1"/>
  <c r="J39" i="23" s="1"/>
  <c r="I39" i="23" a="1"/>
  <c r="I39" i="23" s="1"/>
  <c r="G39" i="23"/>
  <c r="G3" i="23"/>
  <c r="G4" i="23"/>
  <c r="G5" i="23"/>
  <c r="G6" i="23"/>
  <c r="G7" i="23"/>
  <c r="G8" i="23"/>
  <c r="G9" i="23"/>
  <c r="G10" i="23"/>
  <c r="G11" i="23"/>
  <c r="G12" i="23"/>
  <c r="G13" i="23"/>
  <c r="G14" i="23"/>
  <c r="G15" i="23"/>
  <c r="G16" i="23"/>
  <c r="G17" i="23"/>
  <c r="G18" i="23"/>
  <c r="G19" i="23"/>
  <c r="G20" i="23"/>
  <c r="G21" i="23"/>
  <c r="G22" i="23"/>
  <c r="G23" i="23"/>
  <c r="G24" i="23"/>
  <c r="G25" i="23"/>
  <c r="G26" i="23"/>
  <c r="G27" i="23"/>
  <c r="G28" i="23"/>
  <c r="G29" i="23"/>
  <c r="G30" i="23"/>
  <c r="G31" i="23"/>
  <c r="G32" i="23"/>
  <c r="G33" i="23"/>
  <c r="G34" i="23"/>
  <c r="G35" i="23"/>
  <c r="G36" i="23"/>
  <c r="G37" i="23"/>
  <c r="G38" i="23"/>
  <c r="G2" i="23"/>
  <c r="AE5" i="23"/>
  <c r="AE4" i="23"/>
  <c r="AE3" i="23"/>
  <c r="AE2" i="23"/>
  <c r="E77" i="23"/>
  <c r="S3" i="23" a="1"/>
  <c r="S3" i="23" s="1"/>
  <c r="S4" i="23" a="1"/>
  <c r="S4" i="23" s="1"/>
  <c r="S5" i="23" a="1"/>
  <c r="S5" i="23" s="1"/>
  <c r="S6" i="23" a="1"/>
  <c r="S6" i="23" s="1"/>
  <c r="S7" i="23" a="1"/>
  <c r="S7" i="23" s="1"/>
  <c r="S8" i="23" a="1"/>
  <c r="S8" i="23" s="1"/>
  <c r="S9" i="23" a="1"/>
  <c r="S9" i="23" s="1"/>
  <c r="S10" i="23" a="1"/>
  <c r="S10" i="23" s="1"/>
  <c r="S11" i="23" a="1"/>
  <c r="S11" i="23" s="1"/>
  <c r="S12" i="23" a="1"/>
  <c r="S12" i="23" s="1"/>
  <c r="S13" i="23" a="1"/>
  <c r="S13" i="23" s="1"/>
  <c r="S14" i="23" a="1"/>
  <c r="S14" i="23" s="1"/>
  <c r="S15" i="23" a="1"/>
  <c r="S15" i="23" s="1"/>
  <c r="S16" i="23" a="1"/>
  <c r="S16" i="23" s="1"/>
  <c r="S17" i="23" a="1"/>
  <c r="S17" i="23"/>
  <c r="S18" i="23" a="1"/>
  <c r="S18" i="23" s="1"/>
  <c r="S19" i="23" a="1"/>
  <c r="S19" i="23" s="1"/>
  <c r="S20" i="23" a="1"/>
  <c r="S20" i="23" s="1"/>
  <c r="S21" i="23" a="1"/>
  <c r="S21" i="23" s="1"/>
  <c r="S22" i="23" a="1"/>
  <c r="S22" i="23" s="1"/>
  <c r="S23" i="23" a="1"/>
  <c r="S23" i="23" s="1"/>
  <c r="S24" i="23" a="1"/>
  <c r="S24" i="23" s="1"/>
  <c r="S25" i="23" a="1"/>
  <c r="S25" i="23" s="1"/>
  <c r="S26" i="23" a="1"/>
  <c r="S26" i="23" s="1"/>
  <c r="S27" i="23" a="1"/>
  <c r="S27" i="23" s="1"/>
  <c r="S28" i="23" a="1"/>
  <c r="S28" i="23" s="1"/>
  <c r="S29" i="23" a="1"/>
  <c r="S29" i="23" s="1"/>
  <c r="S30" i="23" a="1"/>
  <c r="S30" i="23" s="1"/>
  <c r="S31" i="23" a="1"/>
  <c r="S31" i="23" s="1"/>
  <c r="S32" i="23" a="1"/>
  <c r="S32" i="23" s="1"/>
  <c r="S33" i="23" a="1"/>
  <c r="S33" i="23" s="1"/>
  <c r="S34" i="23" a="1"/>
  <c r="S34" i="23" s="1"/>
  <c r="S35" i="23" a="1"/>
  <c r="S35" i="23" s="1"/>
  <c r="S36" i="23" a="1"/>
  <c r="S36" i="23" s="1"/>
  <c r="S37" i="23" a="1"/>
  <c r="S37" i="23" s="1"/>
  <c r="S38" i="23" a="1"/>
  <c r="S38" i="23" s="1"/>
  <c r="S39" i="23" a="1"/>
  <c r="S39" i="23" s="1"/>
  <c r="S40" i="23" a="1"/>
  <c r="S40" i="23" s="1"/>
  <c r="S41" i="23" a="1"/>
  <c r="S41" i="23" s="1"/>
  <c r="S42" i="23" a="1"/>
  <c r="S42" i="23" s="1"/>
  <c r="S43" i="23" a="1"/>
  <c r="S43" i="23" s="1"/>
  <c r="S44" i="23" a="1"/>
  <c r="S44" i="23" s="1"/>
  <c r="S45" i="23" a="1"/>
  <c r="S45" i="23" s="1"/>
  <c r="S46" i="23" a="1"/>
  <c r="S46" i="23" s="1"/>
  <c r="S47" i="23" a="1"/>
  <c r="S47" i="23" s="1"/>
  <c r="S48" i="23" a="1"/>
  <c r="S48" i="23" s="1"/>
  <c r="S49" i="23" a="1"/>
  <c r="S49" i="23" s="1"/>
  <c r="S50" i="23" a="1"/>
  <c r="S50" i="23" s="1"/>
  <c r="S51" i="23" a="1"/>
  <c r="S51" i="23" s="1"/>
  <c r="S52" i="23" a="1"/>
  <c r="S52" i="23" s="1"/>
  <c r="S53" i="23" a="1"/>
  <c r="S53" i="23" s="1"/>
  <c r="S54" i="23" a="1"/>
  <c r="S54" i="23" s="1"/>
  <c r="S55" i="23" a="1"/>
  <c r="S55" i="23" s="1"/>
  <c r="S56" i="23" a="1"/>
  <c r="S56" i="23" s="1"/>
  <c r="S57" i="23" a="1"/>
  <c r="S57" i="23" s="1"/>
  <c r="S58" i="23" a="1"/>
  <c r="S58" i="23" s="1"/>
  <c r="S59" i="23" a="1"/>
  <c r="S59" i="23" s="1"/>
  <c r="S60" i="23" a="1"/>
  <c r="S60" i="23" s="1"/>
  <c r="S61" i="23" a="1"/>
  <c r="S61" i="23" s="1"/>
  <c r="S62" i="23" a="1"/>
  <c r="S62" i="23" s="1"/>
  <c r="S63" i="23" a="1"/>
  <c r="S63" i="23" s="1"/>
  <c r="S64" i="23" a="1"/>
  <c r="S64" i="23" s="1"/>
  <c r="S65" i="23" a="1"/>
  <c r="S65" i="23" s="1"/>
  <c r="S66" i="23" a="1"/>
  <c r="S66" i="23" s="1"/>
  <c r="S67" i="23" a="1"/>
  <c r="S67" i="23" s="1"/>
  <c r="S68" i="23" a="1"/>
  <c r="S68" i="23" s="1"/>
  <c r="S69" i="23" a="1"/>
  <c r="S69" i="23" s="1"/>
  <c r="S70" i="23" a="1"/>
  <c r="S70" i="23" s="1"/>
  <c r="S71" i="23" a="1"/>
  <c r="S71" i="23" s="1"/>
  <c r="S72" i="23" a="1"/>
  <c r="S72" i="23" s="1"/>
  <c r="S73" i="23" a="1"/>
  <c r="S73" i="23" s="1"/>
  <c r="S74" i="23" a="1"/>
  <c r="S74" i="23" s="1"/>
  <c r="S75" i="23" a="1"/>
  <c r="S75" i="23" s="1"/>
  <c r="S76" i="23" a="1"/>
  <c r="S76" i="23" s="1"/>
  <c r="S77" i="23" a="1"/>
  <c r="S77" i="23" s="1"/>
  <c r="S2" i="23" a="1"/>
  <c r="S2" i="23" s="1"/>
  <c r="R3" i="23" a="1"/>
  <c r="R3" i="23" s="1"/>
  <c r="T3" i="23" s="1"/>
  <c r="R4" i="23" a="1"/>
  <c r="R4" i="23" s="1"/>
  <c r="T4" i="23" s="1"/>
  <c r="R5" i="23" a="1"/>
  <c r="R5" i="23" s="1"/>
  <c r="T5" i="23" s="1"/>
  <c r="R6" i="23" a="1"/>
  <c r="R6" i="23" s="1"/>
  <c r="R7" i="23" a="1"/>
  <c r="R7" i="23" s="1"/>
  <c r="T7" i="23" s="1"/>
  <c r="R8" i="23" a="1"/>
  <c r="R8" i="23" s="1"/>
  <c r="R9" i="23" a="1"/>
  <c r="R9" i="23" s="1"/>
  <c r="R10" i="23" a="1"/>
  <c r="R10" i="23" s="1"/>
  <c r="T10" i="23" s="1"/>
  <c r="R11" i="23" a="1"/>
  <c r="R11" i="23" s="1"/>
  <c r="T11" i="23" s="1"/>
  <c r="R12" i="23" a="1"/>
  <c r="R12" i="23" s="1"/>
  <c r="R13" i="23" a="1"/>
  <c r="R13" i="23" s="1"/>
  <c r="R14" i="23" a="1"/>
  <c r="R14" i="23" s="1"/>
  <c r="R15" i="23" a="1"/>
  <c r="R15" i="23" s="1"/>
  <c r="T15" i="23" s="1"/>
  <c r="R16" i="23" a="1"/>
  <c r="R16" i="23" s="1"/>
  <c r="R17" i="23" a="1"/>
  <c r="R17" i="23" s="1"/>
  <c r="T17" i="23" s="1"/>
  <c r="R18" i="23" a="1"/>
  <c r="R18" i="23" s="1"/>
  <c r="R19" i="23" a="1"/>
  <c r="R19" i="23" s="1"/>
  <c r="R20" i="23" a="1"/>
  <c r="R20" i="23" s="1"/>
  <c r="R21" i="23" a="1"/>
  <c r="R21" i="23" s="1"/>
  <c r="T21" i="23" s="1"/>
  <c r="R22" i="23" a="1"/>
  <c r="R22" i="23" s="1"/>
  <c r="T22" i="23" s="1"/>
  <c r="R23" i="23" a="1"/>
  <c r="R23" i="23" s="1"/>
  <c r="T23" i="23" s="1"/>
  <c r="R24" i="23" a="1"/>
  <c r="R24" i="23" s="1"/>
  <c r="T24" i="23" s="1"/>
  <c r="R25" i="23" a="1"/>
  <c r="R25" i="23" s="1"/>
  <c r="R26" i="23" a="1"/>
  <c r="R26" i="23" s="1"/>
  <c r="R27" i="23" a="1"/>
  <c r="R27" i="23" s="1"/>
  <c r="R28" i="23" a="1"/>
  <c r="R28" i="23" s="1"/>
  <c r="T28" i="23" s="1"/>
  <c r="R29" i="23" a="1"/>
  <c r="R29" i="23" s="1"/>
  <c r="T29" i="23" s="1"/>
  <c r="R30" i="23" a="1"/>
  <c r="R30" i="23" s="1"/>
  <c r="T30" i="23" s="1"/>
  <c r="R31" i="23" a="1"/>
  <c r="R31" i="23" s="1"/>
  <c r="T31" i="23" s="1"/>
  <c r="R32" i="23" a="1"/>
  <c r="R32" i="23" s="1"/>
  <c r="T32" i="23" s="1"/>
  <c r="R33" i="23" a="1"/>
  <c r="R33" i="23" s="1"/>
  <c r="T33" i="23" s="1"/>
  <c r="R34" i="23" a="1"/>
  <c r="R34" i="23" s="1"/>
  <c r="R35" i="23" a="1"/>
  <c r="R35" i="23" s="1"/>
  <c r="R36" i="23" a="1"/>
  <c r="R36" i="23" s="1"/>
  <c r="T36" i="23" s="1"/>
  <c r="R37" i="23" a="1"/>
  <c r="R37" i="23" s="1"/>
  <c r="T37" i="23" s="1"/>
  <c r="R38" i="23" a="1"/>
  <c r="R38" i="23" s="1"/>
  <c r="R39" i="23" a="1"/>
  <c r="R39" i="23" s="1"/>
  <c r="T39" i="23" s="1"/>
  <c r="R40" i="23" a="1"/>
  <c r="R40" i="23" s="1"/>
  <c r="R41" i="23" a="1"/>
  <c r="R41" i="23" s="1"/>
  <c r="T41" i="23" s="1"/>
  <c r="R42" i="23" a="1"/>
  <c r="R42" i="23" s="1"/>
  <c r="T42" i="23" s="1"/>
  <c r="R43" i="23" a="1"/>
  <c r="R43" i="23" s="1"/>
  <c r="R44" i="23" a="1"/>
  <c r="R44" i="23" s="1"/>
  <c r="T44" i="23" s="1"/>
  <c r="R45" i="23" a="1"/>
  <c r="R45" i="23" s="1"/>
  <c r="R46" i="23" a="1"/>
  <c r="R46" i="23" s="1"/>
  <c r="T46" i="23" s="1"/>
  <c r="R47" i="23" a="1"/>
  <c r="R47" i="23" s="1"/>
  <c r="T47" i="23" s="1"/>
  <c r="R48" i="23" a="1"/>
  <c r="R48" i="23" s="1"/>
  <c r="T48" i="23" s="1"/>
  <c r="R49" i="23" a="1"/>
  <c r="R49" i="23" s="1"/>
  <c r="R50" i="23" a="1"/>
  <c r="R50" i="23" s="1"/>
  <c r="R51" i="23" a="1"/>
  <c r="R51" i="23" s="1"/>
  <c r="T51" i="23" s="1"/>
  <c r="R52" i="23" a="1"/>
  <c r="R52" i="23" s="1"/>
  <c r="T52" i="23" s="1"/>
  <c r="R53" i="23" a="1"/>
  <c r="R53" i="23" s="1"/>
  <c r="R54" i="23" a="1"/>
  <c r="R54" i="23" s="1"/>
  <c r="R55" i="23" a="1"/>
  <c r="R55" i="23" s="1"/>
  <c r="T55" i="23" s="1"/>
  <c r="R56" i="23" a="1"/>
  <c r="R56" i="23" s="1"/>
  <c r="T56" i="23" s="1"/>
  <c r="R57" i="23" a="1"/>
  <c r="R57" i="23" s="1"/>
  <c r="R58" i="23" a="1"/>
  <c r="R58" i="23" s="1"/>
  <c r="R59" i="23" a="1"/>
  <c r="R59" i="23" s="1"/>
  <c r="T59" i="23" s="1"/>
  <c r="R60" i="23" a="1"/>
  <c r="R60" i="23" s="1"/>
  <c r="T60" i="23" s="1"/>
  <c r="R61" i="23" a="1"/>
  <c r="R61" i="23" s="1"/>
  <c r="R62" i="23" a="1"/>
  <c r="R62" i="23" s="1"/>
  <c r="T62" i="23" s="1"/>
  <c r="R63" i="23" a="1"/>
  <c r="R63" i="23" s="1"/>
  <c r="T63" i="23" s="1"/>
  <c r="R64" i="23" a="1"/>
  <c r="R64" i="23" s="1"/>
  <c r="T64" i="23" s="1"/>
  <c r="R65" i="23" a="1"/>
  <c r="R65" i="23" s="1"/>
  <c r="R66" i="23" a="1"/>
  <c r="R66" i="23" s="1"/>
  <c r="R67" i="23" a="1"/>
  <c r="R67" i="23" s="1"/>
  <c r="T67" i="23" s="1"/>
  <c r="R68" i="23" a="1"/>
  <c r="R68" i="23" s="1"/>
  <c r="T68" i="23" s="1"/>
  <c r="R69" i="23" a="1"/>
  <c r="R69" i="23" s="1"/>
  <c r="T69" i="23" s="1"/>
  <c r="R70" i="23" a="1"/>
  <c r="R70" i="23" s="1"/>
  <c r="T70" i="23" s="1"/>
  <c r="R71" i="23" a="1"/>
  <c r="R71" i="23" s="1"/>
  <c r="R72" i="23" a="1"/>
  <c r="R72" i="23" s="1"/>
  <c r="T72" i="23" s="1"/>
  <c r="R73" i="23" a="1"/>
  <c r="R73" i="23" s="1"/>
  <c r="R74" i="23" a="1"/>
  <c r="R74" i="23" s="1"/>
  <c r="T74" i="23" s="1"/>
  <c r="R75" i="23" a="1"/>
  <c r="R75" i="23" s="1"/>
  <c r="T75" i="23" s="1"/>
  <c r="R76" i="23" a="1"/>
  <c r="R76" i="23" s="1"/>
  <c r="T76" i="23" s="1"/>
  <c r="R77" i="23" a="1"/>
  <c r="R77" i="23" s="1"/>
  <c r="T77" i="23" s="1"/>
  <c r="R2" i="23" a="1"/>
  <c r="R2" i="23" s="1"/>
  <c r="T2" i="23" s="1"/>
  <c r="P40" i="23" a="1"/>
  <c r="P40" i="23" s="1"/>
  <c r="P3" i="23" a="1"/>
  <c r="P3" i="23" s="1"/>
  <c r="P4" i="23" a="1"/>
  <c r="P4" i="23" s="1"/>
  <c r="P5" i="23" a="1"/>
  <c r="P5" i="23" s="1"/>
  <c r="P6" i="23" a="1"/>
  <c r="P6" i="23" s="1"/>
  <c r="P7" i="23" a="1"/>
  <c r="P7" i="23" s="1"/>
  <c r="P8" i="23" a="1"/>
  <c r="P8" i="23" s="1"/>
  <c r="P9" i="23" a="1"/>
  <c r="P9" i="23" s="1"/>
  <c r="P10" i="23" a="1"/>
  <c r="P10" i="23" s="1"/>
  <c r="P11" i="23" a="1"/>
  <c r="P11" i="23" s="1"/>
  <c r="P12" i="23" a="1"/>
  <c r="P12" i="23" s="1"/>
  <c r="P13" i="23" a="1"/>
  <c r="P13" i="23" s="1"/>
  <c r="P14" i="23" a="1"/>
  <c r="P14" i="23" s="1"/>
  <c r="P15" i="23" a="1"/>
  <c r="P15" i="23" s="1"/>
  <c r="P16" i="23" a="1"/>
  <c r="P16" i="23" s="1"/>
  <c r="P17" i="23" a="1"/>
  <c r="P17" i="23" s="1"/>
  <c r="P18" i="23" a="1"/>
  <c r="P18" i="23" s="1"/>
  <c r="P19" i="23" a="1"/>
  <c r="P19" i="23" s="1"/>
  <c r="P20" i="23" a="1"/>
  <c r="P20" i="23" s="1"/>
  <c r="P21" i="23" a="1"/>
  <c r="P21" i="23" s="1"/>
  <c r="P22" i="23" a="1"/>
  <c r="P22" i="23" s="1"/>
  <c r="P23" i="23" a="1"/>
  <c r="P23" i="23" s="1"/>
  <c r="P24" i="23" a="1"/>
  <c r="P24" i="23" s="1"/>
  <c r="P25" i="23" a="1"/>
  <c r="P25" i="23" s="1"/>
  <c r="P26" i="23" a="1"/>
  <c r="P26" i="23" s="1"/>
  <c r="P27" i="23" a="1"/>
  <c r="P27" i="23" s="1"/>
  <c r="P28" i="23" a="1"/>
  <c r="P28" i="23" s="1"/>
  <c r="P29" i="23" a="1"/>
  <c r="P29" i="23" s="1"/>
  <c r="P30" i="23" a="1"/>
  <c r="P30" i="23" s="1"/>
  <c r="P31" i="23" a="1"/>
  <c r="P31" i="23" s="1"/>
  <c r="P32" i="23" a="1"/>
  <c r="P32" i="23" s="1"/>
  <c r="P33" i="23" a="1"/>
  <c r="P33" i="23" s="1"/>
  <c r="P34" i="23" a="1"/>
  <c r="P34" i="23" s="1"/>
  <c r="P35" i="23" a="1"/>
  <c r="P35" i="23" s="1"/>
  <c r="P36" i="23" a="1"/>
  <c r="P36" i="23" s="1"/>
  <c r="P37" i="23" a="1"/>
  <c r="P37" i="23" s="1"/>
  <c r="P38" i="23" a="1"/>
  <c r="P38" i="23" s="1"/>
  <c r="P39" i="23" a="1"/>
  <c r="P39" i="23" s="1"/>
  <c r="P41" i="23" a="1"/>
  <c r="P41" i="23" s="1"/>
  <c r="P42" i="23" a="1"/>
  <c r="P42" i="23" s="1"/>
  <c r="P43" i="23" a="1"/>
  <c r="P43" i="23" s="1"/>
  <c r="P44" i="23" a="1"/>
  <c r="P44" i="23" s="1"/>
  <c r="P45" i="23" a="1"/>
  <c r="P45" i="23" s="1"/>
  <c r="P46" i="23" a="1"/>
  <c r="P46" i="23" s="1"/>
  <c r="P47" i="23" a="1"/>
  <c r="P47" i="23" s="1"/>
  <c r="P48" i="23" a="1"/>
  <c r="P48" i="23" s="1"/>
  <c r="P49" i="23" a="1"/>
  <c r="P49" i="23" s="1"/>
  <c r="P50" i="23" a="1"/>
  <c r="P50" i="23" s="1"/>
  <c r="P51" i="23" a="1"/>
  <c r="P51" i="23" s="1"/>
  <c r="P52" i="23" a="1"/>
  <c r="P52" i="23" s="1"/>
  <c r="P53" i="23" a="1"/>
  <c r="P53" i="23" s="1"/>
  <c r="P54" i="23" a="1"/>
  <c r="P54" i="23" s="1"/>
  <c r="P55" i="23" a="1"/>
  <c r="P55" i="23" s="1"/>
  <c r="P56" i="23" a="1"/>
  <c r="P56" i="23" s="1"/>
  <c r="P57" i="23" a="1"/>
  <c r="P57" i="23" s="1"/>
  <c r="P58" i="23" a="1"/>
  <c r="P58" i="23" s="1"/>
  <c r="P59" i="23" a="1"/>
  <c r="P59" i="23" s="1"/>
  <c r="P60" i="23" a="1"/>
  <c r="P60" i="23" s="1"/>
  <c r="P61" i="23" a="1"/>
  <c r="P61" i="23" s="1"/>
  <c r="P62" i="23" a="1"/>
  <c r="P62" i="23" s="1"/>
  <c r="P63" i="23" a="1"/>
  <c r="P63" i="23" s="1"/>
  <c r="P64" i="23" a="1"/>
  <c r="P64" i="23" s="1"/>
  <c r="P65" i="23" a="1"/>
  <c r="P65" i="23" s="1"/>
  <c r="P66" i="23" a="1"/>
  <c r="P66" i="23" s="1"/>
  <c r="P67" i="23" a="1"/>
  <c r="P67" i="23" s="1"/>
  <c r="P68" i="23" a="1"/>
  <c r="P68" i="23" s="1"/>
  <c r="P69" i="23" a="1"/>
  <c r="P69" i="23" s="1"/>
  <c r="P70" i="23" a="1"/>
  <c r="P70" i="23" s="1"/>
  <c r="P71" i="23" a="1"/>
  <c r="P71" i="23" s="1"/>
  <c r="P72" i="23" a="1"/>
  <c r="P72" i="23" s="1"/>
  <c r="P73" i="23" a="1"/>
  <c r="P73" i="23" s="1"/>
  <c r="P74" i="23" a="1"/>
  <c r="P74" i="23" s="1"/>
  <c r="P75" i="23" a="1"/>
  <c r="P75" i="23" s="1"/>
  <c r="P76" i="23" a="1"/>
  <c r="P76" i="23" s="1"/>
  <c r="P77" i="23" a="1"/>
  <c r="P77" i="23" s="1"/>
  <c r="P2" i="23" a="1"/>
  <c r="P2" i="23" s="1"/>
  <c r="P2" i="21" a="1"/>
  <c r="P2" i="21" s="1"/>
  <c r="O2" i="23" a="1"/>
  <c r="O2" i="23" s="1"/>
  <c r="Q2" i="23" s="1"/>
  <c r="P3" i="21" a="1"/>
  <c r="P3" i="21" s="1"/>
  <c r="O3" i="23" a="1"/>
  <c r="O3" i="23" s="1"/>
  <c r="Q3" i="23" s="1"/>
  <c r="O4" i="23" a="1"/>
  <c r="O4" i="23" s="1"/>
  <c r="Q4" i="23" s="1"/>
  <c r="O5" i="23" a="1"/>
  <c r="O5" i="23" s="1"/>
  <c r="Q5" i="23" s="1"/>
  <c r="O6" i="23" a="1"/>
  <c r="O6" i="23" s="1"/>
  <c r="Q6" i="23" s="1"/>
  <c r="O7" i="23" a="1"/>
  <c r="O7" i="23" s="1"/>
  <c r="Q7" i="23" s="1"/>
  <c r="O8" i="23" a="1"/>
  <c r="O8" i="23" s="1"/>
  <c r="Q8" i="23" s="1"/>
  <c r="O9" i="23" a="1"/>
  <c r="O9" i="23" s="1"/>
  <c r="Q9" i="23" s="1"/>
  <c r="O10" i="23" a="1"/>
  <c r="O10" i="23" s="1"/>
  <c r="Q10" i="23" s="1"/>
  <c r="O11" i="23" a="1"/>
  <c r="O11" i="23" s="1"/>
  <c r="Q11" i="23" s="1"/>
  <c r="O12" i="23" a="1"/>
  <c r="O12" i="23" s="1"/>
  <c r="Q12" i="23" s="1"/>
  <c r="O13" i="23" a="1"/>
  <c r="O13" i="23" s="1"/>
  <c r="Q13" i="23" s="1"/>
  <c r="O14" i="23" a="1"/>
  <c r="O14" i="23" s="1"/>
  <c r="Q14" i="23" s="1"/>
  <c r="O15" i="23" a="1"/>
  <c r="O15" i="23" s="1"/>
  <c r="Q15" i="23" s="1"/>
  <c r="O16" i="23" a="1"/>
  <c r="O16" i="23" s="1"/>
  <c r="Q16" i="23" s="1"/>
  <c r="O17" i="23" a="1"/>
  <c r="O17" i="23" s="1"/>
  <c r="Q17" i="23" s="1"/>
  <c r="O18" i="23" a="1"/>
  <c r="O18" i="23" s="1"/>
  <c r="Q18" i="23" s="1"/>
  <c r="O19" i="23" a="1"/>
  <c r="O19" i="23" s="1"/>
  <c r="Q19" i="23" s="1"/>
  <c r="O20" i="23" a="1"/>
  <c r="O20" i="23" s="1"/>
  <c r="Q20" i="23" s="1"/>
  <c r="O21" i="23" a="1"/>
  <c r="O21" i="23" s="1"/>
  <c r="Q21" i="23" s="1"/>
  <c r="O22" i="23" a="1"/>
  <c r="O22" i="23" s="1"/>
  <c r="Q22" i="23" s="1"/>
  <c r="O23" i="23" a="1"/>
  <c r="O23" i="23" s="1"/>
  <c r="Q23" i="23" s="1"/>
  <c r="O24" i="23" a="1"/>
  <c r="O24" i="23" s="1"/>
  <c r="Q24" i="23" s="1"/>
  <c r="O25" i="23" a="1"/>
  <c r="O25" i="23" s="1"/>
  <c r="Q25" i="23" s="1"/>
  <c r="O26" i="23" a="1"/>
  <c r="O26" i="23" s="1"/>
  <c r="Q26" i="23" s="1"/>
  <c r="O27" i="23" a="1"/>
  <c r="O27" i="23" s="1"/>
  <c r="Q27" i="23" s="1"/>
  <c r="O28" i="23" a="1"/>
  <c r="O28" i="23" s="1"/>
  <c r="Q28" i="23" s="1"/>
  <c r="O29" i="23" a="1"/>
  <c r="O29" i="23" s="1"/>
  <c r="Q29" i="23" s="1"/>
  <c r="O30" i="23" a="1"/>
  <c r="O30" i="23" s="1"/>
  <c r="Q30" i="23" s="1"/>
  <c r="O31" i="23" a="1"/>
  <c r="O31" i="23" s="1"/>
  <c r="Q31" i="23" s="1"/>
  <c r="O32" i="23" a="1"/>
  <c r="O32" i="23" s="1"/>
  <c r="Q32" i="23" s="1"/>
  <c r="O33" i="23" a="1"/>
  <c r="O33" i="23" s="1"/>
  <c r="Q33" i="23" s="1"/>
  <c r="O34" i="23" a="1"/>
  <c r="O34" i="23" s="1"/>
  <c r="Q34" i="23" s="1"/>
  <c r="O35" i="23" a="1"/>
  <c r="O35" i="23" s="1"/>
  <c r="Q35" i="23" s="1"/>
  <c r="O36" i="23" a="1"/>
  <c r="O36" i="23" s="1"/>
  <c r="Q36" i="23" s="1"/>
  <c r="O37" i="23" a="1"/>
  <c r="O37" i="23" s="1"/>
  <c r="Q37" i="23" s="1"/>
  <c r="O38" i="23" a="1"/>
  <c r="O38" i="23" s="1"/>
  <c r="Q38" i="23" s="1"/>
  <c r="O39" i="23" a="1"/>
  <c r="O39" i="23" s="1"/>
  <c r="Q39" i="23" s="1"/>
  <c r="O40" i="23" a="1"/>
  <c r="O40" i="23" s="1"/>
  <c r="Q40" i="23" s="1"/>
  <c r="O41" i="23" a="1"/>
  <c r="O41" i="23" s="1"/>
  <c r="Q41" i="23" s="1"/>
  <c r="O42" i="23" a="1"/>
  <c r="O42" i="23" s="1"/>
  <c r="Q42" i="23" s="1"/>
  <c r="O43" i="23" a="1"/>
  <c r="O43" i="23" s="1"/>
  <c r="Q43" i="23" s="1"/>
  <c r="O44" i="23" a="1"/>
  <c r="O44" i="23" s="1"/>
  <c r="Q44" i="23" s="1"/>
  <c r="O45" i="23" a="1"/>
  <c r="O45" i="23" s="1"/>
  <c r="Q45" i="23" s="1"/>
  <c r="O46" i="23" a="1"/>
  <c r="O46" i="23" s="1"/>
  <c r="Q46" i="23" s="1"/>
  <c r="O47" i="23" a="1"/>
  <c r="O47" i="23" s="1"/>
  <c r="Q47" i="23" s="1"/>
  <c r="O48" i="23" a="1"/>
  <c r="O48" i="23" s="1"/>
  <c r="Q48" i="23" s="1"/>
  <c r="O49" i="23" a="1"/>
  <c r="O49" i="23" s="1"/>
  <c r="Q49" i="23" s="1"/>
  <c r="O50" i="23" a="1"/>
  <c r="O50" i="23" s="1"/>
  <c r="Q50" i="23" s="1"/>
  <c r="O51" i="23" a="1"/>
  <c r="O51" i="23" s="1"/>
  <c r="Q51" i="23" s="1"/>
  <c r="O52" i="23" a="1"/>
  <c r="O52" i="23" s="1"/>
  <c r="O53" i="23" a="1"/>
  <c r="O53" i="23" s="1"/>
  <c r="Q53" i="23" s="1"/>
  <c r="O54" i="23" a="1"/>
  <c r="O54" i="23" s="1"/>
  <c r="Q54" i="23" s="1"/>
  <c r="O55" i="23" a="1"/>
  <c r="O55" i="23" s="1"/>
  <c r="Q55" i="23" s="1"/>
  <c r="O56" i="23" a="1"/>
  <c r="O56" i="23" s="1"/>
  <c r="Q56" i="23" s="1"/>
  <c r="O57" i="23" a="1"/>
  <c r="O57" i="23" s="1"/>
  <c r="Q57" i="23" s="1"/>
  <c r="O58" i="23" a="1"/>
  <c r="O58" i="23" s="1"/>
  <c r="Q58" i="23" s="1"/>
  <c r="O59" i="23" a="1"/>
  <c r="O59" i="23" s="1"/>
  <c r="Q59" i="23" s="1"/>
  <c r="O60" i="23" a="1"/>
  <c r="O60" i="23" s="1"/>
  <c r="Q60" i="23" s="1"/>
  <c r="O61" i="23" a="1"/>
  <c r="O61" i="23" s="1"/>
  <c r="Q61" i="23" s="1"/>
  <c r="O62" i="23" a="1"/>
  <c r="O62" i="23" s="1"/>
  <c r="Q62" i="23" s="1"/>
  <c r="O63" i="23" a="1"/>
  <c r="O63" i="23" s="1"/>
  <c r="Q63" i="23" s="1"/>
  <c r="O64" i="23" a="1"/>
  <c r="O64" i="23" s="1"/>
  <c r="Q64" i="23" s="1"/>
  <c r="O65" i="23" a="1"/>
  <c r="O65" i="23" s="1"/>
  <c r="Q65" i="23" s="1"/>
  <c r="O66" i="23" a="1"/>
  <c r="O66" i="23" s="1"/>
  <c r="Q66" i="23" s="1"/>
  <c r="O67" i="23" a="1"/>
  <c r="O67" i="23" s="1"/>
  <c r="Q67" i="23" s="1"/>
  <c r="O68" i="23" a="1"/>
  <c r="O68" i="23" s="1"/>
  <c r="Q68" i="23" s="1"/>
  <c r="O69" i="23" a="1"/>
  <c r="O69" i="23" s="1"/>
  <c r="Q69" i="23" s="1"/>
  <c r="O70" i="23" a="1"/>
  <c r="O70" i="23" s="1"/>
  <c r="Q70" i="23" s="1"/>
  <c r="O71" i="23" a="1"/>
  <c r="O71" i="23" s="1"/>
  <c r="Q71" i="23" s="1"/>
  <c r="O72" i="23" a="1"/>
  <c r="O72" i="23" s="1"/>
  <c r="Q72" i="23" s="1"/>
  <c r="O73" i="23" a="1"/>
  <c r="O73" i="23" s="1"/>
  <c r="Q73" i="23" s="1"/>
  <c r="O74" i="23" a="1"/>
  <c r="O74" i="23" s="1"/>
  <c r="Q74" i="23" s="1"/>
  <c r="O75" i="23" a="1"/>
  <c r="O75" i="23" s="1"/>
  <c r="Q75" i="23" s="1"/>
  <c r="O76" i="23" a="1"/>
  <c r="O76" i="23" s="1"/>
  <c r="Q76" i="23" s="1"/>
  <c r="O77" i="23" a="1"/>
  <c r="O77" i="23" s="1"/>
  <c r="Q77" i="23" s="1"/>
  <c r="O2" i="21" a="1"/>
  <c r="O2" i="21" s="1"/>
  <c r="M3" i="23" a="1"/>
  <c r="M3" i="23" s="1"/>
  <c r="M4" i="23" a="1"/>
  <c r="M4" i="23" s="1"/>
  <c r="M5" i="23" a="1"/>
  <c r="M5" i="23"/>
  <c r="M6" i="23" a="1"/>
  <c r="M6" i="23" s="1"/>
  <c r="M7" i="23" a="1"/>
  <c r="M7" i="23" s="1"/>
  <c r="M8" i="23" a="1"/>
  <c r="M8" i="23" s="1"/>
  <c r="M9" i="23" a="1"/>
  <c r="M9" i="23" s="1"/>
  <c r="M10" i="23" a="1"/>
  <c r="M10" i="23" s="1"/>
  <c r="M11" i="23" a="1"/>
  <c r="M11" i="23" s="1"/>
  <c r="M12" i="23" a="1"/>
  <c r="M12" i="23" s="1"/>
  <c r="M13" i="23" a="1"/>
  <c r="M13" i="23" s="1"/>
  <c r="M14" i="23" a="1"/>
  <c r="M14" i="23" s="1"/>
  <c r="N14" i="23" s="1"/>
  <c r="M15" i="23" a="1"/>
  <c r="M15" i="23" s="1"/>
  <c r="M16" i="23" a="1"/>
  <c r="M16" i="23" s="1"/>
  <c r="M17" i="23" a="1"/>
  <c r="M17" i="23" s="1"/>
  <c r="M18" i="23" a="1"/>
  <c r="M18" i="23"/>
  <c r="M19" i="23" a="1"/>
  <c r="M19" i="23" s="1"/>
  <c r="M20" i="23" a="1"/>
  <c r="M20" i="23" s="1"/>
  <c r="M21" i="23" a="1"/>
  <c r="M21" i="23" s="1"/>
  <c r="M22" i="23" a="1"/>
  <c r="M22" i="23" s="1"/>
  <c r="M23" i="23" a="1"/>
  <c r="M23" i="23" s="1"/>
  <c r="M24" i="23" a="1"/>
  <c r="M24" i="23" s="1"/>
  <c r="M25" i="23" a="1"/>
  <c r="M25" i="23" s="1"/>
  <c r="M26" i="23" a="1"/>
  <c r="M26" i="23" s="1"/>
  <c r="N26" i="23" s="1"/>
  <c r="M27" i="23" a="1"/>
  <c r="M27" i="23" s="1"/>
  <c r="M28" i="23" a="1"/>
  <c r="M28" i="23" s="1"/>
  <c r="M29" i="23" a="1"/>
  <c r="M29" i="23" s="1"/>
  <c r="M30" i="23" a="1"/>
  <c r="M30" i="23" s="1"/>
  <c r="M31" i="23" a="1"/>
  <c r="M31" i="23" s="1"/>
  <c r="M32" i="23" a="1"/>
  <c r="M32" i="23" s="1"/>
  <c r="M33" i="23" a="1"/>
  <c r="M33" i="23" s="1"/>
  <c r="M34" i="23" a="1"/>
  <c r="M34" i="23" s="1"/>
  <c r="M35" i="23" a="1"/>
  <c r="M35" i="23" s="1"/>
  <c r="M36" i="23" a="1"/>
  <c r="M36" i="23" s="1"/>
  <c r="M37" i="23" a="1"/>
  <c r="M37" i="23"/>
  <c r="M38" i="23" a="1"/>
  <c r="M38" i="23" s="1"/>
  <c r="M39" i="23" a="1"/>
  <c r="M39" i="23" s="1"/>
  <c r="M40" i="23" a="1"/>
  <c r="M40" i="23" s="1"/>
  <c r="M41" i="23" a="1"/>
  <c r="M41" i="23" s="1"/>
  <c r="M42" i="23" a="1"/>
  <c r="M42" i="23"/>
  <c r="M43" i="23" a="1"/>
  <c r="M43" i="23" s="1"/>
  <c r="M44" i="23" a="1"/>
  <c r="M44" i="23" s="1"/>
  <c r="M45" i="23" a="1"/>
  <c r="M45" i="23" s="1"/>
  <c r="M46" i="23" a="1"/>
  <c r="M46" i="23" s="1"/>
  <c r="M47" i="23" a="1"/>
  <c r="M47" i="23" s="1"/>
  <c r="M48" i="23" a="1"/>
  <c r="M48" i="23" s="1"/>
  <c r="M49" i="23" a="1"/>
  <c r="M49" i="23" s="1"/>
  <c r="M50" i="23" a="1"/>
  <c r="M50" i="23"/>
  <c r="M51" i="23" a="1"/>
  <c r="M51" i="23" s="1"/>
  <c r="M52" i="23" a="1"/>
  <c r="M52" i="23" s="1"/>
  <c r="M53" i="23" a="1"/>
  <c r="M53" i="23" s="1"/>
  <c r="M54" i="23" a="1"/>
  <c r="M54" i="23" s="1"/>
  <c r="M55" i="23" a="1"/>
  <c r="M55" i="23" s="1"/>
  <c r="M56" i="23" a="1"/>
  <c r="M56" i="23" s="1"/>
  <c r="M57" i="23" a="1"/>
  <c r="M57" i="23" s="1"/>
  <c r="M58" i="23" a="1"/>
  <c r="M58" i="23" s="1"/>
  <c r="M59" i="23" a="1"/>
  <c r="M59" i="23" s="1"/>
  <c r="M60" i="23" a="1"/>
  <c r="M60" i="23" s="1"/>
  <c r="M61" i="23" a="1"/>
  <c r="M61" i="23"/>
  <c r="M62" i="23" a="1"/>
  <c r="M62" i="23" s="1"/>
  <c r="M63" i="23" a="1"/>
  <c r="M63" i="23" s="1"/>
  <c r="M64" i="23" a="1"/>
  <c r="M64" i="23" s="1"/>
  <c r="M65" i="23" a="1"/>
  <c r="M65" i="23" s="1"/>
  <c r="M66" i="23" a="1"/>
  <c r="M66" i="23" s="1"/>
  <c r="M67" i="23" a="1"/>
  <c r="M67" i="23" s="1"/>
  <c r="M68" i="23" a="1"/>
  <c r="M68" i="23" s="1"/>
  <c r="M69" i="23" a="1"/>
  <c r="M69" i="23" s="1"/>
  <c r="M70" i="23" a="1"/>
  <c r="M70" i="23" s="1"/>
  <c r="M71" i="23" a="1"/>
  <c r="M71" i="23" s="1"/>
  <c r="M72" i="23" a="1"/>
  <c r="M72" i="23" s="1"/>
  <c r="M73" i="23" a="1"/>
  <c r="M73" i="23" s="1"/>
  <c r="M74" i="23" a="1"/>
  <c r="M74" i="23" s="1"/>
  <c r="M75" i="23" a="1"/>
  <c r="M75" i="23" s="1"/>
  <c r="M76" i="23" a="1"/>
  <c r="M76" i="23" s="1"/>
  <c r="M77" i="23" a="1"/>
  <c r="M77" i="23" s="1"/>
  <c r="M2" i="23" a="1"/>
  <c r="M2" i="23" s="1"/>
  <c r="L3" i="23" a="1"/>
  <c r="L3" i="23" s="1"/>
  <c r="N3" i="23" s="1"/>
  <c r="L4" i="23" a="1"/>
  <c r="L4" i="23" s="1"/>
  <c r="L5" i="23" a="1"/>
  <c r="L5" i="23" s="1"/>
  <c r="L6" i="23" a="1"/>
  <c r="L6" i="23" s="1"/>
  <c r="L7" i="23" a="1"/>
  <c r="L7" i="23" s="1"/>
  <c r="N7" i="23" s="1"/>
  <c r="L8" i="23" a="1"/>
  <c r="L8" i="23" s="1"/>
  <c r="N8" i="23" s="1"/>
  <c r="L9" i="23" a="1"/>
  <c r="L9" i="23" s="1"/>
  <c r="L10" i="23" a="1"/>
  <c r="L10" i="23" s="1"/>
  <c r="L11" i="23" a="1"/>
  <c r="L11" i="23" s="1"/>
  <c r="N11" i="23" s="1"/>
  <c r="L12" i="23" a="1"/>
  <c r="L12" i="23" s="1"/>
  <c r="L13" i="23" a="1"/>
  <c r="L13" i="23"/>
  <c r="L14" i="23" a="1"/>
  <c r="L14" i="23" s="1"/>
  <c r="L15" i="23" a="1"/>
  <c r="L15" i="23" s="1"/>
  <c r="L16" i="23" a="1"/>
  <c r="L16" i="23" s="1"/>
  <c r="L17" i="23" a="1"/>
  <c r="L17" i="23"/>
  <c r="L18" i="23" a="1"/>
  <c r="L18" i="23" s="1"/>
  <c r="N18" i="23" s="1"/>
  <c r="L19" i="23" a="1"/>
  <c r="L19" i="23" s="1"/>
  <c r="L20" i="23" a="1"/>
  <c r="L20" i="23" s="1"/>
  <c r="N20" i="23" s="1"/>
  <c r="L21" i="23" a="1"/>
  <c r="L21" i="23" s="1"/>
  <c r="L22" i="23" a="1"/>
  <c r="L22" i="23" s="1"/>
  <c r="L23" i="23" a="1"/>
  <c r="L23" i="23" s="1"/>
  <c r="N23" i="23" s="1"/>
  <c r="L24" i="23" a="1"/>
  <c r="L24" i="23" s="1"/>
  <c r="N24" i="23" s="1"/>
  <c r="L25" i="23" a="1"/>
  <c r="L25" i="23" s="1"/>
  <c r="L26" i="23" a="1"/>
  <c r="L26" i="23" s="1"/>
  <c r="L27" i="23" a="1"/>
  <c r="L27" i="23" s="1"/>
  <c r="L28" i="23" a="1"/>
  <c r="L28" i="23" s="1"/>
  <c r="N28" i="23" s="1"/>
  <c r="L29" i="23" a="1"/>
  <c r="L29" i="23" s="1"/>
  <c r="L30" i="23" a="1"/>
  <c r="L30" i="23" s="1"/>
  <c r="L31" i="23" a="1"/>
  <c r="L31" i="23" s="1"/>
  <c r="N31" i="23" s="1"/>
  <c r="L32" i="23" a="1"/>
  <c r="L32" i="23" s="1"/>
  <c r="L33" i="23" a="1"/>
  <c r="L33" i="23" s="1"/>
  <c r="L34" i="23" a="1"/>
  <c r="L34" i="23" s="1"/>
  <c r="L35" i="23" a="1"/>
  <c r="L35" i="23" s="1"/>
  <c r="L36" i="23" a="1"/>
  <c r="L36" i="23" s="1"/>
  <c r="L37" i="23" a="1"/>
  <c r="L37" i="23" s="1"/>
  <c r="L38" i="23" a="1"/>
  <c r="L38" i="23" s="1"/>
  <c r="N38" i="23" s="1"/>
  <c r="L2" i="23" a="1"/>
  <c r="L2" i="23" s="1"/>
  <c r="K31" i="23"/>
  <c r="J3" i="23" a="1"/>
  <c r="J3" i="23" s="1"/>
  <c r="J4" i="23" a="1"/>
  <c r="J4" i="23" s="1"/>
  <c r="J5" i="23" a="1"/>
  <c r="J5" i="23" s="1"/>
  <c r="J6" i="23" a="1"/>
  <c r="J6" i="23"/>
  <c r="J7" i="23" a="1"/>
  <c r="J7" i="23" s="1"/>
  <c r="K7" i="23" s="1"/>
  <c r="J8" i="23" a="1"/>
  <c r="J8" i="23" s="1"/>
  <c r="J9" i="23" a="1"/>
  <c r="J9" i="23" s="1"/>
  <c r="J10" i="23" a="1"/>
  <c r="J10" i="23" s="1"/>
  <c r="J11" i="23" a="1"/>
  <c r="J11" i="23" s="1"/>
  <c r="J12" i="23" a="1"/>
  <c r="J12" i="23" s="1"/>
  <c r="J13" i="23" a="1"/>
  <c r="J13" i="23" s="1"/>
  <c r="J14" i="23" a="1"/>
  <c r="J14" i="23" s="1"/>
  <c r="J15" i="23" a="1"/>
  <c r="J15" i="23" s="1"/>
  <c r="K15" i="23" s="1"/>
  <c r="J16" i="23" a="1"/>
  <c r="J16" i="23" s="1"/>
  <c r="J17" i="23" a="1"/>
  <c r="J17" i="23" s="1"/>
  <c r="J18" i="23" a="1"/>
  <c r="J18" i="23" s="1"/>
  <c r="J19" i="23" a="1"/>
  <c r="J19" i="23" s="1"/>
  <c r="J20" i="23" a="1"/>
  <c r="J20" i="23" s="1"/>
  <c r="J21" i="23" a="1"/>
  <c r="J21" i="23" s="1"/>
  <c r="J22" i="23" a="1"/>
  <c r="J22" i="23" s="1"/>
  <c r="K22" i="23" s="1"/>
  <c r="J23" i="23" a="1"/>
  <c r="J23" i="23" s="1"/>
  <c r="K23" i="23" s="1"/>
  <c r="J24" i="23" a="1"/>
  <c r="J24" i="23" s="1"/>
  <c r="J25" i="23" a="1"/>
  <c r="J25" i="23" s="1"/>
  <c r="J26" i="23" a="1"/>
  <c r="J26" i="23" s="1"/>
  <c r="J27" i="23" a="1"/>
  <c r="J27" i="23" s="1"/>
  <c r="J28" i="23" a="1"/>
  <c r="J28" i="23" s="1"/>
  <c r="J29" i="23" a="1"/>
  <c r="J29" i="23" s="1"/>
  <c r="J30" i="23" a="1"/>
  <c r="J30" i="23" s="1"/>
  <c r="J31" i="23" a="1"/>
  <c r="J31" i="23" s="1"/>
  <c r="J32" i="23" a="1"/>
  <c r="J32" i="23" s="1"/>
  <c r="J33" i="23" a="1"/>
  <c r="J33" i="23" s="1"/>
  <c r="J34" i="23" a="1"/>
  <c r="J34" i="23" s="1"/>
  <c r="J35" i="23" a="1"/>
  <c r="J35" i="23" s="1"/>
  <c r="J36" i="23" a="1"/>
  <c r="J36" i="23" s="1"/>
  <c r="J37" i="23" a="1"/>
  <c r="J37" i="23" s="1"/>
  <c r="J38" i="23" a="1"/>
  <c r="J38" i="23" s="1"/>
  <c r="J2" i="23" a="1"/>
  <c r="J2" i="23" s="1"/>
  <c r="I3" i="23" a="1"/>
  <c r="I3" i="23" s="1"/>
  <c r="K3" i="23" s="1"/>
  <c r="I4" i="23" a="1"/>
  <c r="I4" i="23" s="1"/>
  <c r="I5" i="23" a="1"/>
  <c r="I5" i="23" s="1"/>
  <c r="K5" i="23" s="1"/>
  <c r="I6" i="23" a="1"/>
  <c r="I6" i="23" s="1"/>
  <c r="I7" i="23" a="1"/>
  <c r="I7" i="23" s="1"/>
  <c r="I8" i="23" a="1"/>
  <c r="I8" i="23" s="1"/>
  <c r="K8" i="23" s="1"/>
  <c r="I9" i="23" a="1"/>
  <c r="I9" i="23" s="1"/>
  <c r="K9" i="23" s="1"/>
  <c r="I10" i="23" a="1"/>
  <c r="I10" i="23" s="1"/>
  <c r="K10" i="23" s="1"/>
  <c r="I11" i="23" a="1"/>
  <c r="I11" i="23" s="1"/>
  <c r="I12" i="23" a="1"/>
  <c r="I12" i="23" s="1"/>
  <c r="I13" i="23" a="1"/>
  <c r="I13" i="23"/>
  <c r="I14" i="23" a="1"/>
  <c r="I14" i="23" s="1"/>
  <c r="I15" i="23" a="1"/>
  <c r="I15" i="23" s="1"/>
  <c r="I16" i="23" a="1"/>
  <c r="I16" i="23" s="1"/>
  <c r="I17" i="23" a="1"/>
  <c r="I17" i="23" s="1"/>
  <c r="I18" i="23" a="1"/>
  <c r="I18" i="23" s="1"/>
  <c r="I19" i="23" a="1"/>
  <c r="I19" i="23" s="1"/>
  <c r="K19" i="23" s="1"/>
  <c r="I20" i="23" a="1"/>
  <c r="I20" i="23" s="1"/>
  <c r="I21" i="23" a="1"/>
  <c r="I21" i="23"/>
  <c r="K21" i="23" s="1"/>
  <c r="I22" i="23" a="1"/>
  <c r="I22" i="23" s="1"/>
  <c r="I23" i="23" a="1"/>
  <c r="I23" i="23" s="1"/>
  <c r="I24" i="23" a="1"/>
  <c r="I24" i="23" s="1"/>
  <c r="I25" i="23" a="1"/>
  <c r="I25" i="23" s="1"/>
  <c r="I26" i="23" a="1"/>
  <c r="I26" i="23"/>
  <c r="K26" i="23" s="1"/>
  <c r="I27" i="23" a="1"/>
  <c r="I27" i="23" s="1"/>
  <c r="I28" i="23" a="1"/>
  <c r="I28" i="23" s="1"/>
  <c r="I29" i="23" a="1"/>
  <c r="I29" i="23"/>
  <c r="I30" i="23" a="1"/>
  <c r="I30" i="23" s="1"/>
  <c r="I31" i="23" a="1"/>
  <c r="I31" i="23" s="1"/>
  <c r="I32" i="23" a="1"/>
  <c r="I32" i="23" s="1"/>
  <c r="K32" i="23" s="1"/>
  <c r="I33" i="23" a="1"/>
  <c r="I33" i="23" s="1"/>
  <c r="K33" i="23" s="1"/>
  <c r="I34" i="23" a="1"/>
  <c r="I34" i="23"/>
  <c r="I35" i="23" a="1"/>
  <c r="I35" i="23" s="1"/>
  <c r="I36" i="23" a="1"/>
  <c r="I36" i="23" s="1"/>
  <c r="I37" i="23" a="1"/>
  <c r="I37" i="23" s="1"/>
  <c r="K37" i="23" s="1"/>
  <c r="I38" i="23" a="1"/>
  <c r="I38" i="23" s="1"/>
  <c r="I2" i="23" a="1"/>
  <c r="I2" i="23" s="1"/>
  <c r="K2" i="23" s="1"/>
  <c r="E3" i="23"/>
  <c r="E4" i="23"/>
  <c r="E5" i="23"/>
  <c r="E6" i="23"/>
  <c r="E7" i="23"/>
  <c r="E8" i="23"/>
  <c r="E9" i="23"/>
  <c r="E10" i="23"/>
  <c r="E11"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2" i="23"/>
  <c r="AA40" i="21"/>
  <c r="V40" i="21"/>
  <c r="Q40" i="21"/>
  <c r="J3" i="21"/>
  <c r="F3" i="21"/>
  <c r="F4" i="21"/>
  <c r="F5"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F64" i="21"/>
  <c r="F65" i="21"/>
  <c r="F66" i="21"/>
  <c r="F67" i="21"/>
  <c r="F68" i="21"/>
  <c r="F69" i="21"/>
  <c r="F70" i="21"/>
  <c r="F71" i="21"/>
  <c r="F72" i="21"/>
  <c r="F73" i="21"/>
  <c r="F74" i="21"/>
  <c r="F75" i="21"/>
  <c r="F76" i="21"/>
  <c r="F77" i="21"/>
  <c r="F2" i="21"/>
  <c r="E40" i="21" a="1"/>
  <c r="E40" i="21" s="1"/>
  <c r="F254" i="2"/>
  <c r="P254" i="2"/>
  <c r="R254" i="2"/>
  <c r="S254" i="2"/>
  <c r="T254" i="2"/>
  <c r="U254" i="2"/>
  <c r="X254" i="2"/>
  <c r="Z254" i="2"/>
  <c r="AA254" i="2"/>
  <c r="AB254" i="2"/>
  <c r="AC254" i="2"/>
  <c r="AD254" i="2"/>
  <c r="AE254" i="2"/>
  <c r="E255" i="2"/>
  <c r="F255" i="2"/>
  <c r="G255" i="2"/>
  <c r="H255" i="2"/>
  <c r="I255" i="2"/>
  <c r="J255" i="2"/>
  <c r="K255" i="2"/>
  <c r="L255" i="2"/>
  <c r="M255" i="2"/>
  <c r="N255" i="2"/>
  <c r="O255" i="2"/>
  <c r="P255" i="2"/>
  <c r="Q255" i="2"/>
  <c r="R255" i="2"/>
  <c r="S255" i="2"/>
  <c r="T255" i="2"/>
  <c r="U255" i="2"/>
  <c r="V255" i="2"/>
  <c r="W255" i="2"/>
  <c r="X255" i="2"/>
  <c r="Y255" i="2"/>
  <c r="Z255" i="2"/>
  <c r="AA255" i="2"/>
  <c r="AB255" i="2"/>
  <c r="AC255" i="2"/>
  <c r="AD255" i="2"/>
  <c r="AE255" i="2"/>
  <c r="F269" i="2"/>
  <c r="P269" i="2"/>
  <c r="R269" i="2"/>
  <c r="S269" i="2"/>
  <c r="T269" i="2"/>
  <c r="U269" i="2"/>
  <c r="X269" i="2"/>
  <c r="X272" i="2" s="1"/>
  <c r="Z269" i="2"/>
  <c r="Z272" i="2" s="1"/>
  <c r="AA269" i="2"/>
  <c r="AB269" i="2"/>
  <c r="AC269" i="2"/>
  <c r="AD269" i="2"/>
  <c r="AE269" i="2"/>
  <c r="F270" i="2"/>
  <c r="P270" i="2"/>
  <c r="R270" i="2"/>
  <c r="S270" i="2"/>
  <c r="T270" i="2"/>
  <c r="U270" i="2"/>
  <c r="W270" i="2"/>
  <c r="X270" i="2"/>
  <c r="Z270" i="2"/>
  <c r="AA270" i="2"/>
  <c r="AB270" i="2"/>
  <c r="AC270" i="2"/>
  <c r="AD270" i="2"/>
  <c r="AE270" i="2"/>
  <c r="E271" i="2"/>
  <c r="F271" i="2"/>
  <c r="G271" i="2"/>
  <c r="H271" i="2"/>
  <c r="I271" i="2"/>
  <c r="J271" i="2"/>
  <c r="K271" i="2"/>
  <c r="L271" i="2"/>
  <c r="M271" i="2"/>
  <c r="N271" i="2"/>
  <c r="O271" i="2"/>
  <c r="P271" i="2"/>
  <c r="Q271" i="2"/>
  <c r="R271" i="2"/>
  <c r="S271" i="2"/>
  <c r="T271" i="2"/>
  <c r="U271" i="2"/>
  <c r="W271" i="2"/>
  <c r="X271" i="2"/>
  <c r="Y271" i="2"/>
  <c r="Z271" i="2"/>
  <c r="AA271" i="2"/>
  <c r="AB271" i="2"/>
  <c r="AC271" i="2"/>
  <c r="AD271" i="2"/>
  <c r="AE271" i="2"/>
  <c r="E272" i="2"/>
  <c r="F272" i="2"/>
  <c r="G272" i="2"/>
  <c r="H272" i="2"/>
  <c r="I272" i="2"/>
  <c r="J272" i="2"/>
  <c r="K272" i="2"/>
  <c r="L272" i="2"/>
  <c r="M272" i="2"/>
  <c r="N272" i="2"/>
  <c r="O272" i="2"/>
  <c r="P272" i="2"/>
  <c r="Q272" i="2"/>
  <c r="R272" i="2"/>
  <c r="S272" i="2"/>
  <c r="T272" i="2"/>
  <c r="U272" i="2"/>
  <c r="W272" i="2"/>
  <c r="Y272" i="2"/>
  <c r="AA272" i="2"/>
  <c r="AB272" i="2"/>
  <c r="AC272" i="2"/>
  <c r="AD272" i="2"/>
  <c r="AE272" i="2"/>
  <c r="D2" i="2"/>
  <c r="D3" i="2"/>
  <c r="D4" i="2"/>
  <c r="D5" i="2"/>
  <c r="D6" i="2"/>
  <c r="Y22" i="21" s="1" a="1"/>
  <c r="Y22" i="21" s="1"/>
  <c r="D7" i="2"/>
  <c r="D8" i="2"/>
  <c r="D9" i="2"/>
  <c r="D10" i="2"/>
  <c r="D11" i="2"/>
  <c r="D12" i="2"/>
  <c r="D13" i="2"/>
  <c r="D14" i="2"/>
  <c r="D15" i="2"/>
  <c r="D16" i="2"/>
  <c r="D17" i="2"/>
  <c r="D18" i="2"/>
  <c r="D19" i="2"/>
  <c r="D20" i="2"/>
  <c r="D21" i="2"/>
  <c r="D22" i="2"/>
  <c r="D23" i="2"/>
  <c r="D24" i="2"/>
  <c r="Y44" i="21" s="1" a="1"/>
  <c r="Y44" i="21" s="1"/>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Y4" i="21" a="1"/>
  <c r="Y4" i="21" s="1"/>
  <c r="Y3" i="21" a="1"/>
  <c r="Y3" i="21" s="1"/>
  <c r="Y33" i="21" a="1"/>
  <c r="Y33" i="21" s="1"/>
  <c r="Y32" i="21" a="1"/>
  <c r="Y32" i="21" s="1"/>
  <c r="AB3" i="21"/>
  <c r="AB4" i="21"/>
  <c r="AB5" i="21"/>
  <c r="AB6" i="21"/>
  <c r="AB7" i="21"/>
  <c r="AB8" i="21"/>
  <c r="AB9" i="21"/>
  <c r="AB10" i="21"/>
  <c r="AB11" i="21"/>
  <c r="AB12" i="21"/>
  <c r="AB13" i="21"/>
  <c r="AB14" i="21"/>
  <c r="AB15" i="21"/>
  <c r="AB16" i="21"/>
  <c r="AB17" i="21"/>
  <c r="AB18" i="21"/>
  <c r="AB19" i="21"/>
  <c r="AB20" i="21"/>
  <c r="AB21" i="21"/>
  <c r="AB22" i="21"/>
  <c r="AB23" i="21"/>
  <c r="AB24" i="21"/>
  <c r="AB25" i="21"/>
  <c r="AB26" i="21"/>
  <c r="AB27" i="21"/>
  <c r="AB28" i="21"/>
  <c r="AB29" i="21"/>
  <c r="AB30" i="21"/>
  <c r="AB31" i="21"/>
  <c r="AB32" i="21"/>
  <c r="AB33" i="21"/>
  <c r="AB34" i="21"/>
  <c r="AB35" i="21"/>
  <c r="AB36" i="21"/>
  <c r="AB37" i="21"/>
  <c r="AB38" i="21"/>
  <c r="AB39" i="21"/>
  <c r="AB40" i="21"/>
  <c r="AB41" i="21"/>
  <c r="AB42" i="21"/>
  <c r="AB43" i="21"/>
  <c r="AB44" i="21"/>
  <c r="AB45" i="21"/>
  <c r="AB46" i="21"/>
  <c r="AB47" i="21"/>
  <c r="AB48" i="21"/>
  <c r="AB49" i="21"/>
  <c r="AB50" i="21"/>
  <c r="AB51" i="21"/>
  <c r="AB52" i="21"/>
  <c r="AB53" i="21"/>
  <c r="AB54" i="21"/>
  <c r="AB55" i="21"/>
  <c r="AB56" i="21"/>
  <c r="AB57" i="21"/>
  <c r="AB58" i="21"/>
  <c r="AB59" i="21"/>
  <c r="AB60" i="21"/>
  <c r="AB61" i="21"/>
  <c r="AB62" i="21"/>
  <c r="AB63" i="21"/>
  <c r="AB64" i="21"/>
  <c r="AB65" i="21"/>
  <c r="AB66" i="21"/>
  <c r="AB67" i="21"/>
  <c r="AB68" i="21"/>
  <c r="AB69" i="21"/>
  <c r="AB70" i="21"/>
  <c r="AB71" i="21"/>
  <c r="AB72" i="21"/>
  <c r="AB73" i="21"/>
  <c r="AB74" i="21"/>
  <c r="AB75" i="21"/>
  <c r="AB76" i="21"/>
  <c r="AB77" i="21"/>
  <c r="AB2" i="21"/>
  <c r="Y12" i="21" a="1"/>
  <c r="Y12" i="21" s="1"/>
  <c r="Y14" i="21" a="1"/>
  <c r="Y14" i="21" s="1"/>
  <c r="Y18" i="21" a="1"/>
  <c r="Y18" i="21" s="1"/>
  <c r="Y20" i="21" a="1"/>
  <c r="Y20" i="21" s="1"/>
  <c r="Y28" i="21" a="1"/>
  <c r="Y28" i="21" s="1"/>
  <c r="Y29" i="21" a="1"/>
  <c r="Y29" i="21" s="1"/>
  <c r="Y30" i="21" a="1"/>
  <c r="Y30" i="21" s="1"/>
  <c r="Y31" i="21" a="1"/>
  <c r="Y31" i="21" s="1"/>
  <c r="Y39" i="21" a="1"/>
  <c r="Y39" i="21" s="1"/>
  <c r="Y40" i="21" a="1"/>
  <c r="Y40" i="21" s="1"/>
  <c r="Y41" i="21" a="1"/>
  <c r="Y41" i="21" s="1"/>
  <c r="Y42" i="21" a="1"/>
  <c r="Y42" i="21" s="1"/>
  <c r="Y47" i="21" a="1"/>
  <c r="Y47" i="21" s="1"/>
  <c r="Y48" i="21" a="1"/>
  <c r="Y48" i="21" s="1"/>
  <c r="Y49" i="21" a="1"/>
  <c r="Y49" i="21" s="1"/>
  <c r="Y50" i="21" a="1"/>
  <c r="Y50" i="21" s="1"/>
  <c r="AA50" i="21" s="1"/>
  <c r="Y51" i="21" a="1"/>
  <c r="Y51" i="21" s="1"/>
  <c r="Y52" i="21" a="1"/>
  <c r="Y52" i="21" s="1"/>
  <c r="Y53" i="21" a="1"/>
  <c r="Y53" i="21" s="1"/>
  <c r="Y54" i="21" a="1"/>
  <c r="Y54" i="21" s="1"/>
  <c r="Y55" i="21" a="1"/>
  <c r="Y55" i="21" s="1"/>
  <c r="Y56" i="21" a="1"/>
  <c r="Y56" i="21" s="1"/>
  <c r="Y57" i="21" a="1"/>
  <c r="Y57" i="21" s="1"/>
  <c r="Y58" i="21" a="1"/>
  <c r="Y58" i="21" s="1"/>
  <c r="AA58" i="21" s="1"/>
  <c r="Y59" i="21" a="1"/>
  <c r="Y59" i="21" s="1"/>
  <c r="Y60" i="21" a="1"/>
  <c r="Y60" i="21" s="1"/>
  <c r="Y61" i="21" a="1"/>
  <c r="Y61" i="21" s="1"/>
  <c r="Y62" i="21" a="1"/>
  <c r="Y62" i="21" s="1"/>
  <c r="Y63" i="21" a="1"/>
  <c r="Y63" i="21" s="1"/>
  <c r="Y64" i="21" a="1"/>
  <c r="Y64" i="21" s="1"/>
  <c r="Y65" i="21" a="1"/>
  <c r="Y65" i="21" s="1"/>
  <c r="Y66" i="21" a="1"/>
  <c r="Y66" i="21" s="1"/>
  <c r="Y67" i="21" a="1"/>
  <c r="Y67" i="21" s="1"/>
  <c r="Y68" i="21" a="1"/>
  <c r="Y68" i="21" s="1"/>
  <c r="Y69" i="21" a="1"/>
  <c r="Y69" i="21" s="1"/>
  <c r="Y70" i="21" a="1"/>
  <c r="Y70" i="21" s="1"/>
  <c r="Y71" i="21" a="1"/>
  <c r="Y71" i="21" s="1"/>
  <c r="Y72" i="21" a="1"/>
  <c r="Y72" i="21" s="1"/>
  <c r="Y73" i="21" a="1"/>
  <c r="Y73" i="21" s="1"/>
  <c r="Y74" i="21" a="1"/>
  <c r="Y74" i="21" s="1"/>
  <c r="Y75" i="21" a="1"/>
  <c r="Y75" i="21" s="1"/>
  <c r="Y76" i="21" a="1"/>
  <c r="Y76" i="21" s="1"/>
  <c r="Y77" i="21" a="1"/>
  <c r="Y77" i="21" s="1"/>
  <c r="Y2" i="21" a="1"/>
  <c r="Y2" i="21" s="1"/>
  <c r="Z77" i="21" a="1"/>
  <c r="Z77" i="21" s="1"/>
  <c r="Z60" i="21" a="1"/>
  <c r="Z60" i="21" s="1"/>
  <c r="Z61" i="21" a="1"/>
  <c r="Z61" i="21" s="1"/>
  <c r="Z62" i="21" a="1"/>
  <c r="Z62" i="21" s="1"/>
  <c r="Z63" i="21" a="1"/>
  <c r="Z63" i="21" s="1"/>
  <c r="Z64" i="21" a="1"/>
  <c r="Z64" i="21" s="1"/>
  <c r="Z65" i="21" a="1"/>
  <c r="Z65" i="21" s="1"/>
  <c r="Z66" i="21" a="1"/>
  <c r="Z66" i="21" s="1"/>
  <c r="Z67" i="21" a="1"/>
  <c r="Z67" i="21" s="1"/>
  <c r="Z68" i="21" a="1"/>
  <c r="Z68" i="21" s="1"/>
  <c r="Z69" i="21" a="1"/>
  <c r="Z69" i="21" s="1"/>
  <c r="Z70" i="21" a="1"/>
  <c r="Z70" i="21" s="1"/>
  <c r="Z71" i="21" a="1"/>
  <c r="Z71" i="21" s="1"/>
  <c r="Z72" i="21" a="1"/>
  <c r="Z72" i="21" s="1"/>
  <c r="Z73" i="21" a="1"/>
  <c r="Z73" i="21" s="1"/>
  <c r="Z74" i="21" a="1"/>
  <c r="Z74" i="21" s="1"/>
  <c r="Z75" i="21" a="1"/>
  <c r="Z75" i="21" s="1"/>
  <c r="Z76" i="21" a="1"/>
  <c r="Z76" i="21" s="1"/>
  <c r="Z41" i="21" a="1"/>
  <c r="Z41" i="21" s="1"/>
  <c r="Z42" i="21" a="1"/>
  <c r="Z42" i="21" s="1"/>
  <c r="Z43" i="21" a="1"/>
  <c r="Z43" i="21" s="1"/>
  <c r="Z44" i="21" a="1"/>
  <c r="Z44" i="21" s="1"/>
  <c r="Z45" i="21" a="1"/>
  <c r="Z45" i="21" s="1"/>
  <c r="Z46" i="21" a="1"/>
  <c r="Z46" i="21" s="1"/>
  <c r="Z47" i="21" a="1"/>
  <c r="Z47" i="21" s="1"/>
  <c r="Z48" i="21" a="1"/>
  <c r="Z48" i="21" s="1"/>
  <c r="Z49" i="21" a="1"/>
  <c r="Z49" i="21" s="1"/>
  <c r="Z50" i="21" a="1"/>
  <c r="Z50" i="21" s="1"/>
  <c r="Z51" i="21" a="1"/>
  <c r="Z51" i="21" s="1"/>
  <c r="Z52" i="21" a="1"/>
  <c r="Z52" i="21" s="1"/>
  <c r="Z53" i="21" a="1"/>
  <c r="Z53" i="21" s="1"/>
  <c r="Z54" i="21" a="1"/>
  <c r="Z54" i="21" s="1"/>
  <c r="Z55" i="21" a="1"/>
  <c r="Z55" i="21" s="1"/>
  <c r="Z56" i="21" a="1"/>
  <c r="Z56" i="21" s="1"/>
  <c r="Z57" i="21" a="1"/>
  <c r="Z57" i="21" s="1"/>
  <c r="Z58" i="21" a="1"/>
  <c r="Z58" i="21" s="1"/>
  <c r="Z59" i="21" a="1"/>
  <c r="Z59" i="21" s="1"/>
  <c r="Z29" i="21" a="1"/>
  <c r="Z29" i="21" s="1"/>
  <c r="Z30" i="21" a="1"/>
  <c r="Z30" i="21" s="1"/>
  <c r="Z31" i="21" a="1"/>
  <c r="Z31" i="21" s="1"/>
  <c r="Z32" i="21" a="1"/>
  <c r="Z32" i="21" s="1"/>
  <c r="Z33" i="21" a="1"/>
  <c r="Z33" i="21" s="1"/>
  <c r="Z34" i="21" a="1"/>
  <c r="Z34" i="21" s="1"/>
  <c r="Z35" i="21" a="1"/>
  <c r="Z35" i="21" s="1"/>
  <c r="Z36" i="21" a="1"/>
  <c r="Z36" i="21" s="1"/>
  <c r="Z37" i="21" a="1"/>
  <c r="Z37" i="21" s="1"/>
  <c r="Z38" i="21" a="1"/>
  <c r="Z38" i="21" s="1"/>
  <c r="Z39" i="21" a="1"/>
  <c r="Z39" i="21" s="1"/>
  <c r="Z40" i="21" a="1"/>
  <c r="Z40" i="21" s="1"/>
  <c r="Z3" i="21" a="1"/>
  <c r="Z3" i="21" s="1"/>
  <c r="Z4" i="21" a="1"/>
  <c r="Z4" i="21" s="1"/>
  <c r="Z5" i="21" a="1"/>
  <c r="Z5" i="21" s="1"/>
  <c r="Z6" i="21" a="1"/>
  <c r="Z6" i="21" s="1"/>
  <c r="Z7" i="21" a="1"/>
  <c r="Z7" i="21" s="1"/>
  <c r="Z8" i="21" a="1"/>
  <c r="Z8" i="21" s="1"/>
  <c r="Z9" i="21" a="1"/>
  <c r="Z9" i="21" s="1"/>
  <c r="Z10" i="21" a="1"/>
  <c r="Z10" i="21" s="1"/>
  <c r="Z11" i="21" a="1"/>
  <c r="Z11" i="21" s="1"/>
  <c r="Z12" i="21" a="1"/>
  <c r="Z12" i="21" s="1"/>
  <c r="Z13" i="21" a="1"/>
  <c r="Z13" i="21" s="1"/>
  <c r="Z14" i="21" a="1"/>
  <c r="Z14" i="21" s="1"/>
  <c r="Z15" i="21" a="1"/>
  <c r="Z15" i="21" s="1"/>
  <c r="Z16" i="21" a="1"/>
  <c r="Z16" i="21" s="1"/>
  <c r="Z17" i="21" a="1"/>
  <c r="Z17" i="21" s="1"/>
  <c r="Z18" i="21" a="1"/>
  <c r="Z18" i="21" s="1"/>
  <c r="Z19" i="21" a="1"/>
  <c r="Z19" i="21" s="1"/>
  <c r="Z20" i="21" a="1"/>
  <c r="Z20" i="21" s="1"/>
  <c r="Z21" i="21" a="1"/>
  <c r="Z21" i="21" s="1"/>
  <c r="Z22" i="21" a="1"/>
  <c r="Z22" i="21" s="1"/>
  <c r="Z23" i="21" a="1"/>
  <c r="Z23" i="21" s="1"/>
  <c r="Z24" i="21" a="1"/>
  <c r="Z24" i="21" s="1"/>
  <c r="Z25" i="21" a="1"/>
  <c r="Z25" i="21" s="1"/>
  <c r="Z26" i="21" a="1"/>
  <c r="Z26" i="21" s="1"/>
  <c r="Z27" i="21" a="1"/>
  <c r="Z27" i="21" s="1"/>
  <c r="Z28" i="21" a="1"/>
  <c r="Z28" i="21" s="1"/>
  <c r="Z2" i="21" a="1"/>
  <c r="Z2" i="21" s="1"/>
  <c r="W3" i="21"/>
  <c r="W4" i="21"/>
  <c r="W5" i="21"/>
  <c r="W6" i="21"/>
  <c r="W7" i="21"/>
  <c r="W8" i="21"/>
  <c r="W9" i="21"/>
  <c r="W10" i="21"/>
  <c r="W11" i="21"/>
  <c r="W12" i="21"/>
  <c r="W13" i="21"/>
  <c r="W14" i="21"/>
  <c r="W15" i="21"/>
  <c r="W16" i="21"/>
  <c r="W17" i="21"/>
  <c r="W18" i="21"/>
  <c r="W19" i="21"/>
  <c r="W20" i="21"/>
  <c r="W21" i="21"/>
  <c r="W22" i="21"/>
  <c r="W23" i="21"/>
  <c r="W24" i="21"/>
  <c r="W25" i="21"/>
  <c r="W26" i="21"/>
  <c r="W27" i="21"/>
  <c r="W28" i="21"/>
  <c r="W29" i="21"/>
  <c r="W30" i="21"/>
  <c r="W31" i="21"/>
  <c r="W32" i="21"/>
  <c r="W33" i="21"/>
  <c r="W34" i="21"/>
  <c r="W35" i="21"/>
  <c r="W36" i="21"/>
  <c r="W37" i="21"/>
  <c r="W38" i="21"/>
  <c r="W39" i="21"/>
  <c r="W40" i="21"/>
  <c r="W41" i="21"/>
  <c r="W42" i="21"/>
  <c r="W43" i="21"/>
  <c r="W44" i="21"/>
  <c r="W45" i="21"/>
  <c r="W46" i="21"/>
  <c r="W47" i="21"/>
  <c r="W48" i="21"/>
  <c r="W49" i="21"/>
  <c r="W50" i="21"/>
  <c r="W51" i="21"/>
  <c r="W52" i="21"/>
  <c r="W53" i="21"/>
  <c r="W54" i="21"/>
  <c r="W55" i="21"/>
  <c r="W56" i="21"/>
  <c r="W57" i="21"/>
  <c r="W58" i="21"/>
  <c r="W59" i="21"/>
  <c r="W60" i="21"/>
  <c r="W61" i="21"/>
  <c r="W62" i="21"/>
  <c r="W63" i="21"/>
  <c r="W64" i="21"/>
  <c r="W65" i="21"/>
  <c r="W66" i="21"/>
  <c r="W67" i="21"/>
  <c r="W68" i="21"/>
  <c r="W69" i="21"/>
  <c r="W70" i="21"/>
  <c r="W71" i="21"/>
  <c r="W72" i="21"/>
  <c r="W73" i="21"/>
  <c r="W74" i="21"/>
  <c r="W75" i="21"/>
  <c r="W76" i="21"/>
  <c r="W77" i="21"/>
  <c r="W2" i="21"/>
  <c r="V20" i="21"/>
  <c r="U3" i="21" a="1"/>
  <c r="U3" i="21" s="1"/>
  <c r="U4" i="21" a="1"/>
  <c r="U4" i="21" s="1"/>
  <c r="U5" i="21" a="1"/>
  <c r="U5" i="21" s="1"/>
  <c r="U6" i="21" a="1"/>
  <c r="U6" i="21" s="1"/>
  <c r="U7" i="21" a="1"/>
  <c r="U7" i="21" s="1"/>
  <c r="U8" i="21" a="1"/>
  <c r="U8" i="21" s="1"/>
  <c r="U9" i="21" a="1"/>
  <c r="U9" i="21" s="1"/>
  <c r="U10" i="21" a="1"/>
  <c r="U10" i="21" s="1"/>
  <c r="U11" i="21" a="1"/>
  <c r="U11" i="21" s="1"/>
  <c r="U12" i="21" a="1"/>
  <c r="U12" i="21" s="1"/>
  <c r="U13" i="21" a="1"/>
  <c r="U13" i="21" s="1"/>
  <c r="U14" i="21" a="1"/>
  <c r="U14" i="21" s="1"/>
  <c r="U15" i="21" a="1"/>
  <c r="U15" i="21" s="1"/>
  <c r="U16" i="21" a="1"/>
  <c r="U16" i="21" s="1"/>
  <c r="U17" i="21" a="1"/>
  <c r="U17" i="21" s="1"/>
  <c r="U18" i="21" a="1"/>
  <c r="U18" i="21" s="1"/>
  <c r="V18" i="21" s="1"/>
  <c r="U19" i="21" a="1"/>
  <c r="U19" i="21" s="1"/>
  <c r="U20" i="21" a="1"/>
  <c r="U20" i="21" s="1"/>
  <c r="U21" i="21" a="1"/>
  <c r="U21" i="21" s="1"/>
  <c r="U22" i="21" a="1"/>
  <c r="U22" i="21" s="1"/>
  <c r="U23" i="21" a="1"/>
  <c r="U23" i="21" s="1"/>
  <c r="U24" i="21" a="1"/>
  <c r="U24" i="21" s="1"/>
  <c r="U25" i="21" a="1"/>
  <c r="U25" i="21" s="1"/>
  <c r="U26" i="21" a="1"/>
  <c r="U26" i="21" s="1"/>
  <c r="U27" i="21" a="1"/>
  <c r="U27" i="21" s="1"/>
  <c r="U28" i="21" a="1"/>
  <c r="U28" i="21" s="1"/>
  <c r="U29" i="21" a="1"/>
  <c r="U29" i="21" s="1"/>
  <c r="U30" i="21" a="1"/>
  <c r="U30" i="21" s="1"/>
  <c r="U31" i="21" a="1"/>
  <c r="U31" i="21" s="1"/>
  <c r="U32" i="21" a="1"/>
  <c r="U32" i="21" s="1"/>
  <c r="U33" i="21" a="1"/>
  <c r="U33" i="21" s="1"/>
  <c r="U34" i="21" a="1"/>
  <c r="U34" i="21" s="1"/>
  <c r="U35" i="21" a="1"/>
  <c r="U35" i="21" s="1"/>
  <c r="U36" i="21" a="1"/>
  <c r="U36" i="21" s="1"/>
  <c r="U37" i="21" a="1"/>
  <c r="U37" i="21"/>
  <c r="U38" i="21" a="1"/>
  <c r="U38" i="21" s="1"/>
  <c r="U39" i="21" a="1"/>
  <c r="U39" i="21" s="1"/>
  <c r="U40" i="21" a="1"/>
  <c r="U40" i="21" s="1"/>
  <c r="U41" i="21" a="1"/>
  <c r="U41" i="21" s="1"/>
  <c r="U42" i="21" a="1"/>
  <c r="U42" i="21" s="1"/>
  <c r="U43" i="21" a="1"/>
  <c r="U43" i="21" s="1"/>
  <c r="U44" i="21" a="1"/>
  <c r="U44" i="21" s="1"/>
  <c r="U45" i="21" a="1"/>
  <c r="U45" i="21" s="1"/>
  <c r="U46" i="21" a="1"/>
  <c r="U46" i="21" s="1"/>
  <c r="U47" i="21" a="1"/>
  <c r="U47" i="21" s="1"/>
  <c r="U48" i="21" a="1"/>
  <c r="U48" i="21" s="1"/>
  <c r="U49" i="21" a="1"/>
  <c r="U49" i="21" s="1"/>
  <c r="U50" i="21" a="1"/>
  <c r="U50" i="21" s="1"/>
  <c r="U51" i="21" a="1"/>
  <c r="U51" i="21" s="1"/>
  <c r="U52" i="21" a="1"/>
  <c r="U52" i="21" s="1"/>
  <c r="U53" i="21" a="1"/>
  <c r="U53" i="21" s="1"/>
  <c r="U54" i="21" a="1"/>
  <c r="U54" i="21" s="1"/>
  <c r="U55" i="21" a="1"/>
  <c r="U55" i="21" s="1"/>
  <c r="U56" i="21" a="1"/>
  <c r="U56" i="21" s="1"/>
  <c r="U57" i="21" a="1"/>
  <c r="U57" i="21" s="1"/>
  <c r="U58" i="21" a="1"/>
  <c r="U58" i="21" s="1"/>
  <c r="U59" i="21" a="1"/>
  <c r="U59" i="21" s="1"/>
  <c r="U60" i="21" a="1"/>
  <c r="U60" i="21" s="1"/>
  <c r="U61" i="21" a="1"/>
  <c r="U61" i="21"/>
  <c r="U62" i="21" a="1"/>
  <c r="U62" i="21" s="1"/>
  <c r="U63" i="21" a="1"/>
  <c r="U63" i="21" s="1"/>
  <c r="U64" i="21" a="1"/>
  <c r="U64" i="21" s="1"/>
  <c r="U65" i="21" a="1"/>
  <c r="U65" i="21" s="1"/>
  <c r="U66" i="21" a="1"/>
  <c r="U66" i="21" s="1"/>
  <c r="U67" i="21" a="1"/>
  <c r="U67" i="21" s="1"/>
  <c r="U68" i="21" a="1"/>
  <c r="U68" i="21" s="1"/>
  <c r="U69" i="21" a="1"/>
  <c r="U69" i="21" s="1"/>
  <c r="U70" i="21" a="1"/>
  <c r="U70" i="21" s="1"/>
  <c r="U71" i="21" a="1"/>
  <c r="U71" i="21" s="1"/>
  <c r="U72" i="21" a="1"/>
  <c r="U72" i="21" s="1"/>
  <c r="U73" i="21" a="1"/>
  <c r="U73" i="21" s="1"/>
  <c r="U74" i="21" a="1"/>
  <c r="U74" i="21" s="1"/>
  <c r="U75" i="21" a="1"/>
  <c r="U75" i="21" s="1"/>
  <c r="U76" i="21" a="1"/>
  <c r="U76" i="21" s="1"/>
  <c r="U77" i="21" a="1"/>
  <c r="U77" i="21" s="1"/>
  <c r="U2" i="21" a="1"/>
  <c r="U2" i="21" s="1"/>
  <c r="T77" i="21" a="1"/>
  <c r="T77" i="21" s="1"/>
  <c r="T75" i="21" a="1"/>
  <c r="T75" i="21" s="1"/>
  <c r="T76" i="21" a="1"/>
  <c r="T76" i="21" s="1"/>
  <c r="T3" i="21" a="1"/>
  <c r="T3" i="21" s="1"/>
  <c r="T4" i="21" a="1"/>
  <c r="T4" i="21" s="1"/>
  <c r="V4" i="21" s="1"/>
  <c r="T5" i="21" a="1"/>
  <c r="T5" i="21" s="1"/>
  <c r="T6" i="21" a="1"/>
  <c r="T6" i="21" s="1"/>
  <c r="T7" i="21" a="1"/>
  <c r="T7" i="21" s="1"/>
  <c r="T8" i="21" a="1"/>
  <c r="T8" i="21" s="1"/>
  <c r="T9" i="21" a="1"/>
  <c r="T9" i="21" s="1"/>
  <c r="T10" i="21" a="1"/>
  <c r="T10" i="21" s="1"/>
  <c r="T11" i="21" a="1"/>
  <c r="T11" i="21" s="1"/>
  <c r="T12" i="21" a="1"/>
  <c r="T12" i="21" s="1"/>
  <c r="T13" i="21" a="1"/>
  <c r="T13" i="21" s="1"/>
  <c r="T14" i="21" a="1"/>
  <c r="T14" i="21" s="1"/>
  <c r="T15" i="21" a="1"/>
  <c r="T15" i="21" s="1"/>
  <c r="T16" i="21" a="1"/>
  <c r="T16" i="21" s="1"/>
  <c r="T17" i="21" a="1"/>
  <c r="T17" i="21" s="1"/>
  <c r="T18" i="21" a="1"/>
  <c r="T18" i="21" s="1"/>
  <c r="T19" i="21" a="1"/>
  <c r="T19" i="21" s="1"/>
  <c r="T20" i="21" a="1"/>
  <c r="T20" i="21" s="1"/>
  <c r="T21" i="21" a="1"/>
  <c r="T21" i="21" s="1"/>
  <c r="T22" i="21" a="1"/>
  <c r="T22" i="21" s="1"/>
  <c r="T23" i="21" a="1"/>
  <c r="T23" i="21" s="1"/>
  <c r="T24" i="21" a="1"/>
  <c r="T24" i="21" s="1"/>
  <c r="T25" i="21" a="1"/>
  <c r="T25" i="21" s="1"/>
  <c r="T26" i="21" a="1"/>
  <c r="T26" i="21" s="1"/>
  <c r="T27" i="21" a="1"/>
  <c r="T27" i="21" s="1"/>
  <c r="V27" i="21" s="1"/>
  <c r="T28" i="21" a="1"/>
  <c r="T28" i="21" s="1"/>
  <c r="T29" i="21" a="1"/>
  <c r="T29" i="21" s="1"/>
  <c r="T30" i="21" a="1"/>
  <c r="T30" i="21" s="1"/>
  <c r="T31" i="21" a="1"/>
  <c r="T31" i="21" s="1"/>
  <c r="T32" i="21" a="1"/>
  <c r="T32" i="21" s="1"/>
  <c r="T33" i="21" a="1"/>
  <c r="T33" i="21" s="1"/>
  <c r="T34" i="21" a="1"/>
  <c r="T34" i="21" s="1"/>
  <c r="T35" i="21" a="1"/>
  <c r="T35" i="21" s="1"/>
  <c r="T36" i="21" a="1"/>
  <c r="T36" i="21" s="1"/>
  <c r="V36" i="21" s="1"/>
  <c r="T37" i="21" a="1"/>
  <c r="T37" i="21" s="1"/>
  <c r="T38" i="21" a="1"/>
  <c r="T38" i="21" s="1"/>
  <c r="T39" i="21" a="1"/>
  <c r="T39" i="21" s="1"/>
  <c r="T40" i="21" a="1"/>
  <c r="T40" i="21" s="1"/>
  <c r="T41" i="21" a="1"/>
  <c r="T41" i="21" s="1"/>
  <c r="V41" i="21" s="1"/>
  <c r="T42" i="21" a="1"/>
  <c r="T42" i="21" s="1"/>
  <c r="T43" i="21" a="1"/>
  <c r="T43" i="21" s="1"/>
  <c r="T44" i="21" a="1"/>
  <c r="T44" i="21" s="1"/>
  <c r="T45" i="21" a="1"/>
  <c r="T45" i="21" s="1"/>
  <c r="T46" i="21" a="1"/>
  <c r="T46" i="21" s="1"/>
  <c r="T47" i="21" a="1"/>
  <c r="T47" i="21" s="1"/>
  <c r="T48" i="21" a="1"/>
  <c r="T48" i="21" s="1"/>
  <c r="T49" i="21" a="1"/>
  <c r="T49" i="21" s="1"/>
  <c r="V49" i="21" s="1"/>
  <c r="T50" i="21" a="1"/>
  <c r="T50" i="21" s="1"/>
  <c r="T51" i="21" a="1"/>
  <c r="T51" i="21" s="1"/>
  <c r="T52" i="21" a="1"/>
  <c r="T52" i="21" s="1"/>
  <c r="V52" i="21" s="1"/>
  <c r="T53" i="21" a="1"/>
  <c r="T53" i="21" s="1"/>
  <c r="T54" i="21" a="1"/>
  <c r="T54" i="21" s="1"/>
  <c r="T55" i="21" a="1"/>
  <c r="T55" i="21" s="1"/>
  <c r="T56" i="21" a="1"/>
  <c r="T56" i="21" s="1"/>
  <c r="V56" i="21" s="1"/>
  <c r="T57" i="21" a="1"/>
  <c r="T57" i="21" s="1"/>
  <c r="T58" i="21" a="1"/>
  <c r="T58" i="21" s="1"/>
  <c r="T59" i="21" a="1"/>
  <c r="T59" i="21" s="1"/>
  <c r="T60" i="21" a="1"/>
  <c r="T60" i="21" s="1"/>
  <c r="T61" i="21" a="1"/>
  <c r="T61" i="21" s="1"/>
  <c r="T62" i="21" a="1"/>
  <c r="T62" i="21" s="1"/>
  <c r="V62" i="21" s="1"/>
  <c r="T63" i="21" a="1"/>
  <c r="T63" i="21" s="1"/>
  <c r="V63" i="21" s="1"/>
  <c r="T64" i="21" a="1"/>
  <c r="T64" i="21" s="1"/>
  <c r="V64" i="21" s="1"/>
  <c r="T65" i="21" a="1"/>
  <c r="T65" i="21" s="1"/>
  <c r="T66" i="21" a="1"/>
  <c r="T66" i="21" s="1"/>
  <c r="T67" i="21" a="1"/>
  <c r="T67" i="21" s="1"/>
  <c r="V67" i="21" s="1"/>
  <c r="T68" i="21" a="1"/>
  <c r="T68" i="21" s="1"/>
  <c r="T69" i="21" a="1"/>
  <c r="T69" i="21" s="1"/>
  <c r="T70" i="21" a="1"/>
  <c r="T70" i="21" s="1"/>
  <c r="T71" i="21" a="1"/>
  <c r="T71" i="21" s="1"/>
  <c r="T72" i="21" a="1"/>
  <c r="T72" i="21" s="1"/>
  <c r="V72" i="21" s="1"/>
  <c r="T73" i="21" a="1"/>
  <c r="T73" i="21" s="1"/>
  <c r="T74" i="21" a="1"/>
  <c r="T74" i="21" s="1"/>
  <c r="T2" i="21" a="1"/>
  <c r="T2" i="21" s="1"/>
  <c r="V2" i="21" s="1"/>
  <c r="G3" i="21"/>
  <c r="G4" i="21"/>
  <c r="G5" i="21"/>
  <c r="G6" i="21"/>
  <c r="G7" i="21"/>
  <c r="G8" i="21"/>
  <c r="G9" i="21"/>
  <c r="G10" i="21"/>
  <c r="G11" i="21"/>
  <c r="G12" i="21"/>
  <c r="G13" i="21"/>
  <c r="G14" i="21"/>
  <c r="G15" i="21"/>
  <c r="G16" i="21"/>
  <c r="G17" i="21"/>
  <c r="G18" i="21"/>
  <c r="G19" i="21"/>
  <c r="G20" i="21"/>
  <c r="G21" i="21"/>
  <c r="G22" i="21"/>
  <c r="G23" i="21"/>
  <c r="G24" i="21"/>
  <c r="G25" i="21"/>
  <c r="G26" i="21"/>
  <c r="G27" i="21"/>
  <c r="G28" i="21"/>
  <c r="G29" i="21"/>
  <c r="G30" i="21"/>
  <c r="G31" i="21"/>
  <c r="G32" i="21"/>
  <c r="G33" i="21"/>
  <c r="G34" i="21"/>
  <c r="G35" i="21"/>
  <c r="G36" i="21"/>
  <c r="G37" i="21"/>
  <c r="G38" i="21"/>
  <c r="G39" i="21"/>
  <c r="G40" i="21"/>
  <c r="G41" i="21"/>
  <c r="G42" i="21"/>
  <c r="G43" i="21"/>
  <c r="G44" i="21"/>
  <c r="G45" i="21"/>
  <c r="G46" i="21"/>
  <c r="G47" i="21"/>
  <c r="G48" i="21"/>
  <c r="G49" i="21"/>
  <c r="G50" i="21"/>
  <c r="G51" i="21"/>
  <c r="G52" i="21"/>
  <c r="G53" i="21"/>
  <c r="G54" i="21"/>
  <c r="G55" i="21"/>
  <c r="G56" i="21"/>
  <c r="G57" i="21"/>
  <c r="G58" i="21"/>
  <c r="G59" i="21"/>
  <c r="G60" i="21"/>
  <c r="G61" i="21"/>
  <c r="G62" i="21"/>
  <c r="G63" i="21"/>
  <c r="G64" i="21"/>
  <c r="G65" i="21"/>
  <c r="G66" i="21"/>
  <c r="G67" i="21"/>
  <c r="G68" i="21"/>
  <c r="G69" i="21"/>
  <c r="G70" i="21"/>
  <c r="G71" i="21"/>
  <c r="G72" i="21"/>
  <c r="G73" i="21"/>
  <c r="G74" i="21"/>
  <c r="G75" i="21"/>
  <c r="G76" i="21"/>
  <c r="G77" i="21"/>
  <c r="G2" i="21"/>
  <c r="R3" i="21"/>
  <c r="R4" i="21"/>
  <c r="R5" i="21"/>
  <c r="R6" i="21"/>
  <c r="R7" i="21"/>
  <c r="R8" i="21"/>
  <c r="R9" i="21"/>
  <c r="R10" i="21"/>
  <c r="R11" i="21"/>
  <c r="R12" i="21"/>
  <c r="R13" i="21"/>
  <c r="R14" i="21"/>
  <c r="R15" i="21"/>
  <c r="R16" i="21"/>
  <c r="R17" i="21"/>
  <c r="R18" i="21"/>
  <c r="R19" i="21"/>
  <c r="R20" i="21"/>
  <c r="R21" i="21"/>
  <c r="R22" i="21"/>
  <c r="R23" i="21"/>
  <c r="R24" i="21"/>
  <c r="R25" i="21"/>
  <c r="R26" i="21"/>
  <c r="R27" i="21"/>
  <c r="R28" i="21"/>
  <c r="R29" i="21"/>
  <c r="R30" i="21"/>
  <c r="R31" i="21"/>
  <c r="R32" i="21"/>
  <c r="R33" i="21"/>
  <c r="R34" i="21"/>
  <c r="R35" i="21"/>
  <c r="R36" i="21"/>
  <c r="R37" i="21"/>
  <c r="R38" i="21"/>
  <c r="R39" i="21"/>
  <c r="R40" i="21"/>
  <c r="R41" i="21"/>
  <c r="R42" i="21"/>
  <c r="R43" i="21"/>
  <c r="R44" i="21"/>
  <c r="R45" i="21"/>
  <c r="R46" i="21"/>
  <c r="R47" i="21"/>
  <c r="R48" i="21"/>
  <c r="R49" i="21"/>
  <c r="R50" i="21"/>
  <c r="R51" i="21"/>
  <c r="R52" i="21"/>
  <c r="R53" i="21"/>
  <c r="R54" i="21"/>
  <c r="R55" i="21"/>
  <c r="R56" i="21"/>
  <c r="R57" i="21"/>
  <c r="R58" i="21"/>
  <c r="R59" i="21"/>
  <c r="R60" i="21"/>
  <c r="R61" i="21"/>
  <c r="R62" i="21"/>
  <c r="R63" i="21"/>
  <c r="R64" i="21"/>
  <c r="R65" i="21"/>
  <c r="R66" i="21"/>
  <c r="R67" i="21"/>
  <c r="R68" i="21"/>
  <c r="R69" i="21"/>
  <c r="R70" i="21"/>
  <c r="R71" i="21"/>
  <c r="R72" i="21"/>
  <c r="R73" i="21"/>
  <c r="R74" i="21"/>
  <c r="R75" i="21"/>
  <c r="R76" i="21"/>
  <c r="R77" i="21"/>
  <c r="R2" i="21"/>
  <c r="C3" i="17"/>
  <c r="C4" i="17"/>
  <c r="C5" i="17"/>
  <c r="C6"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69" i="17"/>
  <c r="C70" i="17"/>
  <c r="C71" i="17"/>
  <c r="C72" i="17"/>
  <c r="C73" i="17"/>
  <c r="C74" i="17"/>
  <c r="C75" i="17"/>
  <c r="C76" i="17"/>
  <c r="C77" i="17"/>
  <c r="C78" i="17"/>
  <c r="C79" i="17"/>
  <c r="C80" i="17"/>
  <c r="C81" i="17"/>
  <c r="C82" i="17"/>
  <c r="C83" i="17"/>
  <c r="C84" i="17"/>
  <c r="C85" i="17"/>
  <c r="C2" i="17"/>
  <c r="B3" i="17"/>
  <c r="B4" i="17"/>
  <c r="B5" i="17"/>
  <c r="B6" i="17"/>
  <c r="B7" i="17"/>
  <c r="B8" i="17"/>
  <c r="B9" i="17"/>
  <c r="B10" i="17"/>
  <c r="B11" i="17"/>
  <c r="B12" i="17"/>
  <c r="B13" i="17"/>
  <c r="B14" i="17"/>
  <c r="B15" i="17"/>
  <c r="B16" i="17"/>
  <c r="B17" i="17"/>
  <c r="B18" i="17"/>
  <c r="B19" i="17"/>
  <c r="B20" i="17"/>
  <c r="B21" i="17"/>
  <c r="B22" i="17"/>
  <c r="B23" i="17"/>
  <c r="B24" i="17"/>
  <c r="B25" i="17"/>
  <c r="B26" i="17"/>
  <c r="B27" i="17"/>
  <c r="B28" i="17"/>
  <c r="B29" i="17"/>
  <c r="B30" i="17"/>
  <c r="B31" i="17"/>
  <c r="B32" i="17"/>
  <c r="B33" i="17"/>
  <c r="B34" i="17"/>
  <c r="B35" i="17"/>
  <c r="B36" i="17"/>
  <c r="B37" i="17"/>
  <c r="B38" i="17"/>
  <c r="B39" i="17"/>
  <c r="B40" i="17"/>
  <c r="B41" i="17"/>
  <c r="B42" i="17"/>
  <c r="B43" i="17"/>
  <c r="B44" i="17"/>
  <c r="B45" i="17"/>
  <c r="B46" i="17"/>
  <c r="B47" i="17"/>
  <c r="B48" i="17"/>
  <c r="B49" i="17"/>
  <c r="B50" i="17"/>
  <c r="B51" i="17"/>
  <c r="B52" i="17"/>
  <c r="B53" i="17"/>
  <c r="B54" i="17"/>
  <c r="B55" i="17"/>
  <c r="B56" i="17"/>
  <c r="B57" i="17"/>
  <c r="B58" i="17"/>
  <c r="B59" i="17"/>
  <c r="B60" i="17"/>
  <c r="B61" i="17"/>
  <c r="B62" i="17"/>
  <c r="B63" i="17"/>
  <c r="B64" i="17"/>
  <c r="B65" i="17"/>
  <c r="B66" i="17"/>
  <c r="B67" i="17"/>
  <c r="B68" i="17"/>
  <c r="B69" i="17"/>
  <c r="B70" i="17"/>
  <c r="B71" i="17"/>
  <c r="B72" i="17"/>
  <c r="B73" i="17"/>
  <c r="B74" i="17"/>
  <c r="B75" i="17"/>
  <c r="B76" i="17"/>
  <c r="B77" i="17"/>
  <c r="B78" i="17"/>
  <c r="B79" i="17"/>
  <c r="B80" i="17"/>
  <c r="B81" i="17"/>
  <c r="B82" i="17"/>
  <c r="B83" i="17"/>
  <c r="B84" i="17"/>
  <c r="B85" i="17"/>
  <c r="B2" i="17"/>
  <c r="I5" i="16"/>
  <c r="L5" i="16" s="1"/>
  <c r="N22" i="23" l="1"/>
  <c r="N39" i="23"/>
  <c r="N47" i="23"/>
  <c r="N55" i="23"/>
  <c r="N63" i="23"/>
  <c r="N67" i="23"/>
  <c r="N69" i="23"/>
  <c r="N74" i="23"/>
  <c r="K25" i="23"/>
  <c r="N21" i="23"/>
  <c r="T50" i="23"/>
  <c r="T43" i="23"/>
  <c r="T35" i="23"/>
  <c r="T27" i="23"/>
  <c r="T19" i="23"/>
  <c r="T12" i="23"/>
  <c r="N71" i="23"/>
  <c r="T49" i="23"/>
  <c r="K75" i="23"/>
  <c r="N76" i="23"/>
  <c r="N16" i="23"/>
  <c r="K17" i="23"/>
  <c r="N5" i="23"/>
  <c r="K72" i="23"/>
  <c r="N73" i="23"/>
  <c r="K30" i="23"/>
  <c r="N13" i="23"/>
  <c r="K35" i="23"/>
  <c r="K16" i="23"/>
  <c r="N34" i="23"/>
  <c r="N12" i="23"/>
  <c r="N4" i="23"/>
  <c r="N6" i="23"/>
  <c r="T71" i="23"/>
  <c r="T9" i="23"/>
  <c r="N40" i="23"/>
  <c r="N44" i="23"/>
  <c r="N48" i="23"/>
  <c r="N50" i="23"/>
  <c r="N56" i="23"/>
  <c r="N60" i="23"/>
  <c r="N66" i="23"/>
  <c r="N68" i="23"/>
  <c r="K77" i="23"/>
  <c r="K74" i="23"/>
  <c r="N75" i="23"/>
  <c r="K14" i="23"/>
  <c r="N10" i="23"/>
  <c r="N30" i="23"/>
  <c r="K39" i="23"/>
  <c r="K41" i="23"/>
  <c r="K43" i="23"/>
  <c r="K45" i="23"/>
  <c r="K47" i="23"/>
  <c r="K49" i="23"/>
  <c r="K51" i="23"/>
  <c r="K53" i="23"/>
  <c r="K55" i="23"/>
  <c r="K57" i="23"/>
  <c r="K59" i="23"/>
  <c r="K61" i="23"/>
  <c r="K63" i="23"/>
  <c r="K65" i="23"/>
  <c r="K67" i="23"/>
  <c r="K69" i="23"/>
  <c r="K71" i="23"/>
  <c r="N72" i="23"/>
  <c r="K76" i="23"/>
  <c r="N77" i="23"/>
  <c r="K52" i="23"/>
  <c r="Q52" i="23"/>
  <c r="N62" i="23"/>
  <c r="N54" i="23"/>
  <c r="N42" i="23"/>
  <c r="N46" i="23"/>
  <c r="N58" i="23"/>
  <c r="T61" i="23"/>
  <c r="K12" i="23"/>
  <c r="N65" i="23"/>
  <c r="N49" i="23"/>
  <c r="N33" i="23"/>
  <c r="T34" i="23"/>
  <c r="T26" i="23"/>
  <c r="T18" i="23"/>
  <c r="T25" i="23"/>
  <c r="K11" i="23"/>
  <c r="T54" i="23"/>
  <c r="T40" i="23"/>
  <c r="T16" i="23"/>
  <c r="K38" i="23"/>
  <c r="N32" i="23"/>
  <c r="N9" i="23"/>
  <c r="N70" i="23"/>
  <c r="N64" i="23"/>
  <c r="N2" i="23"/>
  <c r="K36" i="23"/>
  <c r="K20" i="23"/>
  <c r="K4" i="23"/>
  <c r="N61" i="23"/>
  <c r="N53" i="23"/>
  <c r="N45" i="23"/>
  <c r="N37" i="23"/>
  <c r="N29" i="23"/>
  <c r="N15" i="23"/>
  <c r="T45" i="23"/>
  <c r="N17" i="23"/>
  <c r="T66" i="23"/>
  <c r="T8" i="23"/>
  <c r="K29" i="23"/>
  <c r="K24" i="23"/>
  <c r="K28" i="23"/>
  <c r="K6" i="23"/>
  <c r="N59" i="23"/>
  <c r="N51" i="23"/>
  <c r="N43" i="23"/>
  <c r="N35" i="23"/>
  <c r="N27" i="23"/>
  <c r="T65" i="23"/>
  <c r="K27" i="23"/>
  <c r="N19" i="23"/>
  <c r="N57" i="23"/>
  <c r="N41" i="23"/>
  <c r="N25" i="23"/>
  <c r="T53" i="23"/>
  <c r="T38" i="23"/>
  <c r="T14" i="23"/>
  <c r="K34" i="23"/>
  <c r="K18" i="23"/>
  <c r="K13" i="23"/>
  <c r="T73" i="23"/>
  <c r="T58" i="23"/>
  <c r="T20" i="23"/>
  <c r="T13" i="23"/>
  <c r="N52" i="23"/>
  <c r="N36" i="23"/>
  <c r="T57" i="23"/>
  <c r="T6" i="23"/>
  <c r="V54" i="21"/>
  <c r="V46" i="21"/>
  <c r="V30" i="21"/>
  <c r="V22" i="21"/>
  <c r="V14" i="21"/>
  <c r="V10" i="21"/>
  <c r="V3" i="21"/>
  <c r="Y43" i="21" a="1"/>
  <c r="Y43" i="21" s="1"/>
  <c r="Y34" i="21" a="1"/>
  <c r="Y34" i="21" s="1"/>
  <c r="Y21" i="21" a="1"/>
  <c r="Y21" i="21" s="1"/>
  <c r="AA32" i="21"/>
  <c r="AA33" i="21"/>
  <c r="AA3" i="21"/>
  <c r="AA4" i="21"/>
  <c r="V73" i="21"/>
  <c r="V33" i="21"/>
  <c r="V17" i="21"/>
  <c r="V9" i="21"/>
  <c r="AA54" i="21"/>
  <c r="Y46" i="21" a="1"/>
  <c r="Y46" i="21" s="1"/>
  <c r="Y38" i="21" a="1"/>
  <c r="Y38" i="21" s="1"/>
  <c r="AA38" i="21" s="1"/>
  <c r="Y26" i="21" a="1"/>
  <c r="Y26" i="21" s="1"/>
  <c r="V74" i="21"/>
  <c r="V76" i="21"/>
  <c r="V48" i="21"/>
  <c r="V32" i="21"/>
  <c r="V16" i="21"/>
  <c r="AA77" i="21"/>
  <c r="AA69" i="21"/>
  <c r="AA61" i="21"/>
  <c r="Y45" i="21" a="1"/>
  <c r="Y45" i="21" s="1"/>
  <c r="AA45" i="21" s="1"/>
  <c r="M7" i="21" s="1"/>
  <c r="Y37" i="21" a="1"/>
  <c r="Y37" i="21" s="1"/>
  <c r="Y23" i="21" a="1"/>
  <c r="Y23" i="21" s="1"/>
  <c r="V44" i="21"/>
  <c r="V24" i="21"/>
  <c r="V8" i="21"/>
  <c r="V12" i="21"/>
  <c r="V55" i="21"/>
  <c r="V47" i="21"/>
  <c r="V39" i="21"/>
  <c r="V31" i="21"/>
  <c r="V23" i="21"/>
  <c r="V15" i="21"/>
  <c r="V7" i="21"/>
  <c r="V34" i="21"/>
  <c r="V26" i="21"/>
  <c r="AA76" i="21"/>
  <c r="AA68" i="21"/>
  <c r="AA60" i="21"/>
  <c r="Y36" i="21" a="1"/>
  <c r="Y36" i="21" s="1"/>
  <c r="AA2" i="21"/>
  <c r="AA70" i="21"/>
  <c r="AA46" i="21"/>
  <c r="AA30" i="21"/>
  <c r="AA22" i="21"/>
  <c r="AA14" i="21"/>
  <c r="AA53" i="21"/>
  <c r="AA37" i="21"/>
  <c r="AA29" i="21"/>
  <c r="AA21" i="21"/>
  <c r="AA12" i="21"/>
  <c r="V38" i="21"/>
  <c r="V77" i="21"/>
  <c r="AA52" i="21"/>
  <c r="AA44" i="21"/>
  <c r="AA36" i="21"/>
  <c r="AA28" i="21"/>
  <c r="AA20" i="21"/>
  <c r="Y11" i="21" a="1"/>
  <c r="Y11" i="21" s="1"/>
  <c r="AA11" i="21" s="1"/>
  <c r="V69" i="21"/>
  <c r="V61" i="21"/>
  <c r="V53" i="21"/>
  <c r="V45" i="21"/>
  <c r="V37" i="21"/>
  <c r="V29" i="21"/>
  <c r="V21" i="21"/>
  <c r="V13" i="21"/>
  <c r="V5" i="21"/>
  <c r="AA75" i="21"/>
  <c r="AA67" i="21"/>
  <c r="AA59" i="21"/>
  <c r="AA43" i="21"/>
  <c r="Y35" i="21" a="1"/>
  <c r="Y35" i="21" s="1"/>
  <c r="AA35" i="21" s="1"/>
  <c r="Y27" i="21" a="1"/>
  <c r="Y27" i="21" s="1"/>
  <c r="AA27" i="21" s="1"/>
  <c r="Y19" i="21" a="1"/>
  <c r="Y19" i="21" s="1"/>
  <c r="AA19" i="21" s="1"/>
  <c r="Y10" i="21" a="1"/>
  <c r="Y10" i="21" s="1"/>
  <c r="AA10" i="21" s="1"/>
  <c r="AA74" i="21"/>
  <c r="AA66" i="21"/>
  <c r="AA42" i="21"/>
  <c r="AA34" i="21"/>
  <c r="AA26" i="21"/>
  <c r="AA18" i="21"/>
  <c r="Y7" i="21" a="1"/>
  <c r="Y7" i="21" s="1"/>
  <c r="AA7" i="21" s="1"/>
  <c r="V68" i="21"/>
  <c r="V59" i="21"/>
  <c r="V51" i="21"/>
  <c r="V43" i="21"/>
  <c r="V35" i="21"/>
  <c r="V19" i="21"/>
  <c r="V11" i="21"/>
  <c r="V28" i="21"/>
  <c r="AA73" i="21"/>
  <c r="AA65" i="21"/>
  <c r="AA57" i="21"/>
  <c r="AA49" i="21"/>
  <c r="AA41" i="21"/>
  <c r="Y25" i="21" a="1"/>
  <c r="Y25" i="21" s="1"/>
  <c r="AA25" i="21" s="1"/>
  <c r="Y17" i="21" a="1"/>
  <c r="Y17" i="21" s="1"/>
  <c r="AA17" i="21" s="1"/>
  <c r="Y5" i="21" a="1"/>
  <c r="Y5" i="21" s="1"/>
  <c r="AA5" i="21" s="1"/>
  <c r="V71" i="21"/>
  <c r="V66" i="21"/>
  <c r="V58" i="21"/>
  <c r="V50" i="21"/>
  <c r="V42" i="21"/>
  <c r="V60" i="21"/>
  <c r="AA72" i="21"/>
  <c r="AA64" i="21"/>
  <c r="AA56" i="21"/>
  <c r="AA48" i="21"/>
  <c r="Y24" i="21" a="1"/>
  <c r="Y24" i="21" s="1"/>
  <c r="AA24" i="21" s="1"/>
  <c r="Y16" i="21" a="1"/>
  <c r="Y16" i="21" s="1"/>
  <c r="AA16" i="21" s="1"/>
  <c r="V6" i="21"/>
  <c r="V65" i="21"/>
  <c r="V57" i="21"/>
  <c r="J7" i="21" s="1"/>
  <c r="V25" i="21"/>
  <c r="V75" i="21"/>
  <c r="AA71" i="21"/>
  <c r="AA63" i="21"/>
  <c r="AA55" i="21"/>
  <c r="AA47" i="21"/>
  <c r="AA39" i="21"/>
  <c r="AA31" i="21"/>
  <c r="AA23" i="21"/>
  <c r="Y15" i="21" a="1"/>
  <c r="Y15" i="21" s="1"/>
  <c r="AA15" i="21" s="1"/>
  <c r="Y6" i="21" a="1"/>
  <c r="Y6" i="21" s="1"/>
  <c r="AA6" i="21" s="1"/>
  <c r="Y13" i="21" a="1"/>
  <c r="Y13" i="21" s="1"/>
  <c r="AA13" i="21" s="1"/>
  <c r="AA62" i="21"/>
  <c r="AA51" i="21"/>
  <c r="V70" i="21"/>
  <c r="Y9" i="21" a="1"/>
  <c r="Y9" i="21" s="1"/>
  <c r="AA9" i="21" s="1"/>
  <c r="Y8" i="21" a="1"/>
  <c r="Y8" i="21" s="1"/>
  <c r="AA8" i="21" s="1"/>
  <c r="A3" i="7"/>
  <c r="A4" i="7" s="1"/>
  <c r="C2" i="7"/>
  <c r="B2" i="7"/>
  <c r="A2" i="7"/>
  <c r="E83" i="3" a="1"/>
  <c r="E83" i="3" s="1"/>
  <c r="E43" i="3" a="1"/>
  <c r="E43" i="3" s="1"/>
  <c r="E44" i="3" a="1"/>
  <c r="E44" i="3" s="1"/>
  <c r="E45" i="3" a="1"/>
  <c r="E45" i="3" s="1"/>
  <c r="E46" i="3" a="1"/>
  <c r="E46" i="3" s="1"/>
  <c r="E47" i="3" a="1"/>
  <c r="E47" i="3" s="1"/>
  <c r="E48" i="3" a="1"/>
  <c r="E48" i="3" s="1"/>
  <c r="E49" i="3" a="1"/>
  <c r="E49" i="3" s="1"/>
  <c r="E50" i="3" a="1"/>
  <c r="E50" i="3" s="1"/>
  <c r="E51" i="3" a="1"/>
  <c r="E51" i="3" s="1"/>
  <c r="E52" i="3" a="1"/>
  <c r="E52" i="3" s="1"/>
  <c r="E53" i="3" a="1"/>
  <c r="E53" i="3" s="1"/>
  <c r="E54" i="3" a="1"/>
  <c r="E54" i="3" s="1"/>
  <c r="E55" i="3" a="1"/>
  <c r="E55" i="3" s="1"/>
  <c r="E56" i="3" a="1"/>
  <c r="E56" i="3" s="1"/>
  <c r="E57" i="3" a="1"/>
  <c r="E57" i="3" s="1"/>
  <c r="E58" i="3" a="1"/>
  <c r="E58" i="3" s="1"/>
  <c r="E59" i="3" a="1"/>
  <c r="E59" i="3" s="1"/>
  <c r="E60" i="3" a="1"/>
  <c r="E60" i="3" s="1"/>
  <c r="E61" i="3" a="1"/>
  <c r="E61" i="3" s="1"/>
  <c r="E62" i="3" a="1"/>
  <c r="E62" i="3" s="1"/>
  <c r="E63" i="3" a="1"/>
  <c r="E63" i="3" s="1"/>
  <c r="E64" i="3" a="1"/>
  <c r="E64" i="3" s="1"/>
  <c r="E65" i="3" a="1"/>
  <c r="E65" i="3" s="1"/>
  <c r="E66" i="3" a="1"/>
  <c r="E66" i="3" s="1"/>
  <c r="E67" i="3" a="1"/>
  <c r="E67" i="3" s="1"/>
  <c r="E68" i="3" a="1"/>
  <c r="E68" i="3" s="1"/>
  <c r="E69" i="3" a="1"/>
  <c r="E69" i="3" s="1"/>
  <c r="E70" i="3" a="1"/>
  <c r="E70" i="3" s="1"/>
  <c r="E71" i="3" a="1"/>
  <c r="E71" i="3" s="1"/>
  <c r="E72" i="3" a="1"/>
  <c r="E72" i="3" s="1"/>
  <c r="E73" i="3" a="1"/>
  <c r="E73" i="3" s="1"/>
  <c r="E74" i="3" a="1"/>
  <c r="E74" i="3" s="1"/>
  <c r="E75" i="3" a="1"/>
  <c r="E75" i="3" s="1"/>
  <c r="E76" i="3" a="1"/>
  <c r="E76" i="3" s="1"/>
  <c r="E77" i="3" a="1"/>
  <c r="E77" i="3" s="1"/>
  <c r="E78" i="3" a="1"/>
  <c r="E78" i="3" s="1"/>
  <c r="E79" i="3" a="1"/>
  <c r="E79" i="3" s="1"/>
  <c r="E80" i="3" a="1"/>
  <c r="E80" i="3" s="1"/>
  <c r="E81" i="3" a="1"/>
  <c r="E81" i="3" s="1"/>
  <c r="E82" i="3" a="1"/>
  <c r="E82" i="3" s="1"/>
  <c r="E84" i="3" a="1"/>
  <c r="E84" i="3" s="1"/>
  <c r="E85" i="3" a="1"/>
  <c r="E85" i="3" s="1"/>
  <c r="E86" i="3" a="1"/>
  <c r="E86" i="3" s="1"/>
  <c r="E87" i="3" a="1"/>
  <c r="E87" i="3" s="1"/>
  <c r="E88" i="3" a="1"/>
  <c r="E88" i="3" s="1"/>
  <c r="E89" i="3" a="1"/>
  <c r="E89" i="3" s="1"/>
  <c r="E90" i="3" a="1"/>
  <c r="E90" i="3" s="1"/>
  <c r="E91" i="3" a="1"/>
  <c r="E91" i="3" s="1"/>
  <c r="E92" i="3" a="1"/>
  <c r="E92" i="3" s="1"/>
  <c r="E95" i="3" a="1"/>
  <c r="E95" i="3" s="1"/>
  <c r="E96" i="3" a="1"/>
  <c r="E96" i="3" s="1"/>
  <c r="E97" i="3" a="1"/>
  <c r="E97" i="3" s="1"/>
  <c r="E98" i="3" a="1"/>
  <c r="E98" i="3" s="1"/>
  <c r="E99" i="3" a="1"/>
  <c r="E99" i="3" s="1"/>
  <c r="E100" i="3" a="1"/>
  <c r="E100" i="3" s="1"/>
  <c r="E101" i="3" a="1"/>
  <c r="E101" i="3" s="1"/>
  <c r="E102" i="3" a="1"/>
  <c r="E102" i="3" s="1"/>
  <c r="E103" i="3" a="1"/>
  <c r="E103" i="3" s="1"/>
  <c r="E104" i="3" a="1"/>
  <c r="E104" i="3" s="1"/>
  <c r="E105" i="3" a="1"/>
  <c r="E105" i="3" s="1"/>
  <c r="E106" i="3" a="1"/>
  <c r="E106" i="3" s="1"/>
  <c r="E107" i="3" a="1"/>
  <c r="E107" i="3" s="1"/>
  <c r="E108" i="3" a="1"/>
  <c r="E108" i="3" s="1"/>
  <c r="E109" i="3" a="1"/>
  <c r="E109" i="3" s="1"/>
  <c r="E110" i="3" a="1"/>
  <c r="E110" i="3" s="1"/>
  <c r="E111" i="3" a="1"/>
  <c r="E111" i="3" s="1"/>
  <c r="E112" i="3" a="1"/>
  <c r="E112" i="3" s="1"/>
  <c r="E113" i="3" a="1"/>
  <c r="E113" i="3" s="1"/>
  <c r="E114" i="3" a="1"/>
  <c r="E114" i="3" s="1"/>
  <c r="E115" i="3" a="1"/>
  <c r="E115" i="3" s="1"/>
  <c r="E116" i="3" a="1"/>
  <c r="E116" i="3" s="1"/>
  <c r="E117" i="3" a="1"/>
  <c r="E117" i="3" s="1"/>
  <c r="E118" i="3" a="1"/>
  <c r="E118" i="3" s="1"/>
  <c r="E42" i="3" a="1"/>
  <c r="E42" i="3" s="1"/>
  <c r="D69" i="3" a="1"/>
  <c r="D69" i="3" s="1"/>
  <c r="F69" i="3" s="1"/>
  <c r="D43" i="3" a="1"/>
  <c r="D43" i="3" s="1"/>
  <c r="D44" i="3" a="1"/>
  <c r="D44" i="3" s="1"/>
  <c r="D45" i="3" a="1"/>
  <c r="D45" i="3" s="1"/>
  <c r="D46" i="3" a="1"/>
  <c r="D46" i="3" s="1"/>
  <c r="D47" i="3" a="1"/>
  <c r="D47" i="3" s="1"/>
  <c r="F47" i="3" s="1"/>
  <c r="D48" i="3" a="1"/>
  <c r="D48" i="3" s="1"/>
  <c r="D49" i="3" a="1"/>
  <c r="D49" i="3" s="1"/>
  <c r="D50" i="3" a="1"/>
  <c r="D50" i="3" s="1"/>
  <c r="D51" i="3" a="1"/>
  <c r="D51" i="3" s="1"/>
  <c r="D52" i="3" a="1"/>
  <c r="D52" i="3" s="1"/>
  <c r="D53" i="3" a="1"/>
  <c r="D53" i="3" s="1"/>
  <c r="D54" i="3" a="1"/>
  <c r="D54" i="3" s="1"/>
  <c r="D55" i="3" a="1"/>
  <c r="D55" i="3" s="1"/>
  <c r="F55" i="3" s="1"/>
  <c r="D56" i="3" a="1"/>
  <c r="D56" i="3" s="1"/>
  <c r="D57" i="3" a="1"/>
  <c r="D57" i="3" s="1"/>
  <c r="D58" i="3" a="1"/>
  <c r="D58" i="3" s="1"/>
  <c r="D59" i="3" a="1"/>
  <c r="D59" i="3" s="1"/>
  <c r="D60" i="3" a="1"/>
  <c r="D60" i="3" s="1"/>
  <c r="D61" i="3" a="1"/>
  <c r="D61" i="3" s="1"/>
  <c r="D62" i="3" a="1"/>
  <c r="D62" i="3" s="1"/>
  <c r="D63" i="3" a="1"/>
  <c r="D63" i="3" s="1"/>
  <c r="F63" i="3" s="1"/>
  <c r="D64" i="3" a="1"/>
  <c r="D64" i="3" s="1"/>
  <c r="D65" i="3" a="1"/>
  <c r="D65" i="3" s="1"/>
  <c r="D66" i="3" a="1"/>
  <c r="D66" i="3" s="1"/>
  <c r="D67" i="3" a="1"/>
  <c r="D67" i="3" s="1"/>
  <c r="D68" i="3" a="1"/>
  <c r="D68" i="3" s="1"/>
  <c r="D70" i="3" a="1"/>
  <c r="D70" i="3" s="1"/>
  <c r="D71" i="3" a="1"/>
  <c r="D71" i="3" s="1"/>
  <c r="F71" i="3" s="1"/>
  <c r="D72" i="3" a="1"/>
  <c r="D72" i="3" s="1"/>
  <c r="F72" i="3" s="1"/>
  <c r="D73" i="3" a="1"/>
  <c r="D73" i="3" s="1"/>
  <c r="D74" i="3" a="1"/>
  <c r="D74" i="3" s="1"/>
  <c r="D75" i="3" a="1"/>
  <c r="D75" i="3" s="1"/>
  <c r="D76" i="3" a="1"/>
  <c r="D76" i="3" s="1"/>
  <c r="D77" i="3" a="1"/>
  <c r="D77" i="3" s="1"/>
  <c r="D78" i="3" a="1"/>
  <c r="D78" i="3" s="1"/>
  <c r="D79" i="3" a="1"/>
  <c r="D79" i="3" s="1"/>
  <c r="F79" i="3" s="1"/>
  <c r="D80" i="3" a="1"/>
  <c r="D80" i="3" s="1"/>
  <c r="F80" i="3" s="1"/>
  <c r="D83" i="3" a="1"/>
  <c r="D83" i="3" s="1"/>
  <c r="D84" i="3" a="1"/>
  <c r="D84" i="3" s="1"/>
  <c r="D85" i="3" a="1"/>
  <c r="D85" i="3" s="1"/>
  <c r="D86" i="3" a="1"/>
  <c r="D86" i="3" s="1"/>
  <c r="D87" i="3" a="1"/>
  <c r="D87" i="3" s="1"/>
  <c r="D88" i="3" a="1"/>
  <c r="D88" i="3" s="1"/>
  <c r="F88" i="3" s="1"/>
  <c r="D89" i="3" a="1"/>
  <c r="D89" i="3" s="1"/>
  <c r="F89" i="3" s="1"/>
  <c r="D90" i="3" a="1"/>
  <c r="D90" i="3" s="1"/>
  <c r="F90" i="3" s="1"/>
  <c r="D91" i="3" a="1"/>
  <c r="D91" i="3" s="1"/>
  <c r="D92" i="3" a="1"/>
  <c r="D92" i="3" s="1"/>
  <c r="D93" i="3" a="1"/>
  <c r="D93" i="3" s="1"/>
  <c r="D94" i="3" a="1"/>
  <c r="D94" i="3" s="1"/>
  <c r="D95" i="3" a="1"/>
  <c r="D95" i="3" s="1"/>
  <c r="D96" i="3" a="1"/>
  <c r="D96" i="3" s="1"/>
  <c r="D97" i="3" a="1"/>
  <c r="D97" i="3" s="1"/>
  <c r="D98" i="3" a="1"/>
  <c r="D98" i="3" s="1"/>
  <c r="F98" i="3" s="1"/>
  <c r="D99" i="3" a="1"/>
  <c r="D99" i="3" s="1"/>
  <c r="D100" i="3" a="1"/>
  <c r="D100" i="3" s="1"/>
  <c r="D101" i="3" a="1"/>
  <c r="D101" i="3" s="1"/>
  <c r="D102" i="3" a="1"/>
  <c r="D102" i="3" s="1"/>
  <c r="D103" i="3" a="1"/>
  <c r="D103" i="3" s="1"/>
  <c r="D104" i="3" a="1"/>
  <c r="D104" i="3" s="1"/>
  <c r="D105" i="3" a="1"/>
  <c r="D105" i="3" s="1"/>
  <c r="D106" i="3" a="1"/>
  <c r="D106" i="3" s="1"/>
  <c r="F106" i="3" s="1"/>
  <c r="D107" i="3" a="1"/>
  <c r="D107" i="3" s="1"/>
  <c r="D108" i="3" a="1"/>
  <c r="D108" i="3" s="1"/>
  <c r="D109" i="3" a="1"/>
  <c r="D109" i="3" s="1"/>
  <c r="D110" i="3" a="1"/>
  <c r="D110" i="3" s="1"/>
  <c r="D111" i="3" a="1"/>
  <c r="D111" i="3" s="1"/>
  <c r="D112" i="3" a="1"/>
  <c r="D112" i="3" s="1"/>
  <c r="D113" i="3" a="1"/>
  <c r="D113" i="3" s="1"/>
  <c r="D114" i="3" a="1"/>
  <c r="D114" i="3" s="1"/>
  <c r="F114" i="3" s="1"/>
  <c r="D115" i="3" a="1"/>
  <c r="D115" i="3" s="1"/>
  <c r="D116" i="3" a="1"/>
  <c r="D116" i="3" s="1"/>
  <c r="D117" i="3" a="1"/>
  <c r="D117" i="3" s="1"/>
  <c r="D118" i="3" a="1"/>
  <c r="D118" i="3" s="1"/>
  <c r="D42" i="3" a="1"/>
  <c r="D42" i="3" s="1"/>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42" i="3"/>
  <c r="A112" i="3"/>
  <c r="A113" i="3" s="1"/>
  <c r="A114" i="3" s="1"/>
  <c r="A115" i="3" s="1"/>
  <c r="A116" i="3" s="1"/>
  <c r="A117" i="3" s="1"/>
  <c r="A118" i="3" s="1"/>
  <c r="A96" i="3"/>
  <c r="A97" i="3" s="1"/>
  <c r="A98" i="3" s="1"/>
  <c r="A99" i="3" s="1"/>
  <c r="A100" i="3" s="1"/>
  <c r="A101" i="3" s="1"/>
  <c r="A102" i="3" s="1"/>
  <c r="A103" i="3" s="1"/>
  <c r="A104" i="3" s="1"/>
  <c r="A105" i="3" s="1"/>
  <c r="A106" i="3" s="1"/>
  <c r="A107" i="3" s="1"/>
  <c r="A108" i="3" s="1"/>
  <c r="A109" i="3" s="1"/>
  <c r="A110" i="3" s="1"/>
  <c r="A111" i="3" s="1"/>
  <c r="A55" i="3"/>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44" i="3"/>
  <c r="A45" i="3" s="1"/>
  <c r="A46" i="3" s="1"/>
  <c r="A47" i="3" s="1"/>
  <c r="A48" i="3" s="1"/>
  <c r="A49" i="3" s="1"/>
  <c r="A50" i="3" s="1"/>
  <c r="A51" i="3" s="1"/>
  <c r="A52" i="3" s="1"/>
  <c r="A53" i="3" s="1"/>
  <c r="A54" i="3" s="1"/>
  <c r="A43" i="3"/>
  <c r="A42" i="3"/>
  <c r="M6" i="21" l="1"/>
  <c r="J6" i="21"/>
  <c r="F74" i="3"/>
  <c r="F65" i="3"/>
  <c r="F57" i="3"/>
  <c r="F49" i="3"/>
  <c r="F108" i="3"/>
  <c r="F91" i="3"/>
  <c r="F73" i="3"/>
  <c r="F48" i="3"/>
  <c r="F116" i="3"/>
  <c r="F100" i="3"/>
  <c r="F92" i="3"/>
  <c r="F84" i="3"/>
  <c r="F115" i="3"/>
  <c r="F107" i="3"/>
  <c r="F99" i="3"/>
  <c r="F64" i="3"/>
  <c r="F56" i="3"/>
  <c r="F113" i="3"/>
  <c r="F105" i="3"/>
  <c r="F97" i="3"/>
  <c r="F62" i="3"/>
  <c r="F54" i="3"/>
  <c r="F46" i="3"/>
  <c r="F78" i="3"/>
  <c r="F70" i="3"/>
  <c r="F87" i="3"/>
  <c r="F77" i="3"/>
  <c r="F112" i="3"/>
  <c r="F104" i="3"/>
  <c r="F96" i="3"/>
  <c r="F61" i="3"/>
  <c r="F53" i="3"/>
  <c r="F45" i="3"/>
  <c r="F86" i="3"/>
  <c r="F42" i="3"/>
  <c r="F111" i="3"/>
  <c r="F103" i="3"/>
  <c r="F95" i="3"/>
  <c r="F68" i="3"/>
  <c r="F60" i="3"/>
  <c r="F52" i="3"/>
  <c r="F44" i="3"/>
  <c r="F110" i="3"/>
  <c r="F102" i="3"/>
  <c r="F76" i="3"/>
  <c r="F67" i="3"/>
  <c r="F59" i="3"/>
  <c r="F51" i="3"/>
  <c r="F43" i="3"/>
  <c r="F118" i="3"/>
  <c r="F117" i="3"/>
  <c r="F109" i="3"/>
  <c r="F101" i="3"/>
  <c r="F85" i="3"/>
  <c r="F75" i="3"/>
  <c r="F66" i="3"/>
  <c r="F58" i="3"/>
  <c r="F50" i="3"/>
  <c r="F83" i="3"/>
  <c r="A5" i="7"/>
  <c r="C4" i="7"/>
  <c r="B4" i="7"/>
  <c r="B3" i="7"/>
  <c r="C3" i="7"/>
  <c r="A6" i="7" l="1"/>
  <c r="C5" i="7"/>
  <c r="B5" i="7"/>
  <c r="B31" i="3" a="1"/>
  <c r="B31" i="3" s="1"/>
  <c r="C32" i="3" a="1"/>
  <c r="C32" i="3" s="1"/>
  <c r="C33" i="3" a="1"/>
  <c r="C33" i="3" s="1"/>
  <c r="C34" i="3" a="1"/>
  <c r="C34" i="3" s="1"/>
  <c r="C36" i="3" a="1"/>
  <c r="C36" i="3" s="1"/>
  <c r="C37" i="3" a="1"/>
  <c r="C37" i="3" s="1"/>
  <c r="C31" i="3" a="1"/>
  <c r="C31" i="3" s="1"/>
  <c r="B32" i="3" a="1"/>
  <c r="B32" i="3" s="1"/>
  <c r="B33" i="3" a="1"/>
  <c r="B33" i="3" s="1"/>
  <c r="B35" i="3" a="1"/>
  <c r="B35" i="3" s="1"/>
  <c r="B36" i="3" a="1"/>
  <c r="B36" i="3" s="1"/>
  <c r="B37" i="3" a="1"/>
  <c r="B37" i="3" s="1"/>
  <c r="B3" i="3" a="1"/>
  <c r="B3" i="3" s="1"/>
  <c r="G13" i="3" a="1"/>
  <c r="G13" i="3" s="1"/>
  <c r="G12" i="3" a="1"/>
  <c r="G12" i="3" s="1"/>
  <c r="G11" i="3" a="1"/>
  <c r="G11" i="3" s="1"/>
  <c r="G10" i="3" a="1"/>
  <c r="G10" i="3" s="1"/>
  <c r="G9" i="3" a="1"/>
  <c r="G9" i="3" s="1"/>
  <c r="G8" i="3" a="1"/>
  <c r="G8" i="3" s="1"/>
  <c r="G7" i="3" a="1"/>
  <c r="G7" i="3" s="1"/>
  <c r="G6" i="3" a="1"/>
  <c r="G6" i="3" s="1"/>
  <c r="G5" i="3" a="1"/>
  <c r="G5" i="3" s="1"/>
  <c r="G4" i="3" a="1"/>
  <c r="G4" i="3" s="1"/>
  <c r="G3" i="3" a="1"/>
  <c r="G3" i="3" s="1"/>
  <c r="G2" i="3" a="1"/>
  <c r="G2" i="3" s="1"/>
  <c r="D32" i="3" l="1"/>
  <c r="D33" i="3"/>
  <c r="C6" i="7"/>
  <c r="B6" i="7"/>
  <c r="A7" i="7"/>
  <c r="D36" i="3"/>
  <c r="D37" i="3"/>
  <c r="D31" i="3"/>
  <c r="H7" i="3"/>
  <c r="H6" i="3"/>
  <c r="H8" i="3"/>
  <c r="G14" i="3"/>
  <c r="H14" i="3" s="1"/>
  <c r="H9" i="3"/>
  <c r="H10" i="3"/>
  <c r="H3" i="3"/>
  <c r="H11" i="3"/>
  <c r="H4" i="3"/>
  <c r="H12" i="3"/>
  <c r="H5" i="3"/>
  <c r="H13" i="3"/>
  <c r="H2" i="3"/>
  <c r="B4" i="3" a="1"/>
  <c r="B4" i="3" s="1"/>
  <c r="B5" i="3" a="1"/>
  <c r="B5" i="3" s="1"/>
  <c r="B6" i="3" a="1"/>
  <c r="B6" i="3" s="1"/>
  <c r="B7" i="3" a="1"/>
  <c r="B7" i="3" s="1"/>
  <c r="B8" i="3" a="1"/>
  <c r="B8" i="3" s="1"/>
  <c r="B9" i="3" a="1"/>
  <c r="B9" i="3" s="1"/>
  <c r="B10" i="3" a="1"/>
  <c r="B10" i="3" s="1"/>
  <c r="B11" i="3" a="1"/>
  <c r="B11" i="3" s="1"/>
  <c r="B12" i="3" a="1"/>
  <c r="B12" i="3" s="1"/>
  <c r="B13" i="3" a="1"/>
  <c r="B13" i="3" s="1"/>
  <c r="B14" i="3" a="1"/>
  <c r="B14" i="3" s="1"/>
  <c r="B15" i="3" a="1"/>
  <c r="B15" i="3" s="1"/>
  <c r="B16" i="3" a="1"/>
  <c r="B16" i="3" s="1"/>
  <c r="B17" i="3" a="1"/>
  <c r="B17" i="3" s="1"/>
  <c r="B18" i="3" a="1"/>
  <c r="B18" i="3" s="1"/>
  <c r="B19" i="3" a="1"/>
  <c r="B19" i="3" s="1"/>
  <c r="B20" i="3" a="1"/>
  <c r="B20" i="3" s="1"/>
  <c r="B21" i="3" a="1"/>
  <c r="B21" i="3" s="1"/>
  <c r="B22" i="3" a="1"/>
  <c r="B22" i="3" s="1"/>
  <c r="B23" i="3" a="1"/>
  <c r="B23" i="3" s="1"/>
  <c r="B24" i="3" a="1"/>
  <c r="B24" i="3" s="1"/>
  <c r="B25" i="3" a="1"/>
  <c r="B25" i="3" s="1"/>
  <c r="B26" i="3" a="1"/>
  <c r="B26" i="3" s="1"/>
  <c r="B27" i="3" a="1"/>
  <c r="B27" i="3" s="1"/>
  <c r="B2" i="3" a="1"/>
  <c r="B2" i="3" s="1"/>
  <c r="A8" i="7" l="1"/>
  <c r="C7" i="7"/>
  <c r="B7" i="7"/>
  <c r="C25" i="3"/>
  <c r="C17" i="3"/>
  <c r="C9" i="3"/>
  <c r="C16" i="3"/>
  <c r="C15" i="3"/>
  <c r="C22" i="3"/>
  <c r="C21" i="3"/>
  <c r="C24" i="3"/>
  <c r="C23" i="3"/>
  <c r="C14" i="3"/>
  <c r="C5" i="3"/>
  <c r="C4" i="3"/>
  <c r="C3" i="3"/>
  <c r="C8" i="3"/>
  <c r="C7" i="3"/>
  <c r="C6" i="3"/>
  <c r="C13" i="3"/>
  <c r="C20" i="3"/>
  <c r="C12" i="3"/>
  <c r="C19" i="3"/>
  <c r="C11" i="3"/>
  <c r="C26" i="3"/>
  <c r="C18" i="3"/>
  <c r="C10" i="3"/>
  <c r="B28" i="3"/>
  <c r="C28" i="3" s="1"/>
  <c r="C27" i="3"/>
  <c r="C2" i="3"/>
  <c r="P4" i="21" l="1" a="1"/>
  <c r="P4" i="21" s="1"/>
  <c r="P12" i="21" a="1"/>
  <c r="P12" i="21" s="1"/>
  <c r="P20" i="21" a="1"/>
  <c r="P20" i="21" s="1"/>
  <c r="P28" i="21" a="1"/>
  <c r="P28" i="21" s="1"/>
  <c r="P36" i="21" a="1"/>
  <c r="P36" i="21" s="1"/>
  <c r="P44" i="21" a="1"/>
  <c r="P44" i="21" s="1"/>
  <c r="P52" i="21" a="1"/>
  <c r="P52" i="21" s="1"/>
  <c r="P60" i="21" a="1"/>
  <c r="P60" i="21" s="1"/>
  <c r="P68" i="21" a="1"/>
  <c r="P68" i="21" s="1"/>
  <c r="P76" i="21" a="1"/>
  <c r="P76" i="21" s="1"/>
  <c r="O7" i="21" a="1"/>
  <c r="O7" i="21" s="1"/>
  <c r="O15" i="21" a="1"/>
  <c r="O15" i="21" s="1"/>
  <c r="O23" i="21" a="1"/>
  <c r="O23" i="21" s="1"/>
  <c r="O31" i="21" a="1"/>
  <c r="O31" i="21" s="1"/>
  <c r="O39" i="21" a="1"/>
  <c r="O39" i="21" s="1"/>
  <c r="O47" i="21" a="1"/>
  <c r="O47" i="21" s="1"/>
  <c r="O55" i="21" a="1"/>
  <c r="O55" i="21" s="1"/>
  <c r="O63" i="21" a="1"/>
  <c r="O63" i="21" s="1"/>
  <c r="O71" i="21" a="1"/>
  <c r="O71" i="21" s="1"/>
  <c r="E2" i="21" a="1"/>
  <c r="E2" i="21" s="1"/>
  <c r="E15" i="21" a="1"/>
  <c r="E15" i="21" s="1"/>
  <c r="E22" i="21" a="1"/>
  <c r="E22" i="21" s="1"/>
  <c r="E30" i="21" a="1"/>
  <c r="E30" i="21" s="1"/>
  <c r="E38" i="21" a="1"/>
  <c r="E38" i="21" s="1"/>
  <c r="E46" i="21" a="1"/>
  <c r="E46" i="21" s="1"/>
  <c r="E61" i="21" a="1"/>
  <c r="E61" i="21" s="1"/>
  <c r="E69" i="21" a="1"/>
  <c r="E69" i="21" s="1"/>
  <c r="E76" i="21" a="1"/>
  <c r="E76" i="21" s="1"/>
  <c r="D9" i="21" a="1"/>
  <c r="D9" i="21" s="1"/>
  <c r="D17" i="21" a="1"/>
  <c r="D17" i="21" s="1"/>
  <c r="D25" i="21" a="1"/>
  <c r="D25" i="21" s="1"/>
  <c r="D33" i="21" a="1"/>
  <c r="D33" i="21" s="1"/>
  <c r="D49" i="21" a="1"/>
  <c r="D49" i="21" s="1"/>
  <c r="D57" i="21" a="1"/>
  <c r="D57" i="21" s="1"/>
  <c r="D65" i="21" a="1"/>
  <c r="D65" i="21" s="1"/>
  <c r="D73" i="21" a="1"/>
  <c r="D73" i="21" s="1"/>
  <c r="C85" i="20" a="1"/>
  <c r="C85" i="20" s="1"/>
  <c r="B82" i="20" a="1"/>
  <c r="B82" i="20" s="1"/>
  <c r="C78" i="20" a="1"/>
  <c r="C78" i="20" s="1"/>
  <c r="B75" i="20" a="1"/>
  <c r="B75" i="20" s="1"/>
  <c r="B21" i="20" a="1"/>
  <c r="B21" i="20" s="1"/>
  <c r="B17" i="20" a="1"/>
  <c r="B17" i="20" s="1"/>
  <c r="C22" i="19" a="1"/>
  <c r="C22" i="19" s="1"/>
  <c r="C23" i="19" a="1"/>
  <c r="C23" i="19" s="1"/>
  <c r="B31" i="19" a="1"/>
  <c r="B31" i="19" s="1"/>
  <c r="B7" i="19" a="1"/>
  <c r="B7" i="19" s="1"/>
  <c r="E16" i="17" a="1"/>
  <c r="E16" i="17" s="1"/>
  <c r="E32" i="17" a="1"/>
  <c r="E32" i="17" s="1"/>
  <c r="E48" i="17" a="1"/>
  <c r="E48" i="17" s="1"/>
  <c r="P5" i="21" a="1"/>
  <c r="P5" i="21" s="1"/>
  <c r="P13" i="21" a="1"/>
  <c r="P13" i="21" s="1"/>
  <c r="P21" i="21" a="1"/>
  <c r="P21" i="21" s="1"/>
  <c r="P29" i="21" a="1"/>
  <c r="P29" i="21" s="1"/>
  <c r="P37" i="21" a="1"/>
  <c r="P37" i="21" s="1"/>
  <c r="P45" i="21" a="1"/>
  <c r="P45" i="21" s="1"/>
  <c r="P53" i="21" a="1"/>
  <c r="P53" i="21" s="1"/>
  <c r="P61" i="21" a="1"/>
  <c r="P61" i="21" s="1"/>
  <c r="P69" i="21" a="1"/>
  <c r="P69" i="21" s="1"/>
  <c r="P77" i="21" a="1"/>
  <c r="P77" i="21" s="1"/>
  <c r="O8" i="21" a="1"/>
  <c r="O8" i="21" s="1"/>
  <c r="O16" i="21" a="1"/>
  <c r="O16" i="21" s="1"/>
  <c r="O24" i="21" a="1"/>
  <c r="O24" i="21" s="1"/>
  <c r="O32" i="21" a="1"/>
  <c r="O32" i="21" s="1"/>
  <c r="O40" i="21" a="1"/>
  <c r="O40" i="21" s="1"/>
  <c r="O48" i="21" a="1"/>
  <c r="O48" i="21" s="1"/>
  <c r="O56" i="21" a="1"/>
  <c r="O56" i="21" s="1"/>
  <c r="O64" i="21" a="1"/>
  <c r="O64" i="21" s="1"/>
  <c r="O72" i="21" a="1"/>
  <c r="O72" i="21" s="1"/>
  <c r="E3" i="21" a="1"/>
  <c r="E3" i="21" s="1"/>
  <c r="E9" i="21" a="1"/>
  <c r="E9" i="21" s="1"/>
  <c r="E16" i="21" a="1"/>
  <c r="E16" i="21" s="1"/>
  <c r="E23" i="21" a="1"/>
  <c r="E23" i="21" s="1"/>
  <c r="E31" i="21" a="1"/>
  <c r="E31" i="21" s="1"/>
  <c r="E39" i="21" a="1"/>
  <c r="E39" i="21" s="1"/>
  <c r="E47" i="21" a="1"/>
  <c r="E47" i="21" s="1"/>
  <c r="E54" i="21" a="1"/>
  <c r="E54" i="21" s="1"/>
  <c r="E62" i="21" a="1"/>
  <c r="E62" i="21" s="1"/>
  <c r="E70" i="21" a="1"/>
  <c r="E70" i="21" s="1"/>
  <c r="E77" i="21" a="1"/>
  <c r="E77" i="21" s="1"/>
  <c r="D10" i="21" a="1"/>
  <c r="D10" i="21" s="1"/>
  <c r="D18" i="21" a="1"/>
  <c r="D18" i="21" s="1"/>
  <c r="D26" i="21" a="1"/>
  <c r="D26" i="21" s="1"/>
  <c r="D34" i="21" a="1"/>
  <c r="D34" i="21" s="1"/>
  <c r="D42" i="21" a="1"/>
  <c r="D42" i="21" s="1"/>
  <c r="D50" i="21" a="1"/>
  <c r="D50" i="21" s="1"/>
  <c r="D58" i="21" a="1"/>
  <c r="D58" i="21" s="1"/>
  <c r="D66" i="21" a="1"/>
  <c r="D66" i="21" s="1"/>
  <c r="D74" i="21" a="1"/>
  <c r="D74" i="21" s="1"/>
  <c r="B85" i="20" a="1"/>
  <c r="B85" i="20" s="1"/>
  <c r="C81" i="20" a="1"/>
  <c r="C81" i="20" s="1"/>
  <c r="B78" i="20" a="1"/>
  <c r="B78" i="20" s="1"/>
  <c r="C74" i="20" a="1"/>
  <c r="C74" i="20" s="1"/>
  <c r="B16" i="20" a="1"/>
  <c r="B16" i="20" s="1"/>
  <c r="C32" i="19" a="1"/>
  <c r="C32" i="19" s="1"/>
  <c r="B24" i="19" a="1"/>
  <c r="B24" i="19" s="1"/>
  <c r="B8" i="19" a="1"/>
  <c r="B8" i="19" s="1"/>
  <c r="B2" i="19" a="1"/>
  <c r="B2" i="19" s="1"/>
  <c r="C3" i="19" s="1"/>
  <c r="D4" i="17" a="1"/>
  <c r="D4" i="17" s="1"/>
  <c r="E6" i="17" a="1"/>
  <c r="E6" i="17" s="1"/>
  <c r="P6" i="21" a="1"/>
  <c r="P6" i="21" s="1"/>
  <c r="P14" i="21" a="1"/>
  <c r="P14" i="21" s="1"/>
  <c r="P22" i="21" a="1"/>
  <c r="P22" i="21" s="1"/>
  <c r="P30" i="21" a="1"/>
  <c r="P30" i="21" s="1"/>
  <c r="P38" i="21" a="1"/>
  <c r="P38" i="21" s="1"/>
  <c r="P46" i="21" a="1"/>
  <c r="P46" i="21" s="1"/>
  <c r="P54" i="21" a="1"/>
  <c r="P54" i="21" s="1"/>
  <c r="P62" i="21" a="1"/>
  <c r="P62" i="21" s="1"/>
  <c r="P70" i="21" a="1"/>
  <c r="P70" i="21" s="1"/>
  <c r="O9" i="21" a="1"/>
  <c r="O9" i="21" s="1"/>
  <c r="O17" i="21" a="1"/>
  <c r="O17" i="21" s="1"/>
  <c r="O25" i="21" a="1"/>
  <c r="O25" i="21" s="1"/>
  <c r="O33" i="21" a="1"/>
  <c r="O33" i="21" s="1"/>
  <c r="O41" i="21" a="1"/>
  <c r="O41" i="21" s="1"/>
  <c r="O49" i="21" a="1"/>
  <c r="O49" i="21" s="1"/>
  <c r="O57" i="21" a="1"/>
  <c r="O57" i="21" s="1"/>
  <c r="O65" i="21" a="1"/>
  <c r="O65" i="21" s="1"/>
  <c r="O73" i="21" a="1"/>
  <c r="O73" i="21" s="1"/>
  <c r="E4" i="21" a="1"/>
  <c r="E4" i="21" s="1"/>
  <c r="E10" i="21" a="1"/>
  <c r="E10" i="21" s="1"/>
  <c r="E17" i="21" a="1"/>
  <c r="E17" i="21" s="1"/>
  <c r="E24" i="21" a="1"/>
  <c r="E24" i="21" s="1"/>
  <c r="E32" i="21" a="1"/>
  <c r="E32" i="21" s="1"/>
  <c r="E48" i="21" a="1"/>
  <c r="E48" i="21" s="1"/>
  <c r="E55" i="21" a="1"/>
  <c r="E55" i="21" s="1"/>
  <c r="E63" i="21" a="1"/>
  <c r="E63" i="21" s="1"/>
  <c r="E71" i="21" a="1"/>
  <c r="E71" i="21" s="1"/>
  <c r="D3" i="21" a="1"/>
  <c r="D3" i="21" s="1"/>
  <c r="D11" i="21" a="1"/>
  <c r="D11" i="21" s="1"/>
  <c r="D19" i="21" a="1"/>
  <c r="D19" i="21" s="1"/>
  <c r="D27" i="21" a="1"/>
  <c r="D27" i="21" s="1"/>
  <c r="D35" i="21" a="1"/>
  <c r="D35" i="21" s="1"/>
  <c r="D43" i="21" a="1"/>
  <c r="D43" i="21" s="1"/>
  <c r="D51" i="21" a="1"/>
  <c r="D51" i="21" s="1"/>
  <c r="D59" i="21" a="1"/>
  <c r="D59" i="21" s="1"/>
  <c r="D67" i="21" a="1"/>
  <c r="D67" i="21" s="1"/>
  <c r="D75" i="21" a="1"/>
  <c r="D75" i="21" s="1"/>
  <c r="C84" i="20" a="1"/>
  <c r="C84" i="20" s="1"/>
  <c r="C77" i="20" a="1"/>
  <c r="C77" i="20" s="1"/>
  <c r="B20" i="20" a="1"/>
  <c r="B20" i="20" s="1"/>
  <c r="C21" i="20" s="1"/>
  <c r="B15" i="20" a="1"/>
  <c r="B15" i="20" s="1"/>
  <c r="C27" i="19" a="1"/>
  <c r="C27" i="19" s="1"/>
  <c r="C21" i="19" a="1"/>
  <c r="C21" i="19" s="1"/>
  <c r="B29" i="19" a="1"/>
  <c r="B29" i="19" s="1"/>
  <c r="B9" i="19" a="1"/>
  <c r="B9" i="19" s="1"/>
  <c r="E12" i="17" a="1"/>
  <c r="E12" i="17" s="1"/>
  <c r="E28" i="17" a="1"/>
  <c r="E28" i="17" s="1"/>
  <c r="E44" i="17" a="1"/>
  <c r="E44" i="17" s="1"/>
  <c r="P7" i="21" a="1"/>
  <c r="P7" i="21" s="1"/>
  <c r="P15" i="21" a="1"/>
  <c r="P15" i="21" s="1"/>
  <c r="P23" i="21" a="1"/>
  <c r="P23" i="21" s="1"/>
  <c r="P31" i="21" a="1"/>
  <c r="P31" i="21" s="1"/>
  <c r="P39" i="21" a="1"/>
  <c r="P39" i="21" s="1"/>
  <c r="P47" i="21" a="1"/>
  <c r="P47" i="21" s="1"/>
  <c r="P55" i="21" a="1"/>
  <c r="P55" i="21" s="1"/>
  <c r="P63" i="21" a="1"/>
  <c r="P63" i="21" s="1"/>
  <c r="P71" i="21" a="1"/>
  <c r="P71" i="21" s="1"/>
  <c r="O3" i="21" a="1"/>
  <c r="O3" i="21" s="1"/>
  <c r="O10" i="21" a="1"/>
  <c r="O10" i="21" s="1"/>
  <c r="O18" i="21" a="1"/>
  <c r="O18" i="21" s="1"/>
  <c r="O26" i="21" a="1"/>
  <c r="O26" i="21" s="1"/>
  <c r="O34" i="21" a="1"/>
  <c r="O34" i="21" s="1"/>
  <c r="O42" i="21" a="1"/>
  <c r="O42" i="21" s="1"/>
  <c r="O50" i="21" a="1"/>
  <c r="O50" i="21" s="1"/>
  <c r="O58" i="21" a="1"/>
  <c r="O58" i="21" s="1"/>
  <c r="O66" i="21" a="1"/>
  <c r="O66" i="21" s="1"/>
  <c r="O74" i="21" a="1"/>
  <c r="O74" i="21" s="1"/>
  <c r="E5" i="21" a="1"/>
  <c r="E5" i="21" s="1"/>
  <c r="E18" i="21" a="1"/>
  <c r="E18" i="21" s="1"/>
  <c r="E25" i="21" a="1"/>
  <c r="E25" i="21" s="1"/>
  <c r="E33" i="21" a="1"/>
  <c r="E33" i="21" s="1"/>
  <c r="E41" i="21" a="1"/>
  <c r="E41" i="21" s="1"/>
  <c r="E49" i="21" a="1"/>
  <c r="E49" i="21" s="1"/>
  <c r="E56" i="21" a="1"/>
  <c r="E56" i="21" s="1"/>
  <c r="E64" i="21" a="1"/>
  <c r="E64" i="21" s="1"/>
  <c r="E72" i="21" a="1"/>
  <c r="E72" i="21" s="1"/>
  <c r="D4" i="21" a="1"/>
  <c r="D4" i="21" s="1"/>
  <c r="D12" i="21" a="1"/>
  <c r="D12" i="21" s="1"/>
  <c r="D20" i="21" a="1"/>
  <c r="D20" i="21" s="1"/>
  <c r="P8" i="21" a="1"/>
  <c r="P8" i="21" s="1"/>
  <c r="P16" i="21" a="1"/>
  <c r="P16" i="21" s="1"/>
  <c r="P24" i="21" a="1"/>
  <c r="P24" i="21" s="1"/>
  <c r="P32" i="21" a="1"/>
  <c r="P32" i="21" s="1"/>
  <c r="P40" i="21" a="1"/>
  <c r="P40" i="21" s="1"/>
  <c r="P48" i="21" a="1"/>
  <c r="P48" i="21" s="1"/>
  <c r="P56" i="21" a="1"/>
  <c r="P56" i="21" s="1"/>
  <c r="P64" i="21" a="1"/>
  <c r="P64" i="21" s="1"/>
  <c r="P72" i="21" a="1"/>
  <c r="P72" i="21" s="1"/>
  <c r="O4" i="21" a="1"/>
  <c r="O4" i="21" s="1"/>
  <c r="Q4" i="21" s="1"/>
  <c r="O11" i="21" a="1"/>
  <c r="O11" i="21" s="1"/>
  <c r="O19" i="21" a="1"/>
  <c r="O19" i="21" s="1"/>
  <c r="O27" i="21" a="1"/>
  <c r="O27" i="21" s="1"/>
  <c r="O35" i="21" a="1"/>
  <c r="O35" i="21" s="1"/>
  <c r="O43" i="21" a="1"/>
  <c r="O43" i="21" s="1"/>
  <c r="O51" i="21" a="1"/>
  <c r="O51" i="21" s="1"/>
  <c r="O59" i="21" a="1"/>
  <c r="O59" i="21" s="1"/>
  <c r="O67" i="21" a="1"/>
  <c r="O67" i="21" s="1"/>
  <c r="O75" i="21" a="1"/>
  <c r="O75" i="21" s="1"/>
  <c r="E6" i="21" a="1"/>
  <c r="E6" i="21" s="1"/>
  <c r="E11" i="21" a="1"/>
  <c r="E11" i="21" s="1"/>
  <c r="E19" i="21" a="1"/>
  <c r="E19" i="21" s="1"/>
  <c r="E26" i="21" a="1"/>
  <c r="E26" i="21" s="1"/>
  <c r="E34" i="21" a="1"/>
  <c r="E34" i="21" s="1"/>
  <c r="E42" i="21" a="1"/>
  <c r="E42" i="21" s="1"/>
  <c r="E50" i="21" a="1"/>
  <c r="E50" i="21" s="1"/>
  <c r="E57" i="21" a="1"/>
  <c r="E57" i="21" s="1"/>
  <c r="E65" i="21" a="1"/>
  <c r="E65" i="21" s="1"/>
  <c r="D5" i="21" a="1"/>
  <c r="D5" i="21" s="1"/>
  <c r="D13" i="21" a="1"/>
  <c r="D13" i="21" s="1"/>
  <c r="D21" i="21" a="1"/>
  <c r="D21" i="21" s="1"/>
  <c r="P9" i="21" a="1"/>
  <c r="P9" i="21" s="1"/>
  <c r="P17" i="21" a="1"/>
  <c r="P17" i="21" s="1"/>
  <c r="P25" i="21" a="1"/>
  <c r="P25" i="21" s="1"/>
  <c r="P33" i="21" a="1"/>
  <c r="P33" i="21" s="1"/>
  <c r="P41" i="21" a="1"/>
  <c r="P41" i="21" s="1"/>
  <c r="P49" i="21" a="1"/>
  <c r="P49" i="21" s="1"/>
  <c r="P57" i="21" a="1"/>
  <c r="P57" i="21" s="1"/>
  <c r="P65" i="21" a="1"/>
  <c r="P65" i="21" s="1"/>
  <c r="P73" i="21" a="1"/>
  <c r="P73" i="21" s="1"/>
  <c r="O5" i="21" a="1"/>
  <c r="O5" i="21" s="1"/>
  <c r="Q5" i="21" s="1"/>
  <c r="O12" i="21" a="1"/>
  <c r="O12" i="21" s="1"/>
  <c r="Q12" i="21" s="1"/>
  <c r="O20" i="21" a="1"/>
  <c r="O20" i="21" s="1"/>
  <c r="Q20" i="21" s="1"/>
  <c r="O28" i="21" a="1"/>
  <c r="O28" i="21" s="1"/>
  <c r="Q28" i="21" s="1"/>
  <c r="O36" i="21" a="1"/>
  <c r="O36" i="21" s="1"/>
  <c r="Q36" i="21" s="1"/>
  <c r="O44" i="21" a="1"/>
  <c r="O44" i="21" s="1"/>
  <c r="Q44" i="21" s="1"/>
  <c r="O52" i="21" a="1"/>
  <c r="O52" i="21" s="1"/>
  <c r="Q52" i="21" s="1"/>
  <c r="O60" i="21" a="1"/>
  <c r="O60" i="21" s="1"/>
  <c r="Q60" i="21" s="1"/>
  <c r="O68" i="21" a="1"/>
  <c r="O68" i="21" s="1"/>
  <c r="Q68" i="21" s="1"/>
  <c r="O76" i="21" a="1"/>
  <c r="O76" i="21" s="1"/>
  <c r="Q76" i="21" s="1"/>
  <c r="E12" i="21" a="1"/>
  <c r="E12" i="21" s="1"/>
  <c r="E20" i="21" a="1"/>
  <c r="E20" i="21" s="1"/>
  <c r="E27" i="21" a="1"/>
  <c r="E27" i="21" s="1"/>
  <c r="E35" i="21" a="1"/>
  <c r="E35" i="21" s="1"/>
  <c r="E43" i="21" a="1"/>
  <c r="E43" i="21" s="1"/>
  <c r="E51" i="21" a="1"/>
  <c r="E51" i="21" s="1"/>
  <c r="E58" i="21" a="1"/>
  <c r="E58" i="21" s="1"/>
  <c r="E66" i="21" a="1"/>
  <c r="E66" i="21" s="1"/>
  <c r="E73" i="21" a="1"/>
  <c r="E73" i="21" s="1"/>
  <c r="D6" i="21" a="1"/>
  <c r="D6" i="21" s="1"/>
  <c r="D14" i="21" a="1"/>
  <c r="D14" i="21" s="1"/>
  <c r="P10" i="21" a="1"/>
  <c r="P10" i="21" s="1"/>
  <c r="P18" i="21" a="1"/>
  <c r="P18" i="21" s="1"/>
  <c r="P26" i="21" a="1"/>
  <c r="P26" i="21" s="1"/>
  <c r="P34" i="21" a="1"/>
  <c r="P34" i="21" s="1"/>
  <c r="P42" i="21" a="1"/>
  <c r="P42" i="21" s="1"/>
  <c r="P50" i="21" a="1"/>
  <c r="P50" i="21" s="1"/>
  <c r="P58" i="21" a="1"/>
  <c r="P58" i="21" s="1"/>
  <c r="P66" i="21" a="1"/>
  <c r="P66" i="21" s="1"/>
  <c r="P74" i="21" a="1"/>
  <c r="P74" i="21" s="1"/>
  <c r="O13" i="21" a="1"/>
  <c r="O13" i="21" s="1"/>
  <c r="Q13" i="21" s="1"/>
  <c r="O21" i="21" a="1"/>
  <c r="O21" i="21" s="1"/>
  <c r="Q21" i="21" s="1"/>
  <c r="O29" i="21" a="1"/>
  <c r="O29" i="21" s="1"/>
  <c r="Q29" i="21" s="1"/>
  <c r="O37" i="21" a="1"/>
  <c r="O37" i="21" s="1"/>
  <c r="Q37" i="21" s="1"/>
  <c r="O45" i="21" a="1"/>
  <c r="O45" i="21" s="1"/>
  <c r="Q45" i="21" s="1"/>
  <c r="O53" i="21" a="1"/>
  <c r="O53" i="21" s="1"/>
  <c r="Q53" i="21" s="1"/>
  <c r="O61" i="21" a="1"/>
  <c r="O61" i="21" s="1"/>
  <c r="Q61" i="21" s="1"/>
  <c r="O69" i="21" a="1"/>
  <c r="O69" i="21" s="1"/>
  <c r="Q69" i="21" s="1"/>
  <c r="O77" i="21" a="1"/>
  <c r="O77" i="21" s="1"/>
  <c r="Q77" i="21" s="1"/>
  <c r="E7" i="21" a="1"/>
  <c r="E7" i="21" s="1"/>
  <c r="E13" i="21" a="1"/>
  <c r="E13" i="21" s="1"/>
  <c r="E21" i="21" a="1"/>
  <c r="E21" i="21" s="1"/>
  <c r="E28" i="21" a="1"/>
  <c r="E28" i="21" s="1"/>
  <c r="E36" i="21" a="1"/>
  <c r="E36" i="21" s="1"/>
  <c r="E44" i="21" a="1"/>
  <c r="E44" i="21" s="1"/>
  <c r="E52" i="21" a="1"/>
  <c r="E52" i="21" s="1"/>
  <c r="E59" i="21" a="1"/>
  <c r="E59" i="21" s="1"/>
  <c r="E67" i="21" a="1"/>
  <c r="E67" i="21" s="1"/>
  <c r="E74" i="21" a="1"/>
  <c r="E74" i="21" s="1"/>
  <c r="D7" i="21" a="1"/>
  <c r="D7" i="21" s="1"/>
  <c r="D15" i="21" a="1"/>
  <c r="D15" i="21" s="1"/>
  <c r="D23" i="21" a="1"/>
  <c r="D23" i="21" s="1"/>
  <c r="D31" i="21" a="1"/>
  <c r="D31" i="21" s="1"/>
  <c r="D39" i="21" a="1"/>
  <c r="D39" i="21" s="1"/>
  <c r="D47" i="21" a="1"/>
  <c r="D47" i="21" s="1"/>
  <c r="D55" i="21" a="1"/>
  <c r="D55" i="21" s="1"/>
  <c r="D63" i="21" a="1"/>
  <c r="D63" i="21" s="1"/>
  <c r="D71" i="21" a="1"/>
  <c r="D71" i="21" s="1"/>
  <c r="C86" i="20" a="1"/>
  <c r="C86" i="20" s="1"/>
  <c r="C82" i="20" a="1"/>
  <c r="C82" i="20" s="1"/>
  <c r="D82" i="20" s="1"/>
  <c r="C79" i="20" a="1"/>
  <c r="C79" i="20" s="1"/>
  <c r="B76" i="20" a="1"/>
  <c r="B76" i="20" s="1"/>
  <c r="B23" i="20" a="1"/>
  <c r="B23" i="20" s="1"/>
  <c r="C24" i="20" s="1"/>
  <c r="C30" i="19" a="1"/>
  <c r="C30" i="19" s="1"/>
  <c r="C20" i="19" a="1"/>
  <c r="C20" i="19" s="1"/>
  <c r="B32" i="19" a="1"/>
  <c r="B32" i="19" s="1"/>
  <c r="B28" i="19" a="1"/>
  <c r="B28" i="19" s="1"/>
  <c r="B12" i="19" a="1"/>
  <c r="B12" i="19" s="1"/>
  <c r="E4" i="17" a="1"/>
  <c r="E4" i="17" s="1"/>
  <c r="E20" i="17" a="1"/>
  <c r="E20" i="17" s="1"/>
  <c r="E36" i="17" a="1"/>
  <c r="E36" i="17" s="1"/>
  <c r="E52" i="17" a="1"/>
  <c r="E52" i="17" s="1"/>
  <c r="P59" i="21" a="1"/>
  <c r="P59" i="21" s="1"/>
  <c r="O46" i="21" a="1"/>
  <c r="O46" i="21" s="1"/>
  <c r="Q46" i="21" s="1"/>
  <c r="E29" i="21" a="1"/>
  <c r="E29" i="21" s="1"/>
  <c r="D16" i="21" a="1"/>
  <c r="D16" i="21" s="1"/>
  <c r="D37" i="21" a="1"/>
  <c r="D37" i="21" s="1"/>
  <c r="D53" i="21" a="1"/>
  <c r="D53" i="21" s="1"/>
  <c r="D69" i="21" a="1"/>
  <c r="D69" i="21" s="1"/>
  <c r="C83" i="20" a="1"/>
  <c r="C83" i="20" s="1"/>
  <c r="C76" i="20" a="1"/>
  <c r="C76" i="20" s="1"/>
  <c r="D76" i="20" s="1"/>
  <c r="C24" i="19" a="1"/>
  <c r="C24" i="19" s="1"/>
  <c r="D24" i="19" s="1"/>
  <c r="B26" i="19" a="1"/>
  <c r="B26" i="19" s="1"/>
  <c r="B10" i="19" a="1"/>
  <c r="B10" i="19" s="1"/>
  <c r="E13" i="17" a="1"/>
  <c r="E13" i="17" s="1"/>
  <c r="E21" i="17" a="1"/>
  <c r="E21" i="17" s="1"/>
  <c r="E38" i="17" a="1"/>
  <c r="E38" i="17" s="1"/>
  <c r="E46" i="17" a="1"/>
  <c r="E46" i="17" s="1"/>
  <c r="E64" i="17" a="1"/>
  <c r="E64" i="17" s="1"/>
  <c r="E70" i="17" a="1"/>
  <c r="E70" i="17" s="1"/>
  <c r="E76" i="17" a="1"/>
  <c r="E76" i="17" s="1"/>
  <c r="E83" i="17" a="1"/>
  <c r="E83" i="17" s="1"/>
  <c r="D6" i="17" a="1"/>
  <c r="D6" i="17" s="1"/>
  <c r="F6" i="17" s="1"/>
  <c r="D11" i="17" a="1"/>
  <c r="D11" i="17" s="1"/>
  <c r="D17" i="17" a="1"/>
  <c r="D17" i="17" s="1"/>
  <c r="D22" i="17" a="1"/>
  <c r="D22" i="17" s="1"/>
  <c r="D27" i="17" a="1"/>
  <c r="D27" i="17" s="1"/>
  <c r="D33" i="17" a="1"/>
  <c r="D33" i="17" s="1"/>
  <c r="D38" i="17" a="1"/>
  <c r="D38" i="17" s="1"/>
  <c r="D43" i="17" a="1"/>
  <c r="D43" i="17" s="1"/>
  <c r="D49" i="17" a="1"/>
  <c r="D49" i="17" s="1"/>
  <c r="F49" i="17" s="1"/>
  <c r="D54" i="17" a="1"/>
  <c r="D54" i="17" s="1"/>
  <c r="D59" i="17" a="1"/>
  <c r="D59" i="17" s="1"/>
  <c r="D65" i="17" a="1"/>
  <c r="D65" i="17" s="1"/>
  <c r="D70" i="17" a="1"/>
  <c r="D70" i="17" s="1"/>
  <c r="D75" i="17" a="1"/>
  <c r="D75" i="17" s="1"/>
  <c r="P67" i="21" a="1"/>
  <c r="P67" i="21" s="1"/>
  <c r="O54" i="21" a="1"/>
  <c r="O54" i="21" s="1"/>
  <c r="Q54" i="21" s="1"/>
  <c r="E37" i="21" a="1"/>
  <c r="E37" i="21" s="1"/>
  <c r="D22" i="21" a="1"/>
  <c r="D22" i="21" s="1"/>
  <c r="D38" i="21" a="1"/>
  <c r="D38" i="21" s="1"/>
  <c r="D54" i="21" a="1"/>
  <c r="D54" i="21" s="1"/>
  <c r="D70" i="21" a="1"/>
  <c r="D70" i="21" s="1"/>
  <c r="B83" i="20" a="1"/>
  <c r="B83" i="20" s="1"/>
  <c r="B19" i="20" a="1"/>
  <c r="B19" i="20" s="1"/>
  <c r="C29" i="19" a="1"/>
  <c r="C29" i="19" s="1"/>
  <c r="D29" i="19" s="1"/>
  <c r="B23" i="19" a="1"/>
  <c r="B23" i="19" s="1"/>
  <c r="B11" i="19" a="1"/>
  <c r="B11" i="19" s="1"/>
  <c r="E3" i="17" a="1"/>
  <c r="E3" i="17" s="1"/>
  <c r="E22" i="17" a="1"/>
  <c r="E22" i="17" s="1"/>
  <c r="E30" i="17" a="1"/>
  <c r="E30" i="17" s="1"/>
  <c r="E39" i="17" a="1"/>
  <c r="E39" i="17" s="1"/>
  <c r="E47" i="17" a="1"/>
  <c r="E47" i="17" s="1"/>
  <c r="E59" i="17" a="1"/>
  <c r="E59" i="17" s="1"/>
  <c r="E65" i="17" a="1"/>
  <c r="E65" i="17" s="1"/>
  <c r="E71" i="17" a="1"/>
  <c r="E71" i="17" s="1"/>
  <c r="E77" i="17" a="1"/>
  <c r="E77" i="17" s="1"/>
  <c r="E84" i="17" a="1"/>
  <c r="E84" i="17" s="1"/>
  <c r="D12" i="17" a="1"/>
  <c r="D12" i="17" s="1"/>
  <c r="F12" i="17" s="1"/>
  <c r="D28" i="17" a="1"/>
  <c r="D28" i="17" s="1"/>
  <c r="F28" i="17" s="1"/>
  <c r="D44" i="17" a="1"/>
  <c r="D44" i="17" s="1"/>
  <c r="F44" i="17" s="1"/>
  <c r="D60" i="17" a="1"/>
  <c r="D60" i="17" s="1"/>
  <c r="D76" i="17" a="1"/>
  <c r="D76" i="17" s="1"/>
  <c r="D82" i="17" a="1"/>
  <c r="D82" i="17" s="1"/>
  <c r="D50" i="17" a="1"/>
  <c r="D50" i="17" s="1"/>
  <c r="D66" i="17" a="1"/>
  <c r="D66" i="17" s="1"/>
  <c r="D77" i="17" a="1"/>
  <c r="D77" i="17" s="1"/>
  <c r="E78" i="17" a="1"/>
  <c r="E78" i="17" s="1"/>
  <c r="D8" i="17" a="1"/>
  <c r="D8" i="17" s="1"/>
  <c r="D24" i="17" a="1"/>
  <c r="D24" i="17" s="1"/>
  <c r="D72" i="17" a="1"/>
  <c r="D72" i="17" s="1"/>
  <c r="D25" i="17" a="1"/>
  <c r="D25" i="17" s="1"/>
  <c r="D46" i="17" a="1"/>
  <c r="D46" i="17" s="1"/>
  <c r="F46" i="17" s="1"/>
  <c r="D73" i="17" a="1"/>
  <c r="D73" i="17" s="1"/>
  <c r="F73" i="17" s="1"/>
  <c r="D52" i="17" a="1"/>
  <c r="D52" i="17" s="1"/>
  <c r="F52" i="17" s="1"/>
  <c r="E37" i="17" a="1"/>
  <c r="E37" i="17" s="1"/>
  <c r="D32" i="17" a="1"/>
  <c r="D32" i="17" s="1"/>
  <c r="F32" i="17" s="1"/>
  <c r="P11" i="21" a="1"/>
  <c r="P11" i="21" s="1"/>
  <c r="P75" i="21" a="1"/>
  <c r="P75" i="21" s="1"/>
  <c r="O62" i="21" a="1"/>
  <c r="O62" i="21" s="1"/>
  <c r="Q62" i="21" s="1"/>
  <c r="E45" i="21" a="1"/>
  <c r="E45" i="21" s="1"/>
  <c r="D24" i="21" a="1"/>
  <c r="D24" i="21" s="1"/>
  <c r="D40" i="21" a="1"/>
  <c r="D40" i="21" s="1"/>
  <c r="D56" i="21" a="1"/>
  <c r="D56" i="21" s="1"/>
  <c r="D72" i="21" a="1"/>
  <c r="D72" i="21" s="1"/>
  <c r="C75" i="20" a="1"/>
  <c r="C75" i="20" s="1"/>
  <c r="D75" i="20" s="1"/>
  <c r="B18" i="20" a="1"/>
  <c r="B18" i="20" s="1"/>
  <c r="C19" i="20" s="1"/>
  <c r="C26" i="19" a="1"/>
  <c r="C26" i="19" s="1"/>
  <c r="B21" i="19" a="1"/>
  <c r="B21" i="19" s="1"/>
  <c r="B13" i="19" a="1"/>
  <c r="B13" i="19" s="1"/>
  <c r="E5" i="17" a="1"/>
  <c r="E5" i="17" s="1"/>
  <c r="E14" i="17" a="1"/>
  <c r="E14" i="17" s="1"/>
  <c r="E23" i="17" a="1"/>
  <c r="E23" i="17" s="1"/>
  <c r="E31" i="17" a="1"/>
  <c r="E31" i="17" s="1"/>
  <c r="E40" i="17" a="1"/>
  <c r="E40" i="17" s="1"/>
  <c r="E49" i="17" a="1"/>
  <c r="E49" i="17" s="1"/>
  <c r="E60" i="17" a="1"/>
  <c r="E60" i="17" s="1"/>
  <c r="E72" i="17" a="1"/>
  <c r="E72" i="17" s="1"/>
  <c r="E85" i="17" a="1"/>
  <c r="E85" i="17" s="1"/>
  <c r="D7" i="17" a="1"/>
  <c r="D7" i="17" s="1"/>
  <c r="D13" i="17" a="1"/>
  <c r="D13" i="17" s="1"/>
  <c r="F13" i="17" s="1"/>
  <c r="D18" i="17" a="1"/>
  <c r="D18" i="17" s="1"/>
  <c r="D23" i="17" a="1"/>
  <c r="D23" i="17" s="1"/>
  <c r="D29" i="17" a="1"/>
  <c r="D29" i="17" s="1"/>
  <c r="D34" i="17" a="1"/>
  <c r="D34" i="17" s="1"/>
  <c r="D39" i="17" a="1"/>
  <c r="D39" i="17" s="1"/>
  <c r="D45" i="17" a="1"/>
  <c r="D45" i="17" s="1"/>
  <c r="D55" i="17" a="1"/>
  <c r="D55" i="17" s="1"/>
  <c r="D61" i="17" a="1"/>
  <c r="D61" i="17" s="1"/>
  <c r="D71" i="17" a="1"/>
  <c r="D71" i="17" s="1"/>
  <c r="F71" i="17" s="1"/>
  <c r="D83" i="17" a="1"/>
  <c r="D83" i="17" s="1"/>
  <c r="E2" i="17" a="1"/>
  <c r="E2" i="17" s="1"/>
  <c r="D40" i="17" a="1"/>
  <c r="D40" i="17" s="1"/>
  <c r="D84" i="17" a="1"/>
  <c r="D84" i="17" s="1"/>
  <c r="F84" i="17" s="1"/>
  <c r="D30" i="17" a="1"/>
  <c r="D30" i="17" s="1"/>
  <c r="D51" i="17" a="1"/>
  <c r="D51" i="17" s="1"/>
  <c r="D62" i="17" a="1"/>
  <c r="D62" i="17" s="1"/>
  <c r="D78" i="17" a="1"/>
  <c r="D78" i="17" s="1"/>
  <c r="D20" i="17" a="1"/>
  <c r="D20" i="17" s="1"/>
  <c r="F20" i="17" s="1"/>
  <c r="D79" i="17" a="1"/>
  <c r="D79" i="17" s="1"/>
  <c r="E58" i="17" a="1"/>
  <c r="E58" i="17" s="1"/>
  <c r="D16" i="17" a="1"/>
  <c r="D16" i="17" s="1"/>
  <c r="F16" i="17" s="1"/>
  <c r="P19" i="21" a="1"/>
  <c r="P19" i="21" s="1"/>
  <c r="O6" i="21" a="1"/>
  <c r="O6" i="21" s="1"/>
  <c r="Q6" i="21" s="1"/>
  <c r="O70" i="21" a="1"/>
  <c r="O70" i="21" s="1"/>
  <c r="Q70" i="21" s="1"/>
  <c r="D28" i="21" a="1"/>
  <c r="D28" i="21" s="1"/>
  <c r="D44" i="21" a="1"/>
  <c r="D44" i="21" s="1"/>
  <c r="D60" i="21" a="1"/>
  <c r="D60" i="21" s="1"/>
  <c r="D76" i="21" a="1"/>
  <c r="D76" i="21" s="1"/>
  <c r="B81" i="20" a="1"/>
  <c r="B81" i="20" s="1"/>
  <c r="B74" i="20" a="1"/>
  <c r="B74" i="20" s="1"/>
  <c r="B14" i="20" a="1"/>
  <c r="B14" i="20" s="1"/>
  <c r="B30" i="19" a="1"/>
  <c r="B30" i="19" s="1"/>
  <c r="B3" i="19" a="1"/>
  <c r="B3" i="19" s="1"/>
  <c r="E7" i="17" a="1"/>
  <c r="E7" i="17" s="1"/>
  <c r="E15" i="17" a="1"/>
  <c r="E15" i="17" s="1"/>
  <c r="E24" i="17" a="1"/>
  <c r="E24" i="17" s="1"/>
  <c r="E33" i="17" a="1"/>
  <c r="E33" i="17" s="1"/>
  <c r="E41" i="17" a="1"/>
  <c r="E41" i="17" s="1"/>
  <c r="E55" i="17" a="1"/>
  <c r="E55" i="17" s="1"/>
  <c r="E61" i="17" a="1"/>
  <c r="E61" i="17" s="1"/>
  <c r="E66" i="17" a="1"/>
  <c r="E66" i="17" s="1"/>
  <c r="E73" i="17" a="1"/>
  <c r="E73" i="17" s="1"/>
  <c r="D56" i="17" a="1"/>
  <c r="D56" i="17" s="1"/>
  <c r="D35" i="17" a="1"/>
  <c r="D35" i="17" s="1"/>
  <c r="D57" i="17" a="1"/>
  <c r="D57" i="17" s="1"/>
  <c r="D2" i="17" a="1"/>
  <c r="D2" i="17" s="1"/>
  <c r="F2" i="17" s="1"/>
  <c r="D68" i="17" a="1"/>
  <c r="D68" i="17" s="1"/>
  <c r="E53" i="17" a="1"/>
  <c r="E53" i="17" s="1"/>
  <c r="D81" i="17" a="1"/>
  <c r="D81" i="17" s="1"/>
  <c r="P27" i="21" a="1"/>
  <c r="P27" i="21" s="1"/>
  <c r="O14" i="21" a="1"/>
  <c r="O14" i="21" s="1"/>
  <c r="Q14" i="21" s="1"/>
  <c r="Q2" i="21"/>
  <c r="E60" i="21" a="1"/>
  <c r="E60" i="21" s="1"/>
  <c r="D29" i="21" a="1"/>
  <c r="D29" i="21" s="1"/>
  <c r="D45" i="21" a="1"/>
  <c r="D45" i="21" s="1"/>
  <c r="D61" i="21" a="1"/>
  <c r="D61" i="21" s="1"/>
  <c r="D77" i="21" a="1"/>
  <c r="D77" i="21" s="1"/>
  <c r="C80" i="20" a="1"/>
  <c r="C80" i="20" s="1"/>
  <c r="B25" i="19" a="1"/>
  <c r="B25" i="19" s="1"/>
  <c r="B4" i="19" a="1"/>
  <c r="B4" i="19" s="1"/>
  <c r="E8" i="17" a="1"/>
  <c r="E8" i="17" s="1"/>
  <c r="E17" i="17" a="1"/>
  <c r="E17" i="17" s="1"/>
  <c r="E25" i="17" a="1"/>
  <c r="E25" i="17" s="1"/>
  <c r="E34" i="17" a="1"/>
  <c r="E34" i="17" s="1"/>
  <c r="E42" i="17" a="1"/>
  <c r="E42" i="17" s="1"/>
  <c r="E50" i="17" a="1"/>
  <c r="E50" i="17" s="1"/>
  <c r="E56" i="17" a="1"/>
  <c r="E56" i="17" s="1"/>
  <c r="E67" i="17" a="1"/>
  <c r="E67" i="17" s="1"/>
  <c r="E79" i="17" a="1"/>
  <c r="E79" i="17" s="1"/>
  <c r="D85" i="17" a="1"/>
  <c r="D85" i="17" s="1"/>
  <c r="F85" i="17" s="1"/>
  <c r="D9" i="17" a="1"/>
  <c r="D9" i="17" s="1"/>
  <c r="D14" i="17" a="1"/>
  <c r="D14" i="17" s="1"/>
  <c r="F14" i="17" s="1"/>
  <c r="D19" i="17" a="1"/>
  <c r="D19" i="17" s="1"/>
  <c r="D41" i="17" a="1"/>
  <c r="D41" i="17" s="1"/>
  <c r="D67" i="17" a="1"/>
  <c r="D67" i="17" s="1"/>
  <c r="D3" i="17" a="1"/>
  <c r="D3" i="17" s="1"/>
  <c r="E11" i="17" a="1"/>
  <c r="E11" i="17" s="1"/>
  <c r="E82" i="17" a="1"/>
  <c r="E82" i="17" s="1"/>
  <c r="P35" i="21" a="1"/>
  <c r="P35" i="21" s="1"/>
  <c r="O22" i="21" a="1"/>
  <c r="O22" i="21" s="1"/>
  <c r="Q22" i="21" s="1"/>
  <c r="E8" i="21" a="1"/>
  <c r="E8" i="21" s="1"/>
  <c r="E68" i="21" a="1"/>
  <c r="E68" i="21" s="1"/>
  <c r="D30" i="21" a="1"/>
  <c r="D30" i="21" s="1"/>
  <c r="D46" i="21" a="1"/>
  <c r="D46" i="21" s="1"/>
  <c r="D62" i="21" a="1"/>
  <c r="D62" i="21" s="1"/>
  <c r="D2" i="21" a="1"/>
  <c r="D2" i="21" s="1"/>
  <c r="B80" i="20" a="1"/>
  <c r="B80" i="20" s="1"/>
  <c r="B24" i="20" a="1"/>
  <c r="B24" i="20" s="1"/>
  <c r="D24" i="20" s="1"/>
  <c r="B13" i="20" a="1"/>
  <c r="B13" i="20" s="1"/>
  <c r="C14" i="20" s="1"/>
  <c r="B22" i="19" a="1"/>
  <c r="B22" i="19" s="1"/>
  <c r="B5" i="19" a="1"/>
  <c r="B5" i="19" s="1"/>
  <c r="E9" i="17" a="1"/>
  <c r="E9" i="17" s="1"/>
  <c r="E18" i="17" a="1"/>
  <c r="E18" i="17" s="1"/>
  <c r="E26" i="17" a="1"/>
  <c r="E26" i="17" s="1"/>
  <c r="E43" i="17" a="1"/>
  <c r="E43" i="17" s="1"/>
  <c r="E57" i="17" a="1"/>
  <c r="E57" i="17" s="1"/>
  <c r="E62" i="17" a="1"/>
  <c r="E62" i="17" s="1"/>
  <c r="E68" i="17" a="1"/>
  <c r="E68" i="17" s="1"/>
  <c r="E74" i="17" a="1"/>
  <c r="E74" i="17" s="1"/>
  <c r="E80" i="17" a="1"/>
  <c r="E80" i="17" s="1"/>
  <c r="D36" i="17" a="1"/>
  <c r="D36" i="17" s="1"/>
  <c r="F36" i="17" s="1"/>
  <c r="E29" i="17" a="1"/>
  <c r="E29" i="17" s="1"/>
  <c r="E75" i="17" a="1"/>
  <c r="E75" i="17" s="1"/>
  <c r="D48" i="17" a="1"/>
  <c r="D48" i="17" s="1"/>
  <c r="F48" i="17" s="1"/>
  <c r="P43" i="21" a="1"/>
  <c r="P43" i="21" s="1"/>
  <c r="O30" i="21" a="1"/>
  <c r="O30" i="21" s="1"/>
  <c r="Q30" i="21" s="1"/>
  <c r="E14" i="21" a="1"/>
  <c r="E14" i="21" s="1"/>
  <c r="E75" i="21" a="1"/>
  <c r="E75" i="21" s="1"/>
  <c r="D32" i="21" a="1"/>
  <c r="D32" i="21" s="1"/>
  <c r="D48" i="21" a="1"/>
  <c r="D48" i="21" s="1"/>
  <c r="D64" i="21" a="1"/>
  <c r="D64" i="21" s="1"/>
  <c r="B86" i="20" a="1"/>
  <c r="B86" i="20" s="1"/>
  <c r="B79" i="20" a="1"/>
  <c r="B79" i="20" s="1"/>
  <c r="B22" i="20" a="1"/>
  <c r="B22" i="20" s="1"/>
  <c r="C25" i="19" a="1"/>
  <c r="C25" i="19" s="1"/>
  <c r="D25" i="19" s="1"/>
  <c r="B27" i="19" a="1"/>
  <c r="B27" i="19" s="1"/>
  <c r="B6" i="19" a="1"/>
  <c r="B6" i="19" s="1"/>
  <c r="E10" i="17" a="1"/>
  <c r="E10" i="17" s="1"/>
  <c r="E27" i="17" a="1"/>
  <c r="E27" i="17" s="1"/>
  <c r="E35" i="17" a="1"/>
  <c r="E35" i="17" s="1"/>
  <c r="E45" i="17" a="1"/>
  <c r="E45" i="17" s="1"/>
  <c r="E51" i="17" a="1"/>
  <c r="E51" i="17" s="1"/>
  <c r="E69" i="17" a="1"/>
  <c r="E69" i="17" s="1"/>
  <c r="E81" i="17" a="1"/>
  <c r="E81" i="17" s="1"/>
  <c r="D5" i="17" a="1"/>
  <c r="D5" i="17" s="1"/>
  <c r="D10" i="17" a="1"/>
  <c r="D10" i="17" s="1"/>
  <c r="F10" i="17" s="1"/>
  <c r="D15" i="17" a="1"/>
  <c r="D15" i="17" s="1"/>
  <c r="F15" i="17" s="1"/>
  <c r="D21" i="17" a="1"/>
  <c r="D21" i="17" s="1"/>
  <c r="F21" i="17" s="1"/>
  <c r="D26" i="17" a="1"/>
  <c r="D26" i="17" s="1"/>
  <c r="D31" i="17" a="1"/>
  <c r="D31" i="17" s="1"/>
  <c r="D37" i="17" a="1"/>
  <c r="D37" i="17" s="1"/>
  <c r="D47" i="17" a="1"/>
  <c r="D47" i="17" s="1"/>
  <c r="D53" i="17" a="1"/>
  <c r="D53" i="17" s="1"/>
  <c r="D58" i="17" a="1"/>
  <c r="D58" i="17" s="1"/>
  <c r="F58" i="17" s="1"/>
  <c r="D63" i="17" a="1"/>
  <c r="D63" i="17" s="1"/>
  <c r="D69" i="17" a="1"/>
  <c r="D69" i="17" s="1"/>
  <c r="F69" i="17" s="1"/>
  <c r="D74" i="17" a="1"/>
  <c r="D74" i="17" s="1"/>
  <c r="F74" i="17" s="1"/>
  <c r="D80" i="17" a="1"/>
  <c r="D80" i="17" s="1"/>
  <c r="P51" i="21" a="1"/>
  <c r="P51" i="21" s="1"/>
  <c r="O38" i="21" a="1"/>
  <c r="O38" i="21" s="1"/>
  <c r="Q38" i="21" s="1"/>
  <c r="D8" i="21" a="1"/>
  <c r="D8" i="21" s="1"/>
  <c r="D36" i="21" a="1"/>
  <c r="D36" i="21" s="1"/>
  <c r="D52" i="21" a="1"/>
  <c r="D52" i="21" s="1"/>
  <c r="D68" i="21" a="1"/>
  <c r="D68" i="21" s="1"/>
  <c r="B84" i="20" a="1"/>
  <c r="B84" i="20" s="1"/>
  <c r="B77" i="20" a="1"/>
  <c r="B77" i="20" s="1"/>
  <c r="C31" i="19" a="1"/>
  <c r="C31" i="19" s="1"/>
  <c r="D31" i="19" s="1"/>
  <c r="B20" i="19" a="1"/>
  <c r="B20" i="19" s="1"/>
  <c r="E19" i="17" a="1"/>
  <c r="E19" i="17" s="1"/>
  <c r="E63" i="17" a="1"/>
  <c r="E63" i="17" s="1"/>
  <c r="D64" i="17" a="1"/>
  <c r="D64" i="17" s="1"/>
  <c r="D7" i="16" a="1"/>
  <c r="D7" i="16" s="1"/>
  <c r="D13" i="16" a="1"/>
  <c r="D13" i="16" s="1"/>
  <c r="D18" i="16" a="1"/>
  <c r="D18" i="16" s="1"/>
  <c r="D25" i="16" a="1"/>
  <c r="D25" i="16" s="1"/>
  <c r="J7" i="16" s="1"/>
  <c r="C10" i="16" a="1"/>
  <c r="C10" i="16" s="1"/>
  <c r="C15" i="16" a="1"/>
  <c r="C15" i="16" s="1"/>
  <c r="C21" i="16" a="1"/>
  <c r="C21" i="16" s="1"/>
  <c r="C27" i="16" a="1"/>
  <c r="C27" i="16" s="1"/>
  <c r="B12" i="16" a="1"/>
  <c r="B12" i="16" s="1"/>
  <c r="B25" i="16" a="1"/>
  <c r="B25" i="16" s="1"/>
  <c r="H7" i="16" s="1"/>
  <c r="D8" i="16" a="1"/>
  <c r="D8" i="16" s="1"/>
  <c r="D26" i="16" a="1"/>
  <c r="D26" i="16" s="1"/>
  <c r="C6" i="16" a="1"/>
  <c r="C6" i="16" s="1"/>
  <c r="C16" i="16" a="1"/>
  <c r="C16" i="16" s="1"/>
  <c r="C2" i="16" a="1"/>
  <c r="C2" i="16" s="1"/>
  <c r="B7" i="16" a="1"/>
  <c r="B7" i="16" s="1"/>
  <c r="B13" i="16" a="1"/>
  <c r="B13" i="16" s="1"/>
  <c r="B18" i="16" a="1"/>
  <c r="B18" i="16" s="1"/>
  <c r="B2" i="16" a="1"/>
  <c r="B2" i="16" s="1"/>
  <c r="D10" i="16" a="1"/>
  <c r="D10" i="16" s="1"/>
  <c r="C3" i="16" a="1"/>
  <c r="C3" i="16" s="1"/>
  <c r="C13" i="16" a="1"/>
  <c r="C13" i="16" s="1"/>
  <c r="B3" i="16" a="1"/>
  <c r="B3" i="16" s="1"/>
  <c r="B15" i="16" a="1"/>
  <c r="B15" i="16" s="1"/>
  <c r="D3" i="16" a="1"/>
  <c r="D3" i="16" s="1"/>
  <c r="D9" i="16" a="1"/>
  <c r="D9" i="16" s="1"/>
  <c r="D14" i="16" a="1"/>
  <c r="D14" i="16" s="1"/>
  <c r="D19" i="16" a="1"/>
  <c r="D19" i="16" s="1"/>
  <c r="D27" i="16" a="1"/>
  <c r="D27" i="16" s="1"/>
  <c r="C11" i="16" a="1"/>
  <c r="C11" i="16" s="1"/>
  <c r="C22" i="16" a="1"/>
  <c r="C22" i="16" s="1"/>
  <c r="I6" i="16" s="1"/>
  <c r="B27" i="16" a="1"/>
  <c r="B27" i="16" s="1"/>
  <c r="B8" i="16" a="1"/>
  <c r="B8" i="16" s="1"/>
  <c r="B19" i="16" a="1"/>
  <c r="B19" i="16" s="1"/>
  <c r="D21" i="16" a="1"/>
  <c r="D21" i="16" s="1"/>
  <c r="D4" i="16" a="1"/>
  <c r="D4" i="16" s="1"/>
  <c r="D20" i="16" a="1"/>
  <c r="D20" i="16" s="1"/>
  <c r="J3" i="16" s="1"/>
  <c r="D2" i="16" a="1"/>
  <c r="D2" i="16" s="1"/>
  <c r="C7" i="16" a="1"/>
  <c r="C7" i="16" s="1"/>
  <c r="C12" i="16" a="1"/>
  <c r="C12" i="16" s="1"/>
  <c r="C17" i="16" a="1"/>
  <c r="C17" i="16" s="1"/>
  <c r="B26" i="16" a="1"/>
  <c r="B26" i="16" s="1"/>
  <c r="B9" i="16" a="1"/>
  <c r="B9" i="16" s="1"/>
  <c r="B14" i="16" a="1"/>
  <c r="B14" i="16" s="1"/>
  <c r="B20" i="16" a="1"/>
  <c r="B20" i="16" s="1"/>
  <c r="H3" i="16" s="1"/>
  <c r="D15" i="16" a="1"/>
  <c r="D15" i="16" s="1"/>
  <c r="C8" i="16" a="1"/>
  <c r="C8" i="16" s="1"/>
  <c r="C23" i="16" a="1"/>
  <c r="C23" i="16" s="1"/>
  <c r="I4" i="16" s="1"/>
  <c r="B21" i="16" a="1"/>
  <c r="B21" i="16" s="1"/>
  <c r="B10" i="16" a="1"/>
  <c r="B10" i="16" s="1"/>
  <c r="D5" i="16" a="1"/>
  <c r="D5" i="16" s="1"/>
  <c r="D16" i="16" a="1"/>
  <c r="D16" i="16" s="1"/>
  <c r="D22" i="16" a="1"/>
  <c r="D22" i="16" s="1"/>
  <c r="J6" i="16" s="1"/>
  <c r="C4" i="16" a="1"/>
  <c r="C4" i="16" s="1"/>
  <c r="C18" i="16" a="1"/>
  <c r="C18" i="16" s="1"/>
  <c r="C24" i="16" a="1"/>
  <c r="C24" i="16" s="1"/>
  <c r="B4" i="16" a="1"/>
  <c r="B4" i="16" s="1"/>
  <c r="B22" i="16" a="1"/>
  <c r="B22" i="16" s="1"/>
  <c r="H6" i="16" s="1"/>
  <c r="D6" i="16" a="1"/>
  <c r="D6" i="16" s="1"/>
  <c r="D11" i="16" a="1"/>
  <c r="D11" i="16" s="1"/>
  <c r="D17" i="16" a="1"/>
  <c r="D17" i="16" s="1"/>
  <c r="D23" i="16" a="1"/>
  <c r="D23" i="16" s="1"/>
  <c r="J4" i="16" s="1"/>
  <c r="C9" i="16" a="1"/>
  <c r="C9" i="16" s="1"/>
  <c r="C14" i="16" a="1"/>
  <c r="C14" i="16" s="1"/>
  <c r="C25" i="16" a="1"/>
  <c r="C25" i="16" s="1"/>
  <c r="I7" i="16" s="1"/>
  <c r="B5" i="16" a="1"/>
  <c r="B5" i="16" s="1"/>
  <c r="B16" i="16" a="1"/>
  <c r="B16" i="16" s="1"/>
  <c r="B23" i="16" a="1"/>
  <c r="B23" i="16" s="1"/>
  <c r="H4" i="16" s="1"/>
  <c r="D12" i="16" a="1"/>
  <c r="D12" i="16" s="1"/>
  <c r="D24" i="16" a="1"/>
  <c r="D24" i="16" s="1"/>
  <c r="C5" i="16" a="1"/>
  <c r="C5" i="16" s="1"/>
  <c r="C20" i="16" a="1"/>
  <c r="C20" i="16" s="1"/>
  <c r="I3" i="16" s="1"/>
  <c r="C26" i="16" a="1"/>
  <c r="C26" i="16" s="1"/>
  <c r="B6" i="16" a="1"/>
  <c r="B6" i="16" s="1"/>
  <c r="B11" i="16" a="1"/>
  <c r="B11" i="16" s="1"/>
  <c r="B17" i="16" a="1"/>
  <c r="B17" i="16" s="1"/>
  <c r="B24" i="16" a="1"/>
  <c r="B24" i="16" s="1"/>
  <c r="J11" i="7" a="1"/>
  <c r="J11" i="7" s="1"/>
  <c r="J3" i="7" a="1"/>
  <c r="J3" i="7" s="1"/>
  <c r="I7" i="7" a="1"/>
  <c r="I7" i="7" s="1"/>
  <c r="E4" i="7" a="1"/>
  <c r="E4" i="7" s="1"/>
  <c r="E12" i="7" a="1"/>
  <c r="E12" i="7" s="1"/>
  <c r="E20" i="7" a="1"/>
  <c r="E20" i="7" s="1"/>
  <c r="E28" i="7" a="1"/>
  <c r="E28" i="7" s="1"/>
  <c r="E36" i="7" a="1"/>
  <c r="E36" i="7" s="1"/>
  <c r="E44" i="7" a="1"/>
  <c r="E44" i="7" s="1"/>
  <c r="E52" i="7" a="1"/>
  <c r="E52" i="7" s="1"/>
  <c r="E60" i="7" a="1"/>
  <c r="E60" i="7" s="1"/>
  <c r="E2" i="7" a="1"/>
  <c r="E2" i="7" s="1"/>
  <c r="D9" i="7" a="1"/>
  <c r="D9" i="7" s="1"/>
  <c r="D21" i="7" a="1"/>
  <c r="D21" i="7" s="1"/>
  <c r="D29" i="7" a="1"/>
  <c r="D29" i="7" s="1"/>
  <c r="D37" i="7" a="1"/>
  <c r="D37" i="7" s="1"/>
  <c r="D45" i="7" a="1"/>
  <c r="D45" i="7" s="1"/>
  <c r="D53" i="7" a="1"/>
  <c r="D53" i="7" s="1"/>
  <c r="D61" i="7" a="1"/>
  <c r="D61" i="7" s="1"/>
  <c r="J10" i="7" a="1"/>
  <c r="J10" i="7" s="1"/>
  <c r="J2" i="7" a="1"/>
  <c r="J2" i="7" s="1"/>
  <c r="I6" i="7" a="1"/>
  <c r="I6" i="7" s="1"/>
  <c r="E5" i="7" a="1"/>
  <c r="E5" i="7" s="1"/>
  <c r="E13" i="7" a="1"/>
  <c r="E13" i="7" s="1"/>
  <c r="E21" i="7" a="1"/>
  <c r="E21" i="7" s="1"/>
  <c r="E29" i="7" a="1"/>
  <c r="E29" i="7" s="1"/>
  <c r="E37" i="7" a="1"/>
  <c r="E37" i="7" s="1"/>
  <c r="E45" i="7" a="1"/>
  <c r="E45" i="7" s="1"/>
  <c r="E53" i="7" a="1"/>
  <c r="E53" i="7" s="1"/>
  <c r="E61" i="7" a="1"/>
  <c r="E61" i="7" s="1"/>
  <c r="D3" i="7" a="1"/>
  <c r="D3" i="7" s="1"/>
  <c r="D15" i="7" a="1"/>
  <c r="D15" i="7" s="1"/>
  <c r="D22" i="7" a="1"/>
  <c r="D22" i="7" s="1"/>
  <c r="D30" i="7" a="1"/>
  <c r="D30" i="7" s="1"/>
  <c r="D38" i="7" a="1"/>
  <c r="D38" i="7" s="1"/>
  <c r="D46" i="7" a="1"/>
  <c r="D46" i="7" s="1"/>
  <c r="D54" i="7" a="1"/>
  <c r="D54" i="7" s="1"/>
  <c r="D62" i="7" a="1"/>
  <c r="D62" i="7" s="1"/>
  <c r="J9" i="7" a="1"/>
  <c r="J9" i="7" s="1"/>
  <c r="I13" i="7" a="1"/>
  <c r="I13" i="7" s="1"/>
  <c r="I5" i="7" a="1"/>
  <c r="I5" i="7" s="1"/>
  <c r="E6" i="7" a="1"/>
  <c r="E6" i="7" s="1"/>
  <c r="E14" i="7" a="1"/>
  <c r="E14" i="7" s="1"/>
  <c r="E22" i="7" a="1"/>
  <c r="E22" i="7" s="1"/>
  <c r="E30" i="7" a="1"/>
  <c r="E30" i="7" s="1"/>
  <c r="F30" i="7" s="1"/>
  <c r="E38" i="7" a="1"/>
  <c r="E38" i="7" s="1"/>
  <c r="E46" i="7" a="1"/>
  <c r="E46" i="7" s="1"/>
  <c r="E54" i="7" a="1"/>
  <c r="E54" i="7" s="1"/>
  <c r="E62" i="7" a="1"/>
  <c r="E62" i="7" s="1"/>
  <c r="D4" i="7" a="1"/>
  <c r="D4" i="7" s="1"/>
  <c r="D10" i="7" a="1"/>
  <c r="D10" i="7" s="1"/>
  <c r="D16" i="7" a="1"/>
  <c r="D16" i="7" s="1"/>
  <c r="D23" i="7" a="1"/>
  <c r="D23" i="7" s="1"/>
  <c r="D31" i="7" a="1"/>
  <c r="D31" i="7" s="1"/>
  <c r="D39" i="7" a="1"/>
  <c r="D39" i="7" s="1"/>
  <c r="D47" i="7" a="1"/>
  <c r="D47" i="7" s="1"/>
  <c r="D55" i="7" a="1"/>
  <c r="D55" i="7" s="1"/>
  <c r="D63" i="7" a="1"/>
  <c r="D63" i="7" s="1"/>
  <c r="J8" i="7" a="1"/>
  <c r="J8" i="7" s="1"/>
  <c r="I12" i="7" a="1"/>
  <c r="I12" i="7" s="1"/>
  <c r="I4" i="7" a="1"/>
  <c r="I4" i="7" s="1"/>
  <c r="E7" i="7" a="1"/>
  <c r="E7" i="7" s="1"/>
  <c r="E15" i="7" a="1"/>
  <c r="E15" i="7" s="1"/>
  <c r="E23" i="7" a="1"/>
  <c r="E23" i="7" s="1"/>
  <c r="E31" i="7" a="1"/>
  <c r="E31" i="7" s="1"/>
  <c r="E39" i="7" a="1"/>
  <c r="E39" i="7" s="1"/>
  <c r="E47" i="7" a="1"/>
  <c r="E47" i="7" s="1"/>
  <c r="E55" i="7" a="1"/>
  <c r="E55" i="7" s="1"/>
  <c r="E63" i="7" a="1"/>
  <c r="E63" i="7" s="1"/>
  <c r="D5" i="7" a="1"/>
  <c r="D5" i="7" s="1"/>
  <c r="D17" i="7" a="1"/>
  <c r="D17" i="7" s="1"/>
  <c r="D24" i="7" a="1"/>
  <c r="D24" i="7" s="1"/>
  <c r="D32" i="7" a="1"/>
  <c r="D32" i="7" s="1"/>
  <c r="D40" i="7" a="1"/>
  <c r="D40" i="7" s="1"/>
  <c r="D48" i="7" a="1"/>
  <c r="D48" i="7" s="1"/>
  <c r="D56" i="7" a="1"/>
  <c r="D56" i="7" s="1"/>
  <c r="D64" i="7" a="1"/>
  <c r="D64" i="7" s="1"/>
  <c r="J7" i="7" a="1"/>
  <c r="J7" i="7" s="1"/>
  <c r="I11" i="7" a="1"/>
  <c r="I11" i="7" s="1"/>
  <c r="I3" i="7" a="1"/>
  <c r="I3" i="7" s="1"/>
  <c r="E8" i="7" a="1"/>
  <c r="E8" i="7" s="1"/>
  <c r="E16" i="7" a="1"/>
  <c r="E16" i="7" s="1"/>
  <c r="E24" i="7" a="1"/>
  <c r="E24" i="7" s="1"/>
  <c r="E32" i="7" a="1"/>
  <c r="E32" i="7" s="1"/>
  <c r="E40" i="7" a="1"/>
  <c r="E40" i="7" s="1"/>
  <c r="E48" i="7" a="1"/>
  <c r="E48" i="7" s="1"/>
  <c r="E56" i="7" a="1"/>
  <c r="E56" i="7" s="1"/>
  <c r="E64" i="7" a="1"/>
  <c r="E64" i="7" s="1"/>
  <c r="D6" i="7" a="1"/>
  <c r="D6" i="7" s="1"/>
  <c r="D11" i="7" a="1"/>
  <c r="D11" i="7" s="1"/>
  <c r="D18" i="7" a="1"/>
  <c r="D18" i="7" s="1"/>
  <c r="D25" i="7" a="1"/>
  <c r="D25" i="7" s="1"/>
  <c r="D33" i="7" a="1"/>
  <c r="D33" i="7" s="1"/>
  <c r="D41" i="7" a="1"/>
  <c r="D41" i="7" s="1"/>
  <c r="D49" i="7" a="1"/>
  <c r="D49" i="7" s="1"/>
  <c r="D57" i="7" a="1"/>
  <c r="D57" i="7" s="1"/>
  <c r="D65" i="7" a="1"/>
  <c r="D65" i="7" s="1"/>
  <c r="J6" i="7" a="1"/>
  <c r="J6" i="7" s="1"/>
  <c r="I10" i="7" a="1"/>
  <c r="I10" i="7" s="1"/>
  <c r="I2" i="7" a="1"/>
  <c r="I2" i="7" s="1"/>
  <c r="E9" i="7" a="1"/>
  <c r="E9" i="7" s="1"/>
  <c r="E17" i="7" a="1"/>
  <c r="E17" i="7" s="1"/>
  <c r="E25" i="7" a="1"/>
  <c r="E25" i="7" s="1"/>
  <c r="E33" i="7" a="1"/>
  <c r="E33" i="7" s="1"/>
  <c r="E41" i="7" a="1"/>
  <c r="E41" i="7" s="1"/>
  <c r="E49" i="7" a="1"/>
  <c r="E49" i="7" s="1"/>
  <c r="E57" i="7" a="1"/>
  <c r="E57" i="7" s="1"/>
  <c r="E65" i="7" a="1"/>
  <c r="E65" i="7" s="1"/>
  <c r="D12" i="7" a="1"/>
  <c r="D12" i="7" s="1"/>
  <c r="D26" i="7" a="1"/>
  <c r="D26" i="7" s="1"/>
  <c r="D34" i="7" a="1"/>
  <c r="D34" i="7" s="1"/>
  <c r="D42" i="7" a="1"/>
  <c r="D42" i="7" s="1"/>
  <c r="D50" i="7" a="1"/>
  <c r="D50" i="7" s="1"/>
  <c r="D58" i="7" a="1"/>
  <c r="D58" i="7" s="1"/>
  <c r="D66" i="7" a="1"/>
  <c r="D66" i="7" s="1"/>
  <c r="J13" i="7" a="1"/>
  <c r="J13" i="7" s="1"/>
  <c r="J5" i="7" a="1"/>
  <c r="J5" i="7" s="1"/>
  <c r="I9" i="7" a="1"/>
  <c r="I9" i="7" s="1"/>
  <c r="E10" i="7" a="1"/>
  <c r="E10" i="7" s="1"/>
  <c r="E18" i="7" a="1"/>
  <c r="E18" i="7" s="1"/>
  <c r="E26" i="7" a="1"/>
  <c r="E26" i="7" s="1"/>
  <c r="E34" i="7" a="1"/>
  <c r="E34" i="7" s="1"/>
  <c r="E42" i="7" a="1"/>
  <c r="E42" i="7" s="1"/>
  <c r="E50" i="7" a="1"/>
  <c r="E50" i="7" s="1"/>
  <c r="E58" i="7" a="1"/>
  <c r="E58" i="7" s="1"/>
  <c r="E66" i="7" a="1"/>
  <c r="E66" i="7" s="1"/>
  <c r="D7" i="7" a="1"/>
  <c r="D7" i="7" s="1"/>
  <c r="D13" i="7" a="1"/>
  <c r="D13" i="7" s="1"/>
  <c r="D19" i="7" a="1"/>
  <c r="D19" i="7" s="1"/>
  <c r="D27" i="7" a="1"/>
  <c r="D27" i="7" s="1"/>
  <c r="D35" i="7" a="1"/>
  <c r="D35" i="7" s="1"/>
  <c r="D43" i="7" a="1"/>
  <c r="D43" i="7" s="1"/>
  <c r="D51" i="7" a="1"/>
  <c r="D51" i="7" s="1"/>
  <c r="D59" i="7" a="1"/>
  <c r="D59" i="7" s="1"/>
  <c r="D67" i="7" a="1"/>
  <c r="D67" i="7" s="1"/>
  <c r="J12" i="7" a="1"/>
  <c r="J12" i="7" s="1"/>
  <c r="J4" i="7" a="1"/>
  <c r="J4" i="7" s="1"/>
  <c r="I8" i="7" a="1"/>
  <c r="I8" i="7" s="1"/>
  <c r="E3" i="7" a="1"/>
  <c r="E3" i="7" s="1"/>
  <c r="E11" i="7" a="1"/>
  <c r="E11" i="7" s="1"/>
  <c r="E19" i="7" a="1"/>
  <c r="E19" i="7" s="1"/>
  <c r="E27" i="7" a="1"/>
  <c r="E27" i="7" s="1"/>
  <c r="E35" i="7" a="1"/>
  <c r="E35" i="7" s="1"/>
  <c r="E43" i="7" a="1"/>
  <c r="E43" i="7" s="1"/>
  <c r="E51" i="7" a="1"/>
  <c r="E51" i="7" s="1"/>
  <c r="E59" i="7" a="1"/>
  <c r="E59" i="7" s="1"/>
  <c r="E67" i="7" a="1"/>
  <c r="E67" i="7" s="1"/>
  <c r="D8" i="7" a="1"/>
  <c r="D8" i="7" s="1"/>
  <c r="D14" i="7" a="1"/>
  <c r="D14" i="7" s="1"/>
  <c r="D20" i="7" a="1"/>
  <c r="D20" i="7" s="1"/>
  <c r="D28" i="7" a="1"/>
  <c r="D28" i="7" s="1"/>
  <c r="D36" i="7" a="1"/>
  <c r="D36" i="7" s="1"/>
  <c r="D44" i="7" a="1"/>
  <c r="D44" i="7" s="1"/>
  <c r="D52" i="7" a="1"/>
  <c r="D52" i="7" s="1"/>
  <c r="D60" i="7" a="1"/>
  <c r="D60" i="7" s="1"/>
  <c r="D2" i="7" a="1"/>
  <c r="D2" i="7" s="1"/>
  <c r="A9" i="7"/>
  <c r="C8" i="7"/>
  <c r="B8" i="7"/>
  <c r="E93" i="3" a="1"/>
  <c r="E93" i="3" s="1"/>
  <c r="F93" i="3" s="1"/>
  <c r="D81" i="3" a="1"/>
  <c r="D81" i="3" s="1"/>
  <c r="F81" i="3" s="1"/>
  <c r="E53" i="21" a="1"/>
  <c r="E53" i="21" s="1"/>
  <c r="B34" i="3" a="1"/>
  <c r="B34" i="3" s="1"/>
  <c r="D34" i="3" s="1"/>
  <c r="F64" i="17" l="1"/>
  <c r="F5" i="17"/>
  <c r="F66" i="17"/>
  <c r="F40" i="17"/>
  <c r="F78" i="17"/>
  <c r="F53" i="17"/>
  <c r="F57" i="17"/>
  <c r="F39" i="17"/>
  <c r="F47" i="17"/>
  <c r="F34" i="17"/>
  <c r="F37" i="17"/>
  <c r="D26" i="19"/>
  <c r="F31" i="17"/>
  <c r="F83" i="17"/>
  <c r="F23" i="17"/>
  <c r="F76" i="17"/>
  <c r="D42" i="17" a="1"/>
  <c r="D42" i="17" s="1"/>
  <c r="F42" i="17" s="1"/>
  <c r="C5" i="19"/>
  <c r="F35" i="17"/>
  <c r="F50" i="17"/>
  <c r="F70" i="17"/>
  <c r="F27" i="17"/>
  <c r="D20" i="19"/>
  <c r="Q59" i="21"/>
  <c r="Q50" i="21"/>
  <c r="Q65" i="21"/>
  <c r="D32" i="19"/>
  <c r="Q24" i="21"/>
  <c r="C8" i="19"/>
  <c r="Q47" i="21"/>
  <c r="F80" i="17"/>
  <c r="C6" i="19"/>
  <c r="D6" i="19" s="1"/>
  <c r="D5" i="19"/>
  <c r="F67" i="17"/>
  <c r="F56" i="17"/>
  <c r="F79" i="17"/>
  <c r="F29" i="17"/>
  <c r="F25" i="17"/>
  <c r="F82" i="17"/>
  <c r="F65" i="17"/>
  <c r="F22" i="17"/>
  <c r="D83" i="20"/>
  <c r="D30" i="19"/>
  <c r="Q51" i="21"/>
  <c r="Q42" i="21"/>
  <c r="D77" i="20"/>
  <c r="Q57" i="21"/>
  <c r="C17" i="20"/>
  <c r="D17" i="20" s="1"/>
  <c r="Q16" i="21"/>
  <c r="D85" i="20"/>
  <c r="Q39" i="21"/>
  <c r="C23" i="20"/>
  <c r="D23" i="20" s="1"/>
  <c r="F41" i="17"/>
  <c r="D80" i="20"/>
  <c r="F72" i="17"/>
  <c r="C12" i="19"/>
  <c r="F59" i="17"/>
  <c r="F17" i="17"/>
  <c r="Q43" i="21"/>
  <c r="Q34" i="21"/>
  <c r="D84" i="20"/>
  <c r="Q49" i="21"/>
  <c r="D74" i="20"/>
  <c r="Q72" i="21"/>
  <c r="Q8" i="21"/>
  <c r="D23" i="19"/>
  <c r="Q31" i="21"/>
  <c r="F26" i="17"/>
  <c r="F19" i="17"/>
  <c r="F81" i="17"/>
  <c r="C4" i="19"/>
  <c r="D4" i="19" s="1"/>
  <c r="D3" i="19"/>
  <c r="F18" i="17"/>
  <c r="F24" i="17"/>
  <c r="F60" i="17"/>
  <c r="F11" i="17"/>
  <c r="Q35" i="21"/>
  <c r="Q26" i="21"/>
  <c r="C10" i="19"/>
  <c r="D10" i="19" s="1"/>
  <c r="Q41" i="21"/>
  <c r="F4" i="17"/>
  <c r="Q64" i="21"/>
  <c r="D22" i="19"/>
  <c r="Q23" i="21"/>
  <c r="F63" i="17"/>
  <c r="F62" i="17"/>
  <c r="F61" i="17"/>
  <c r="F8" i="17"/>
  <c r="E54" i="17" a="1"/>
  <c r="E54" i="17" s="1"/>
  <c r="F54" i="17" s="1"/>
  <c r="D79" i="20"/>
  <c r="Q27" i="21"/>
  <c r="Q18" i="21"/>
  <c r="Q33" i="21"/>
  <c r="D81" i="20"/>
  <c r="Q56" i="21"/>
  <c r="C18" i="20"/>
  <c r="D18" i="20" s="1"/>
  <c r="Q15" i="21"/>
  <c r="F9" i="17"/>
  <c r="F68" i="17"/>
  <c r="D14" i="20"/>
  <c r="C15" i="20"/>
  <c r="D15" i="20" s="1"/>
  <c r="F51" i="17"/>
  <c r="F55" i="17"/>
  <c r="F7" i="17"/>
  <c r="D19" i="20"/>
  <c r="C20" i="20"/>
  <c r="D20" i="20" s="1"/>
  <c r="F43" i="17"/>
  <c r="C11" i="19"/>
  <c r="D11" i="19" s="1"/>
  <c r="C13" i="19"/>
  <c r="D13" i="19" s="1"/>
  <c r="D12" i="19"/>
  <c r="Q19" i="21"/>
  <c r="Q74" i="21"/>
  <c r="Q10" i="21"/>
  <c r="D21" i="19"/>
  <c r="Q25" i="21"/>
  <c r="D8" i="19"/>
  <c r="C9" i="19"/>
  <c r="D9" i="19" s="1"/>
  <c r="Q48" i="21"/>
  <c r="D21" i="20"/>
  <c r="C22" i="20"/>
  <c r="D22" i="20" s="1"/>
  <c r="Q71" i="21"/>
  <c r="Q7" i="21"/>
  <c r="F30" i="17"/>
  <c r="F45" i="17"/>
  <c r="F77" i="17"/>
  <c r="F38" i="17"/>
  <c r="D86" i="20"/>
  <c r="Q75" i="21"/>
  <c r="Q11" i="21"/>
  <c r="Q66" i="21"/>
  <c r="Q3" i="21"/>
  <c r="D27" i="19"/>
  <c r="Q17" i="21"/>
  <c r="D41" i="21" a="1"/>
  <c r="D41" i="21" s="1"/>
  <c r="Q63" i="21"/>
  <c r="C7" i="19"/>
  <c r="D7" i="19" s="1"/>
  <c r="F75" i="17"/>
  <c r="F33" i="17"/>
  <c r="Q67" i="21"/>
  <c r="Q58" i="21"/>
  <c r="C16" i="20"/>
  <c r="D16" i="20" s="1"/>
  <c r="Q73" i="21"/>
  <c r="Q9" i="21"/>
  <c r="D28" i="19"/>
  <c r="Q32" i="21"/>
  <c r="D78" i="20"/>
  <c r="Q55" i="21"/>
  <c r="H9" i="16"/>
  <c r="I2" i="16"/>
  <c r="J9" i="16"/>
  <c r="J2" i="16"/>
  <c r="I8" i="16"/>
  <c r="I9" i="16"/>
  <c r="F3" i="7"/>
  <c r="J8" i="16"/>
  <c r="F41" i="7"/>
  <c r="F32" i="7"/>
  <c r="F16" i="7"/>
  <c r="H8" i="16"/>
  <c r="H2" i="16"/>
  <c r="K3" i="7"/>
  <c r="F10" i="7"/>
  <c r="K10" i="7"/>
  <c r="F59" i="7"/>
  <c r="F58" i="7"/>
  <c r="F43" i="7"/>
  <c r="F42" i="7"/>
  <c r="F37" i="7"/>
  <c r="F17" i="7"/>
  <c r="F55" i="7"/>
  <c r="F46" i="7"/>
  <c r="F29" i="7"/>
  <c r="F54" i="7"/>
  <c r="F64" i="7"/>
  <c r="F18" i="7"/>
  <c r="K2" i="7"/>
  <c r="K11" i="7"/>
  <c r="F35" i="7"/>
  <c r="F34" i="7"/>
  <c r="F21" i="7"/>
  <c r="K8" i="7"/>
  <c r="F15" i="7"/>
  <c r="F31" i="7"/>
  <c r="F22" i="7"/>
  <c r="F67" i="7"/>
  <c r="F66" i="7"/>
  <c r="F49" i="7"/>
  <c r="F40" i="7"/>
  <c r="F23" i="7"/>
  <c r="F61" i="7"/>
  <c r="F8" i="7"/>
  <c r="K12" i="7"/>
  <c r="F12" i="7"/>
  <c r="K9" i="7"/>
  <c r="F14" i="7"/>
  <c r="K6" i="7"/>
  <c r="F44" i="7"/>
  <c r="F6" i="7"/>
  <c r="F53" i="7"/>
  <c r="F36" i="7"/>
  <c r="F51" i="7"/>
  <c r="F50" i="7"/>
  <c r="F33" i="7"/>
  <c r="F24" i="7"/>
  <c r="F7" i="7"/>
  <c r="F62" i="7"/>
  <c r="K5" i="7"/>
  <c r="F45" i="7"/>
  <c r="F28" i="7"/>
  <c r="F25" i="7"/>
  <c r="F63" i="7"/>
  <c r="K4" i="7"/>
  <c r="K13" i="7"/>
  <c r="F20" i="7"/>
  <c r="F27" i="7"/>
  <c r="F26" i="7"/>
  <c r="F9" i="7"/>
  <c r="F47" i="7"/>
  <c r="F38" i="7"/>
  <c r="F2" i="7"/>
  <c r="F4" i="7"/>
  <c r="F19" i="7"/>
  <c r="F65" i="7"/>
  <c r="F56" i="7"/>
  <c r="F39" i="7"/>
  <c r="F13" i="7"/>
  <c r="F60" i="7"/>
  <c r="K7" i="7"/>
  <c r="F11" i="7"/>
  <c r="F57" i="7"/>
  <c r="F48" i="7"/>
  <c r="F5" i="7"/>
  <c r="F52" i="7"/>
  <c r="B9" i="7"/>
  <c r="A10" i="7"/>
  <c r="C9" i="7"/>
  <c r="D82" i="3" a="1"/>
  <c r="D82" i="3" s="1"/>
  <c r="F82" i="3" s="1"/>
  <c r="E94" i="3" a="1"/>
  <c r="E94" i="3" s="1"/>
  <c r="F94" i="3" s="1"/>
  <c r="C35" i="3" a="1"/>
  <c r="C35" i="3" s="1"/>
  <c r="D35" i="3" s="1"/>
  <c r="J2" i="21" l="1"/>
  <c r="M2" i="21"/>
  <c r="A36" i="19"/>
  <c r="I2" i="17"/>
  <c r="I8" i="17"/>
  <c r="M3" i="21"/>
  <c r="I6" i="17"/>
  <c r="I7" i="17"/>
  <c r="A16" i="19"/>
  <c r="E9" i="19" s="1"/>
  <c r="A17" i="19"/>
  <c r="E12" i="19"/>
  <c r="E13" i="19"/>
  <c r="I5" i="17"/>
  <c r="I4" i="17"/>
  <c r="A35" i="19"/>
  <c r="K6" i="16"/>
  <c r="M8" i="16"/>
  <c r="M7" i="16"/>
  <c r="K3" i="16"/>
  <c r="M9" i="16"/>
  <c r="M6" i="16"/>
  <c r="M4" i="16"/>
  <c r="K7" i="16"/>
  <c r="K4" i="16"/>
  <c r="I10" i="16"/>
  <c r="L10" i="16" s="1"/>
  <c r="L2" i="16"/>
  <c r="H10" i="16"/>
  <c r="K2" i="16"/>
  <c r="K5" i="16"/>
  <c r="L6" i="16"/>
  <c r="K8" i="16"/>
  <c r="L9" i="16"/>
  <c r="K9" i="16"/>
  <c r="L7" i="16"/>
  <c r="L8" i="16"/>
  <c r="L4" i="16"/>
  <c r="M3" i="16"/>
  <c r="J10" i="16"/>
  <c r="M10" i="16" s="1"/>
  <c r="M2" i="16"/>
  <c r="M5" i="16"/>
  <c r="L3" i="16"/>
  <c r="I17" i="7"/>
  <c r="I16" i="7"/>
  <c r="A11" i="7"/>
  <c r="C10" i="7"/>
  <c r="B10" i="7"/>
  <c r="E5" i="19" l="1"/>
  <c r="E8" i="19"/>
  <c r="E6" i="19"/>
  <c r="E7" i="19"/>
  <c r="E10" i="19"/>
  <c r="E3" i="19"/>
  <c r="E4" i="19"/>
  <c r="E11" i="19"/>
  <c r="A12" i="7"/>
  <c r="C11" i="7"/>
  <c r="B11" i="7"/>
  <c r="A13" i="7" l="1"/>
  <c r="C12" i="7"/>
  <c r="B12" i="7"/>
  <c r="A14" i="7" l="1"/>
  <c r="C13" i="7"/>
  <c r="B13" i="7"/>
  <c r="C14" i="7" l="1"/>
  <c r="B14" i="7"/>
  <c r="A15" i="7"/>
  <c r="A16" i="7" l="1"/>
  <c r="C15" i="7"/>
  <c r="B15" i="7"/>
  <c r="A17" i="7" l="1"/>
  <c r="C16" i="7"/>
  <c r="B16" i="7"/>
  <c r="B17" i="7" l="1"/>
  <c r="A18" i="7"/>
  <c r="C17" i="7"/>
  <c r="A19" i="7" l="1"/>
  <c r="C18" i="7"/>
  <c r="B18" i="7"/>
  <c r="A20" i="7" l="1"/>
  <c r="C19" i="7"/>
  <c r="B19" i="7"/>
  <c r="A21" i="7" l="1"/>
  <c r="C20" i="7"/>
  <c r="B20" i="7"/>
  <c r="A22" i="7" l="1"/>
  <c r="C21" i="7"/>
  <c r="B21" i="7"/>
  <c r="C22" i="7" l="1"/>
  <c r="B22" i="7"/>
  <c r="A23" i="7"/>
  <c r="A24" i="7" l="1"/>
  <c r="C23" i="7"/>
  <c r="B23" i="7"/>
  <c r="A25" i="7" l="1"/>
  <c r="C24" i="7"/>
  <c r="B24" i="7"/>
  <c r="B25" i="7" l="1"/>
  <c r="A26" i="7"/>
  <c r="C25" i="7"/>
  <c r="A27" i="7" l="1"/>
  <c r="C26" i="7"/>
  <c r="B26" i="7"/>
  <c r="A28" i="7" l="1"/>
  <c r="C27" i="7"/>
  <c r="B27" i="7"/>
  <c r="A29" i="7" l="1"/>
  <c r="C28" i="7"/>
  <c r="B28" i="7"/>
  <c r="A30" i="7" l="1"/>
  <c r="C29" i="7"/>
  <c r="B29" i="7"/>
  <c r="C30" i="7" l="1"/>
  <c r="B30" i="7"/>
  <c r="A31" i="7"/>
  <c r="A32" i="7" l="1"/>
  <c r="C31" i="7"/>
  <c r="B31" i="7"/>
  <c r="A33" i="7" l="1"/>
  <c r="C32" i="7"/>
  <c r="B32" i="7"/>
  <c r="B33" i="7" l="1"/>
  <c r="A34" i="7"/>
  <c r="C33" i="7"/>
  <c r="A35" i="7" l="1"/>
  <c r="C34" i="7"/>
  <c r="B34" i="7"/>
  <c r="A36" i="7" l="1"/>
  <c r="C35" i="7"/>
  <c r="B35" i="7"/>
  <c r="A37" i="7" l="1"/>
  <c r="C36" i="7"/>
  <c r="B36" i="7"/>
  <c r="A38" i="7" l="1"/>
  <c r="C37" i="7"/>
  <c r="B37" i="7"/>
  <c r="C38" i="7" l="1"/>
  <c r="B38" i="7"/>
  <c r="A39" i="7"/>
  <c r="A40" i="7" l="1"/>
  <c r="C39" i="7"/>
  <c r="B39" i="7"/>
  <c r="A41" i="7" l="1"/>
  <c r="C40" i="7"/>
  <c r="B40" i="7"/>
  <c r="B41" i="7" l="1"/>
  <c r="A42" i="7"/>
  <c r="C41" i="7"/>
  <c r="A43" i="7" l="1"/>
  <c r="C42" i="7"/>
  <c r="B42" i="7"/>
  <c r="A44" i="7" l="1"/>
  <c r="C43" i="7"/>
  <c r="B43" i="7"/>
  <c r="A45" i="7" l="1"/>
  <c r="C44" i="7"/>
  <c r="B44" i="7"/>
  <c r="A46" i="7" l="1"/>
  <c r="C45" i="7"/>
  <c r="B45" i="7"/>
  <c r="C46" i="7" l="1"/>
  <c r="B46" i="7"/>
  <c r="A47" i="7"/>
  <c r="A48" i="7" l="1"/>
  <c r="C47" i="7"/>
  <c r="B47" i="7"/>
  <c r="A49" i="7" l="1"/>
  <c r="C48" i="7"/>
  <c r="B48" i="7"/>
  <c r="B49" i="7" l="1"/>
  <c r="A50" i="7"/>
  <c r="C49" i="7"/>
  <c r="A51" i="7" l="1"/>
  <c r="C50" i="7"/>
  <c r="B50" i="7"/>
  <c r="A52" i="7" l="1"/>
  <c r="C51" i="7"/>
  <c r="B51" i="7"/>
  <c r="A53" i="7" l="1"/>
  <c r="C52" i="7"/>
  <c r="B52" i="7"/>
  <c r="A54" i="7" l="1"/>
  <c r="C53" i="7"/>
  <c r="B53" i="7"/>
  <c r="C54" i="7" l="1"/>
  <c r="B54" i="7"/>
  <c r="A55" i="7"/>
  <c r="A56" i="7" l="1"/>
  <c r="C55" i="7"/>
  <c r="B55" i="7"/>
  <c r="A57" i="7" l="1"/>
  <c r="C56" i="7"/>
  <c r="B56" i="7"/>
  <c r="B57" i="7" l="1"/>
  <c r="A58" i="7"/>
  <c r="C57" i="7"/>
  <c r="A59" i="7" l="1"/>
  <c r="C58" i="7"/>
  <c r="B58" i="7"/>
  <c r="A60" i="7" l="1"/>
  <c r="C59" i="7"/>
  <c r="B59" i="7"/>
  <c r="A61" i="7" l="1"/>
  <c r="C60" i="7"/>
  <c r="B60" i="7"/>
  <c r="A62" i="7" l="1"/>
  <c r="C61" i="7"/>
  <c r="B61" i="7"/>
  <c r="C62" i="7" l="1"/>
  <c r="B62" i="7"/>
  <c r="A63" i="7"/>
  <c r="A64" i="7" l="1"/>
  <c r="C63" i="7"/>
  <c r="B63" i="7"/>
  <c r="A65" i="7" l="1"/>
  <c r="C64" i="7"/>
  <c r="B64" i="7"/>
  <c r="B65" i="7" l="1"/>
  <c r="A66" i="7"/>
  <c r="C65" i="7"/>
  <c r="A67" i="7" l="1"/>
  <c r="C66" i="7"/>
  <c r="B66" i="7"/>
  <c r="A68" i="7" l="1"/>
  <c r="C67" i="7"/>
  <c r="B67" i="7"/>
  <c r="E68" i="7" l="1" a="1"/>
  <c r="E68" i="7" s="1"/>
  <c r="D68" i="7" a="1"/>
  <c r="D68" i="7" s="1"/>
  <c r="A69" i="7"/>
  <c r="C68" i="7"/>
  <c r="B68" i="7"/>
  <c r="F68" i="7" l="1"/>
  <c r="E69" i="7" a="1"/>
  <c r="E69" i="7" s="1"/>
  <c r="D69" i="7" a="1"/>
  <c r="D69" i="7" s="1"/>
  <c r="A70" i="7"/>
  <c r="C69" i="7"/>
  <c r="B69" i="7"/>
  <c r="F69" i="7" l="1"/>
  <c r="D70" i="7" a="1"/>
  <c r="D70" i="7" s="1"/>
  <c r="E70" i="7" a="1"/>
  <c r="E70" i="7" s="1"/>
  <c r="C70" i="7"/>
  <c r="B70" i="7"/>
  <c r="A71" i="7"/>
  <c r="F70" i="7" l="1"/>
  <c r="D71" i="7" a="1"/>
  <c r="D71" i="7" s="1"/>
  <c r="E71" i="7" a="1"/>
  <c r="E71" i="7" s="1"/>
  <c r="F71" i="7" s="1"/>
  <c r="A72" i="7"/>
  <c r="C71" i="7"/>
  <c r="B71" i="7"/>
  <c r="E72" i="7" l="1" a="1"/>
  <c r="E72" i="7" s="1"/>
  <c r="D72" i="7" a="1"/>
  <c r="D72" i="7" s="1"/>
  <c r="A73" i="7"/>
  <c r="C72" i="7"/>
  <c r="B72" i="7"/>
  <c r="F72" i="7" l="1"/>
  <c r="E73" i="7" a="1"/>
  <c r="E73" i="7" s="1"/>
  <c r="D73" i="7" a="1"/>
  <c r="D73" i="7" s="1"/>
  <c r="B73" i="7"/>
  <c r="A74" i="7"/>
  <c r="C73" i="7"/>
  <c r="E74" i="7" l="1" a="1"/>
  <c r="E74" i="7" s="1"/>
  <c r="D74" i="7" a="1"/>
  <c r="D74" i="7" s="1"/>
  <c r="F73" i="7"/>
  <c r="A75" i="7"/>
  <c r="C74" i="7"/>
  <c r="B74" i="7"/>
  <c r="E75" i="7" l="1" a="1"/>
  <c r="E75" i="7" s="1"/>
  <c r="D75" i="7" a="1"/>
  <c r="D75" i="7" s="1"/>
  <c r="F74" i="7"/>
  <c r="A76" i="7"/>
  <c r="C75" i="7"/>
  <c r="B75" i="7"/>
  <c r="D76" i="7" l="1" a="1"/>
  <c r="D76" i="7" s="1"/>
  <c r="E76" i="7" a="1"/>
  <c r="E76" i="7" s="1"/>
  <c r="F76" i="7" s="1"/>
  <c r="F75" i="7"/>
  <c r="A77" i="7"/>
  <c r="C76" i="7"/>
  <c r="B76" i="7"/>
  <c r="E77" i="7" l="1" a="1"/>
  <c r="E77" i="7" s="1"/>
  <c r="D77" i="7" a="1"/>
  <c r="D77" i="7" s="1"/>
  <c r="A78" i="7"/>
  <c r="C77" i="7"/>
  <c r="B77" i="7"/>
  <c r="F77" i="7" l="1"/>
  <c r="D78" i="7" a="1"/>
  <c r="D78" i="7" s="1"/>
  <c r="E78" i="7" a="1"/>
  <c r="E78" i="7" s="1"/>
  <c r="F78" i="7" s="1"/>
  <c r="C78" i="7"/>
  <c r="B78" i="7"/>
  <c r="B84" i="7" l="1"/>
  <c r="B83" i="7"/>
  <c r="B82" i="7"/>
  <c r="B81" i="7"/>
  <c r="K10" i="1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029F58-EE71-3242-AFD4-8DAAD859936A}" keepAlive="1" name="Query - All_India_Index_Upto_April23 (1) (1)" description="Connection to the 'All_India_Index_Upto_April23 (1) (1)' query in the workbook." type="5" refreshedVersion="8" background="1" saveData="1">
    <dbPr connection="Provider=Microsoft.Mashup.OleDb.1;Data Source=$Workbook$;Location=&quot;All_India_Index_Upto_April23 (1) (1)&quot;;Extended Properties=&quot;&quot;" command="SELECT * FROM [All_India_Index_Upto_April23 (1) (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<sst xmlns="http://schemas.openxmlformats.org/spreadsheetml/2006/main" count="1769" uniqueCount="504">
  <si>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</si>
  <si>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</si>
  <si>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</si>
  <si>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</si>
  <si>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</si>
  <si>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</si>
  <si>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</si>
  <si>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</si>
  <si>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</si>
  <si>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</si>
  <si>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</si>
  <si>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</si>
  <si>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</si>
  <si>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</si>
  <si>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</si>
  <si>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</si>
  <si>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</si>
  <si>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</si>
  <si>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</si>
  <si>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</si>
  <si>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</si>
  <si>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</si>
  <si>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</si>
  <si>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</si>
  <si>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</si>
  <si>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</si>
  <si>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</si>
  <si>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</si>
  <si>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</si>
  <si>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</si>
  <si>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</si>
  <si>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</si>
  <si>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</si>
  <si>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100.3</t>
  </si>
  <si>
    <t>Rural+Urban</t>
  </si>
  <si>
    <t>February</t>
  </si>
  <si>
    <t>100.4</t>
  </si>
  <si>
    <t>March</t>
  </si>
  <si>
    <t>April</t>
  </si>
  <si>
    <t>100.5</t>
  </si>
  <si>
    <t>May</t>
  </si>
  <si>
    <t>June</t>
  </si>
  <si>
    <t>106.6</t>
  </si>
  <si>
    <t>July</t>
  </si>
  <si>
    <t>107.7</t>
  </si>
  <si>
    <t>August</t>
  </si>
  <si>
    <t>108.9</t>
  </si>
  <si>
    <t>September</t>
  </si>
  <si>
    <t>109.7</t>
  </si>
  <si>
    <t>October</t>
  </si>
  <si>
    <t>110.5</t>
  </si>
  <si>
    <t>November</t>
  </si>
  <si>
    <t>111.1</t>
  </si>
  <si>
    <t>December</t>
  </si>
  <si>
    <t>110.7</t>
  </si>
  <si>
    <t>111.6</t>
  </si>
  <si>
    <t>112.5</t>
  </si>
  <si>
    <t>113.2</t>
  </si>
  <si>
    <t>113.9</t>
  </si>
  <si>
    <t>114.3</t>
  </si>
  <si>
    <t>114.8</t>
  </si>
  <si>
    <t>115.5</t>
  </si>
  <si>
    <t>116.1</t>
  </si>
  <si>
    <t>116.7</t>
  </si>
  <si>
    <t>117.1</t>
  </si>
  <si>
    <t>116.5</t>
  </si>
  <si>
    <t>117.3</t>
  </si>
  <si>
    <t>118.1</t>
  </si>
  <si>
    <t>118.6</t>
  </si>
  <si>
    <t>119.2</t>
  </si>
  <si>
    <t>119.6</t>
  </si>
  <si>
    <t>119</t>
  </si>
  <si>
    <t>119.9</t>
  </si>
  <si>
    <t>120.9</t>
  </si>
  <si>
    <t>121.6</t>
  </si>
  <si>
    <t>122.4</t>
  </si>
  <si>
    <t>122.9</t>
  </si>
  <si>
    <t>123.4</t>
  </si>
  <si>
    <t>124.4</t>
  </si>
  <si>
    <t>124.9</t>
  </si>
  <si>
    <t>125.6</t>
  </si>
  <si>
    <t>126</t>
  </si>
  <si>
    <t>125.5</t>
  </si>
  <si>
    <t>126.4</t>
  </si>
  <si>
    <t>127.3</t>
  </si>
  <si>
    <t>127.9</t>
  </si>
  <si>
    <t>128.7</t>
  </si>
  <si>
    <t>129.1</t>
  </si>
  <si>
    <t>128.5</t>
  </si>
  <si>
    <t>129.6</t>
  </si>
  <si>
    <t>130.5</t>
  </si>
  <si>
    <t>131.1</t>
  </si>
  <si>
    <t>131.7</t>
  </si>
  <si>
    <t>132.1</t>
  </si>
  <si>
    <t>131.4</t>
  </si>
  <si>
    <t>132.6</t>
  </si>
  <si>
    <t>134.4</t>
  </si>
  <si>
    <t>135.7</t>
  </si>
  <si>
    <t>137.3</t>
  </si>
  <si>
    <t>138.6</t>
  </si>
  <si>
    <t>139.1</t>
  </si>
  <si>
    <t>140.4</t>
  </si>
  <si>
    <t>141.3</t>
  </si>
  <si>
    <t>142</t>
  </si>
  <si>
    <t>142.9</t>
  </si>
  <si>
    <t>143.2</t>
  </si>
  <si>
    <t>142.5</t>
  </si>
  <si>
    <t>143.6</t>
  </si>
  <si>
    <t>144.6</t>
  </si>
  <si>
    <t>145.3</t>
  </si>
  <si>
    <t>146.3</t>
  </si>
  <si>
    <t>146.9</t>
  </si>
  <si>
    <t>146.5</t>
  </si>
  <si>
    <t>147.7</t>
  </si>
  <si>
    <t>148.5</t>
  </si>
  <si>
    <t>149</t>
  </si>
  <si>
    <t>150.1</t>
  </si>
  <si>
    <t>149.4</t>
  </si>
  <si>
    <t>150.6</t>
  </si>
  <si>
    <t>151.6</t>
  </si>
  <si>
    <t>152.2</t>
  </si>
  <si>
    <t>153</t>
  </si>
  <si>
    <t>153.5</t>
  </si>
  <si>
    <t>152.8</t>
  </si>
  <si>
    <t>153.9</t>
  </si>
  <si>
    <t>154.8</t>
  </si>
  <si>
    <t>154.5</t>
  </si>
  <si>
    <t>155.6</t>
  </si>
  <si>
    <t>154.7</t>
  </si>
  <si>
    <t>155.5</t>
  </si>
  <si>
    <t>156.3</t>
  </si>
  <si>
    <t>156.5</t>
  </si>
  <si>
    <t>158</t>
  </si>
  <si>
    <t>158.4</t>
  </si>
  <si>
    <t>157.7</t>
  </si>
  <si>
    <t>159.8</t>
  </si>
  <si>
    <t>159.9</t>
  </si>
  <si>
    <t>161.4</t>
  </si>
  <si>
    <t>161.6</t>
  </si>
  <si>
    <t>160.5</t>
  </si>
  <si>
    <t>161.5</t>
  </si>
  <si>
    <t>162.1</t>
  </si>
  <si>
    <t>163.6</t>
  </si>
  <si>
    <t>164.2</t>
  </si>
  <si>
    <t>163.4</t>
  </si>
  <si>
    <t>164.5</t>
  </si>
  <si>
    <t>165.5</t>
  </si>
  <si>
    <t>165.3</t>
  </si>
  <si>
    <t>167</t>
  </si>
  <si>
    <t>167.5</t>
  </si>
  <si>
    <t>166.8</t>
  </si>
  <si>
    <t>167.8</t>
  </si>
  <si>
    <t>169</t>
  </si>
  <si>
    <t>169.5</t>
  </si>
  <si>
    <t>171.2</t>
  </si>
  <si>
    <t>171.8</t>
  </si>
  <si>
    <t>170.7</t>
  </si>
  <si>
    <t>172.1</t>
  </si>
  <si>
    <t>173.5</t>
  </si>
  <si>
    <t>175.2</t>
  </si>
  <si>
    <t>175.6</t>
  </si>
  <si>
    <t>Date</t>
  </si>
  <si>
    <t>Index Value (May '23)</t>
  </si>
  <si>
    <t>Contribution %</t>
  </si>
  <si>
    <t xml:space="preserve">Broad Category </t>
  </si>
  <si>
    <t>General Index (May)</t>
  </si>
  <si>
    <t>Prev Year Index (May)</t>
  </si>
  <si>
    <t>YoY Inflation %</t>
  </si>
  <si>
    <t>| Year | Month | General Index | Prev Year GI | YoY % |</t>
  </si>
  <si>
    <t>General Index</t>
  </si>
  <si>
    <t>Prev Year Index</t>
  </si>
  <si>
    <t>Food &amp; Beverages Index</t>
  </si>
  <si>
    <t>MoM %</t>
  </si>
  <si>
    <t>Prev_Month_Index</t>
  </si>
  <si>
    <t>Highest MoM value</t>
  </si>
  <si>
    <t>Month of Highest MoM</t>
  </si>
  <si>
    <t>Lowest MoM value</t>
  </si>
  <si>
    <t>Month of Lowest MoM</t>
  </si>
  <si>
    <t>Highest and Lowest MoM</t>
  </si>
  <si>
    <t>Subcategory</t>
  </si>
  <si>
    <t>May_2022_Value</t>
  </si>
  <si>
    <t>May_2023_Value</t>
  </si>
  <si>
    <t>Absolute_Change</t>
  </si>
  <si>
    <t>Biggest Contributor</t>
  </si>
  <si>
    <t>Biggest absolute positive change value</t>
  </si>
  <si>
    <t>Subcategory name responsible</t>
  </si>
  <si>
    <t>COVID_Flag</t>
  </si>
  <si>
    <t/>
  </si>
  <si>
    <t>Bucket Name</t>
  </si>
  <si>
    <t>Food</t>
  </si>
  <si>
    <t>Energy</t>
  </si>
  <si>
    <t>Transport</t>
  </si>
  <si>
    <t>Category Name</t>
  </si>
  <si>
    <t>Clothing &amp; Footwear</t>
  </si>
  <si>
    <t>Others</t>
  </si>
  <si>
    <t>Bucket Index (Rural)</t>
  </si>
  <si>
    <t>Bucket Index (Urban)</t>
  </si>
  <si>
    <t>Index (Rural+Urban)</t>
  </si>
  <si>
    <t>Index (Rural)</t>
  </si>
  <si>
    <t>Index (Urban)</t>
  </si>
  <si>
    <t>Bucket</t>
  </si>
  <si>
    <t>Bucket Index (Rural + Urban)</t>
  </si>
  <si>
    <t>Contribution % (Rural + Urban)</t>
  </si>
  <si>
    <t>Contribution % (Rural)</t>
  </si>
  <si>
    <t>Contribution % (Urban)</t>
  </si>
  <si>
    <t xml:space="preserve">Total </t>
  </si>
  <si>
    <t xml:space="preserve">Data Source: All-India Consumer Price Index </t>
  </si>
  <si>
    <t>3. Data Summary &amp; Contribution</t>
  </si>
  <si>
    <t>The following table details the calculated index for each broader category and its percentage share of the analyzed basket:</t>
  </si>
  <si>
    <t>Consumer Price Index (CPI) Analysis Report</t>
  </si>
  <si>
    <t>This analysis studies the Consumer Price Index (CPI) for May 2023 to understand which broad areas are putting the most pressure on prices in India.We grouped 26 detailed CPI categories into 8 broader categories such as Food, Health, Energy, and Housing.The analysis shows that Health is the biggest contributor to overall price levels, followed by Clothing &amp; Footwear and Energy.There are also clear differences between Rural and Urban areas, especially in Housing and Energy costs.</t>
  </si>
  <si>
    <t>Methodology (How the Analysis Was Done)</t>
  </si>
  <si>
    <t>Note: Rural Housing data is not available, so Housing is only reflected in Urban and Combined values.</t>
  </si>
  <si>
    <t>Key Findings</t>
  </si>
  <si>
    <t>A. Highest Contributor to CPI</t>
  </si>
  <si>
    <t>Health (13.00%) is the largest contributor to CPI.</t>
  </si>
  <si>
    <t>This means healthcare-related costs have increased the most compared to the 2012 base year.</t>
  </si>
  <si>
    <t>Rising medical expenses are the strongest inflation driver in May 2023.</t>
  </si>
  <si>
    <t>B. Lowest Contributor</t>
  </si>
  <si>
    <t>Transport and Communication (11.54%) contributes the least.</t>
  </si>
  <si>
    <t>This suggests that transport and communication prices have grown more slowly than other sectors.</t>
  </si>
  <si>
    <t>C. Rural vs Urban Differences</t>
  </si>
  <si>
    <t>Urban Areas:</t>
  </si>
  <si>
    <t>Housing, Education, and Health play a major role in inflation.</t>
  </si>
  <si>
    <t>Rural Areas:</t>
  </si>
  <si>
    <t>Without housing data, more weight shifts toward Food and Energy.</t>
  </si>
  <si>
    <t>Rural households are more affected by essential consumption costs.</t>
  </si>
  <si>
    <t>Step 1: Creating Broad Categories</t>
  </si>
  <si>
    <t>The original CPI data has 26 individual categories.</t>
  </si>
  <si>
    <t>These were grouped into 8 broader buckets:</t>
  </si>
  <si>
    <t>Example: Cereals, Milk, Vegetables, Spices, and Prepared Meals were grouped under Food.</t>
  </si>
  <si>
    <t>Step 2: Calculating Bucket Index</t>
  </si>
  <si>
    <t>Since official CPI weights were not available, we used a simple average of all categories within each bucket.</t>
  </si>
  <si>
    <t>This avoids over-impact from any single item (for example, very high Spices inflation).</t>
  </si>
  <si>
    <t>Step 3: Calculating Contribution (%)</t>
  </si>
  <si>
    <t>Each bucket’s contribution was calculated using this logic:</t>
  </si>
  <si>
    <t>Bucket Contribution (%) = (Bucket Index ÷ Sum of All Bucket Indices) × 100</t>
  </si>
  <si>
    <t>This ensures that all bucket contributions together add up to 100%.</t>
  </si>
  <si>
    <t xml:space="preserve">Conclusion: </t>
  </si>
  <si>
    <t>As of May 2023, Health and Clothing &amp; Footwear are the most important drivers of CPI inflation in India.
The analysis also shows clear differences in inflation pressure between Rural and Urban households, especially in Housing and Energy.
This grouped-bucket approach provides a clear and balanced view of inflation patterns across the economy.</t>
  </si>
  <si>
    <t xml:space="preserve"> Summary</t>
  </si>
  <si>
    <t>General Index (Rural + Urban)</t>
  </si>
  <si>
    <t>MoM Inflation %</t>
  </si>
  <si>
    <t>Avg YoY Inflation %</t>
  </si>
  <si>
    <t>Scope:</t>
  </si>
  <si>
    <t>All-India CPI (Rural + Urban combined)</t>
  </si>
  <si>
    <t>Year-on-Year (YoY) CPI Inflation Trend Analysis</t>
  </si>
  <si>
    <t>Objective</t>
  </si>
  <si>
    <t>Year-wise YoY Inflation Summary (Table)</t>
  </si>
  <si>
    <r>
      <t>Period Covered:</t>
    </r>
    <r>
      <rPr>
        <sz val="16"/>
        <color theme="1"/>
        <rFont val="Calibri"/>
        <family val="2"/>
        <scheme val="minor"/>
      </rPr>
      <t xml:space="preserve"> 2017–2023</t>
    </r>
  </si>
  <si>
    <r>
      <t>Base Year:</t>
    </r>
    <r>
      <rPr>
        <sz val="16"/>
        <color theme="1"/>
        <rFont val="Calibri"/>
        <family val="2"/>
        <scheme val="minor"/>
      </rPr>
      <t xml:space="preserve"> 2012 = 100</t>
    </r>
  </si>
  <si>
    <r>
      <t>Index Used:</t>
    </r>
    <r>
      <rPr>
        <sz val="16"/>
        <color theme="1"/>
        <rFont val="Calibri"/>
        <family val="2"/>
        <scheme val="minor"/>
      </rPr>
      <t xml:space="preserve"> General CPI Index (Entire Basket)</t>
    </r>
  </si>
  <si>
    <r>
      <t xml:space="preserve">To analyse the </t>
    </r>
    <r>
      <rPr>
        <b/>
        <sz val="16"/>
        <color theme="1"/>
        <rFont val="Calibri"/>
        <family val="2"/>
        <scheme val="minor"/>
      </rPr>
      <t>year-on-year (YoY) inflation trend</t>
    </r>
    <r>
      <rPr>
        <sz val="16"/>
        <color theme="1"/>
        <rFont val="Calibri"/>
        <family val="2"/>
        <scheme val="minor"/>
      </rPr>
      <t xml:space="preserve"> of the overall CPI basket, identify the </t>
    </r>
    <r>
      <rPr>
        <b/>
        <sz val="16"/>
        <color theme="1"/>
        <rFont val="Calibri"/>
        <family val="2"/>
        <scheme val="minor"/>
      </rPr>
      <t>year with the highest inflation</t>
    </r>
    <r>
      <rPr>
        <sz val="16"/>
        <color theme="1"/>
        <rFont val="Calibri"/>
        <family val="2"/>
        <scheme val="minor"/>
      </rPr>
      <t xml:space="preserve">, and explain the </t>
    </r>
    <r>
      <rPr>
        <b/>
        <sz val="16"/>
        <color theme="1"/>
        <rFont val="Calibri"/>
        <family val="2"/>
        <scheme val="minor"/>
      </rPr>
      <t>key reasons behind it</t>
    </r>
    <r>
      <rPr>
        <sz val="16"/>
        <color theme="1"/>
        <rFont val="Calibri"/>
        <family val="2"/>
        <scheme val="minor"/>
      </rPr>
      <t>.</t>
    </r>
  </si>
  <si>
    <t xml:space="preserve">Comment </t>
  </si>
  <si>
    <t>(Highest)</t>
  </si>
  <si>
    <t>The YoY CPI inflation peaked in 2020 due to COVID-19 related supply disruptions, food price pressures, and increased healthcare costs.</t>
  </si>
  <si>
    <t>Key Insights</t>
  </si>
  <si>
    <t>Insight 1: Inflation was moderate before COVID</t>
  </si>
  <si>
    <t>• From 2017 to 2019, inflation remained stable between 3–4%</t>
  </si>
  <si>
    <t>• Indicates relatively balanced demand and supply conditions</t>
  </si>
  <si>
    <t>Insight 2: Sharp inflation spike during 2020</t>
  </si>
  <si>
    <t>Key reasons:</t>
  </si>
  <si>
    <t>•  2020 recorded the highest YoY inflation</t>
  </si>
  <si>
    <t>• This spike is not demand-driven, but supply-side driven</t>
  </si>
  <si>
    <t>• Nationwide COVID-19 lockdowns</t>
  </si>
  <si>
    <t>• Disrupted supply chains</t>
  </si>
  <si>
    <t>• Shortage of essential goods</t>
  </si>
  <si>
    <t>• Rising food and healthcare prices</t>
  </si>
  <si>
    <t>• Fuel price volatility</t>
  </si>
  <si>
    <t>Insight 3: Post-COVID inflation stayed elevated</t>
  </si>
  <si>
    <t>Driven by:</t>
  </si>
  <si>
    <t>• 2021–2022 inflation remained high (5–7%)</t>
  </si>
  <si>
    <t>• Recovery-phase demand</t>
  </si>
  <si>
    <t>• Global commodity price increases</t>
  </si>
  <si>
    <t>• Energy and food price pressures</t>
  </si>
  <si>
    <t>Insight 4: 2023 shows early signs of moderation</t>
  </si>
  <si>
    <t>• Inflation softens compared to 2022</t>
  </si>
  <si>
    <t>• Indicates partial normalisation of supply chains</t>
  </si>
  <si>
    <t>Highest Inflation Year – Final Answer</t>
  </si>
  <si>
    <t>Explanation:</t>
  </si>
  <si>
    <t>The inflation peak in 2020 was caused by pandemic-induced supply disruptions, higher essential commodity prices, and increased healthcare costs rather than excessive consumer demand.</t>
  </si>
  <si>
    <t>Year with Highest YoY CPI Inflation: 2020</t>
  </si>
  <si>
    <t>Conclusion</t>
  </si>
  <si>
    <t>The YoY CPI inflation trend shows that external shocks (like COVID-19) can significantly impact inflation even when demand is weak. While inflation surged sharply in 2020, subsequent years reflect gradual stabilisation, though price pressures remain higher than pre-COVID levels.</t>
  </si>
  <si>
    <t>Food Index (Rural+Urban)</t>
  </si>
  <si>
    <t>Previous Month Food Index</t>
  </si>
  <si>
    <t>MoM Food Inflation %</t>
  </si>
  <si>
    <t>Remark</t>
  </si>
  <si>
    <t>Identify Highest &amp; Lowest Food Inflation</t>
  </si>
  <si>
    <t>Food Category</t>
  </si>
  <si>
    <t>Index (Jun-22)</t>
  </si>
  <si>
    <t>Index (May-23)</t>
  </si>
  <si>
    <t>Absolute Change</t>
  </si>
  <si>
    <t>Identify the Biggest Contributor</t>
  </si>
  <si>
    <t>Status</t>
  </si>
  <si>
    <t xml:space="preserve"> Large rise</t>
  </si>
  <si>
    <t xml:space="preserve"> Price correction</t>
  </si>
  <si>
    <t>Sharp fall</t>
  </si>
  <si>
    <t>Strong volatility</t>
  </si>
  <si>
    <t xml:space="preserve"> Stable</t>
  </si>
  <si>
    <t>Highest increase</t>
  </si>
  <si>
    <t xml:space="preserve"> Aggregate</t>
  </si>
  <si>
    <t>Food Inflation Analysis (12 Months Ending May 2023)</t>
  </si>
  <si>
    <t>Part A: Month-on-Month (MoM) Trend in Food Inflation</t>
  </si>
  <si>
    <t>To study how food prices changed month by month, and identify the highest and lowest food inflation months.</t>
  </si>
  <si>
    <t>To understand this pressure, we analyze food inflation trends over the 12-month period from June 2022 to May 2023, focusing on both monthly movements and category-level contributions.</t>
  </si>
  <si>
    <t>India’s retail inflation touched a 3-month high of 5.55% in November 2023, driven largely by rising food prices.</t>
  </si>
  <si>
    <t>Methodology</t>
  </si>
  <si>
    <t>• Used Food Index (Rural + Urban) values for each month.</t>
  </si>
  <si>
    <t>Highest Inflation</t>
  </si>
  <si>
    <t>Lowest Inflation</t>
  </si>
  <si>
    <t>Key Findings from MoM Analysis</t>
  </si>
  <si>
    <t>Highest Food Inflation:</t>
  </si>
  <si>
    <t>📌 October 2022 (+1.0%)</t>
  </si>
  <si>
    <t>Lowest Food Inflation:</t>
  </si>
  <si>
    <t>📌 December 2022 (-1.3%)</t>
  </si>
  <si>
    <t>Overall Trend:</t>
  </si>
  <si>
    <t>Food inflation was volatile in mid-2022, peaked around Oct-22, corrected sharply in Dec-22, and remained moderate but positive in early 2023.</t>
  </si>
  <si>
    <t>• Driven by seasonal price pressures in cereals, spices, and prepared food items.</t>
  </si>
  <si>
    <t>• Festive demand also contributed to higher food prices.</t>
  </si>
  <si>
    <t>• Reflects correction in vegetable prices and easing supply constraints.</t>
  </si>
  <si>
    <t>• Improved harvest and supply conditions reduced overall food inflation.</t>
  </si>
  <si>
    <t>Insight</t>
  </si>
  <si>
    <t>Food inflation during this period was not linear. It was driven by seasonal and supply-side factors, with sharp month-to-month fluctuations rather than a steady rise.</t>
  </si>
  <si>
    <t>Part B: Absolute Price Changes &amp; Biggest Contributor (Within Food Category)</t>
  </si>
  <si>
    <t>To identify:</t>
  </si>
  <si>
    <t>1. Absolute price changes across food categories between June 2022 and May 2023</t>
  </si>
  <si>
    <t>2. The single largest contributor to food inflation</t>
  </si>
  <si>
    <t>• Compared index values in Jun-22 vs May-23 for each food item.</t>
  </si>
  <si>
    <t>• MoM Food Inflation %= Current Month Index – Previous Month Index​/Previous Month Index X 100</t>
  </si>
  <si>
    <t>• Calculated Absolute Change as: Absolute Change=Index (May-23)−Index (Jun-22)</t>
  </si>
  <si>
    <t>Absolute Change in Food Categories (Jun-22 to May-23)</t>
  </si>
  <si>
    <t>Top Positive Contributors</t>
  </si>
  <si>
    <t>Categories Showing Decline</t>
  </si>
  <si>
    <t>1. Spices: +28.0</t>
  </si>
  <si>
    <t>2. Cereals and Products: +19.7</t>
  </si>
  <si>
    <t>3. Milk and Products: +13.5</t>
  </si>
  <si>
    <t>4. Prepared Meals, Snacks &amp; Sweets: +11.0</t>
  </si>
  <si>
    <t>1. Oils and Fats: -27.5</t>
  </si>
  <si>
    <t>2. Vegetables: -19.5</t>
  </si>
  <si>
    <t>Biggest Individual Contributor to Food Inflation</t>
  </si>
  <si>
    <t>📌 Spices</t>
  </si>
  <si>
    <t>• Recorded the highest absolute increase (+28 points).</t>
  </si>
  <si>
    <t>• Indicates strong inflationary pressure from:</t>
  </si>
  <si>
    <t>‣ Import dependence</t>
  </si>
  <si>
    <t>‣ Higher logistics and input costs</t>
  </si>
  <si>
    <t>‣ Persistent demand across households</t>
  </si>
  <si>
    <t>Although some categories like oils and vegetables saw price corrections, the sharp and sustained rise in spices, cereals, and milk products outweighed these declines, pushing overall food inflation upward.</t>
  </si>
  <si>
    <t>Final Conclusion</t>
  </si>
  <si>
    <t>• Food prices were the key driver of inflation in the 12 months ending May 2023.</t>
  </si>
  <si>
    <t>• October 2022 experienced the highest monthly food inflation, while December 2022 saw the lowest.</t>
  </si>
  <si>
    <t>• Spices emerged as the single biggest contributor to food inflation over the year, followed by cereals and milk products.</t>
  </si>
  <si>
    <t>• The analysis confirms that supply-side pressures and essential food items, rather than discretionary consumption, were the main inflation drivers.</t>
  </si>
  <si>
    <t>Pre-COVID</t>
  </si>
  <si>
    <t>COVID</t>
  </si>
  <si>
    <t>Period</t>
  </si>
  <si>
    <t>Avg Food Inflation %</t>
  </si>
  <si>
    <t>Food Index (R+U)</t>
  </si>
  <si>
    <t>Prev Year Food Index</t>
  </si>
  <si>
    <t>Food YoY Inflation %</t>
  </si>
  <si>
    <t>Health Index (R+U)</t>
  </si>
  <si>
    <t>Prev Year Health Index</t>
  </si>
  <si>
    <t>Health YoY Inflation %</t>
  </si>
  <si>
    <t>Avg Health Inflation %</t>
  </si>
  <si>
    <t>Category</t>
  </si>
  <si>
    <t>Overall CPI</t>
  </si>
  <si>
    <t>Other</t>
  </si>
  <si>
    <t>Other Index (R+U)</t>
  </si>
  <si>
    <t>Prev Year Other Index</t>
  </si>
  <si>
    <t>Other YoY Inflation %</t>
  </si>
  <si>
    <t>Avg Other Inflation %</t>
  </si>
  <si>
    <t>To analyze how the onset and progression of the COVID-19 pandemic affected inflation in India, with special focus on:</t>
  </si>
  <si>
    <t>The analysis compares pre-COVID and COVID periods, considering March 2020 as the COVID onset.</t>
  </si>
  <si>
    <t>Impact of COVID-19 on CPI Inflation in India</t>
  </si>
  <si>
    <t>• Overall CPI inflation</t>
  </si>
  <si>
    <t>• Food inflation</t>
  </si>
  <si>
    <t>• Health inflation</t>
  </si>
  <si>
    <t>• Other services inflation</t>
  </si>
  <si>
    <t>Data &amp; Methodology</t>
  </si>
  <si>
    <t>• Dataset: All-India CPI (Rural + Urban)</t>
  </si>
  <si>
    <t>• Period Covered: January 2017 – May 2023</t>
  </si>
  <si>
    <t>• Base Year: 2012 = 100</t>
  </si>
  <si>
    <t>• COVID Classification:</t>
  </si>
  <si>
    <t>• Inflation Metric Used: Year-on-Year (YoY) Inflation %</t>
  </si>
  <si>
    <t>• Bucket indices (Food, Health, Essential Services) are calculated using simple averages of their underlying categories.</t>
  </si>
  <si>
    <t>‣ Pre-COVID: Up to Feb-2020</t>
  </si>
  <si>
    <t>‣  COVID: Mar-2020 onwards</t>
  </si>
  <si>
    <t>Key Observations</t>
  </si>
  <si>
    <t>📌 Inference: COVID marked a structural shift in India’s inflation trajectory, pushing inflation into a higher and more unstable regime.</t>
  </si>
  <si>
    <t>• Pre-COVID (2017–2019):</t>
  </si>
  <si>
    <t>• COVID Onset (Mar-2020):</t>
  </si>
  <si>
    <t>• Post-COVID Period:</t>
  </si>
  <si>
    <t>‣ Inflation was relatively stable</t>
  </si>
  <si>
    <t>‣ Mostly ranged between 2%–5%</t>
  </si>
  <si>
    <t>‣ Immediate spike in inflation</t>
  </si>
  <si>
    <t>‣ Inflation crossed 7–8% during multiple months</t>
  </si>
  <si>
    <t>‣ Inflation became more volatile</t>
  </si>
  <si>
    <t>‣ A higher average inflation floor compared to pre-COVID years</t>
  </si>
  <si>
    <t>Table 1: Average Inflation Comparison — Pre-COVID vs COVID</t>
  </si>
  <si>
    <t>Pre-COVID Avg YoY Inflation</t>
  </si>
  <si>
    <t>COVID Avg YoY Inflation</t>
  </si>
  <si>
    <t>Findings</t>
  </si>
  <si>
    <t>• Food inflation saw the sharpest increase during COVID.</t>
  </si>
  <si>
    <t>• Average food inflation more than tripled, rising from 2.2% pre-COVID to 7.3% during COVID.</t>
  </si>
  <si>
    <t>• Major drivers included:</t>
  </si>
  <si>
    <t>• Rising input costs</t>
  </si>
  <si>
    <t>‣ Supply chain disruptions</t>
  </si>
  <si>
    <t>‣ Transport restrictions</t>
  </si>
  <si>
    <t>‣ Seasonal shortages</t>
  </si>
  <si>
    <t>Health Inflation Analysis</t>
  </si>
  <si>
    <t>Food Inflation Analysis (Key Impact Area)</t>
  </si>
  <si>
    <t>• Health inflation was already elevated pre-COVID due to structural cost pressures.</t>
  </si>
  <si>
    <t>• During COVID, inflation increased further to 6.4% on average.</t>
  </si>
  <si>
    <t>• Key reasons:</t>
  </si>
  <si>
    <t>‣ Increased demand for medicines</t>
  </si>
  <si>
    <t>‣ Hospitalization and testing costs</t>
  </si>
  <si>
    <t>‣ Supply shortages in medical equipment</t>
  </si>
  <si>
    <t>Conclusion: Food prices were the single biggest contributor to overall inflation pressure during the pandemic.</t>
  </si>
  <si>
    <t xml:space="preserve"> Conclusion: Healthcare became a persistent inflation driver, reflecting pandemic-induced demand shocks.</t>
  </si>
  <si>
    <t>Essential Services Inflation Analysis</t>
  </si>
  <si>
    <t>• Other services inflation rose from 4.5% to 6.1% post COVID.</t>
  </si>
  <si>
    <t>• Driven by:</t>
  </si>
  <si>
    <t>📌 Conclusion: Other services experienced cost-push inflation, adding to long-term price pressure.</t>
  </si>
  <si>
    <t>‣ Fuel and energy price shocks</t>
  </si>
  <si>
    <t>‣ Education and service cost adjustments</t>
  </si>
  <si>
    <t>‣ Increased logistics and compliance costs</t>
  </si>
  <si>
    <t>Overall Insights &amp; Conclusion</t>
  </si>
  <si>
    <t>• COVID-19 caused a clear break in India’s inflation trend.</t>
  </si>
  <si>
    <t>• Inflation became:</t>
  </si>
  <si>
    <t>• Food inflation emerged as the most sensitive and impactful category, followed by Health and Essential Services.</t>
  </si>
  <si>
    <t>• Even after easing of lockdowns, inflation did not revert to pre-COVID levels, indicating lasting structural effects.</t>
  </si>
  <si>
    <t>‣ Higher</t>
  </si>
  <si>
    <t>‣ More volatile</t>
  </si>
  <si>
    <t>‣ More broad-based across categories</t>
  </si>
  <si>
    <t>Final Answer to the Question</t>
  </si>
  <si>
    <t>The onset of COVID-19 in March 2020 significantly increased CPI inflation in India. The pandemic disrupted supply chains, increased essential demand, and raised healthcare costs, leading to a sustained rise in inflation. Food inflation was the most affected category, followed by health and essential services, confirming that COVID fundamentally altered India’s inflation dynamics.</t>
  </si>
  <si>
    <t>Imported Crude Oil Price (USD/barrel)</t>
  </si>
  <si>
    <t>MoM Oil Price Change %</t>
  </si>
  <si>
    <t>Transport MoM %</t>
  </si>
  <si>
    <t>Food MoM %</t>
  </si>
  <si>
    <t>Fuel Index</t>
  </si>
  <si>
    <t>Prev Fuel</t>
  </si>
  <si>
    <t>Fuel MoM %</t>
  </si>
  <si>
    <t>Transport Index</t>
  </si>
  <si>
    <t>Prev Transport</t>
  </si>
  <si>
    <t>Food Index</t>
  </si>
  <si>
    <t>Prev Food</t>
  </si>
  <si>
    <t>CPI Index</t>
  </si>
  <si>
    <t>Prev CPI</t>
  </si>
  <si>
    <t>CPI MoM %</t>
  </si>
  <si>
    <t>Oil MoM %</t>
  </si>
  <si>
    <t>Category Compared with Oil</t>
  </si>
  <si>
    <t>Correlation Coefficient</t>
  </si>
  <si>
    <t>Fuel Inflation</t>
  </si>
  <si>
    <t>Transport Inflation</t>
  </si>
  <si>
    <t>Food Inflation</t>
  </si>
  <si>
    <t>Overall CPI Inflation</t>
  </si>
  <si>
    <t>Interpretation</t>
  </si>
  <si>
    <t>Weak positive</t>
  </si>
  <si>
    <t>Negligible</t>
  </si>
  <si>
    <t>Moderate negative</t>
  </si>
  <si>
    <t>Event_Line_COVID</t>
  </si>
  <si>
    <t>Oil MoM % (Capped)</t>
  </si>
  <si>
    <t>To assess how month-on-month (MoM) changes in imported crude oil prices influenced inflation across major CPI components between 2021 and 2023, and identify the category most sensitive to oil price movements.</t>
  </si>
  <si>
    <t>Final Analysis Table (MoM % Based)</t>
  </si>
  <si>
    <t>Variable</t>
  </si>
  <si>
    <t>Description</t>
  </si>
  <si>
    <t>Monthly % change in imported crude oil price (USD/barrel)</t>
  </si>
  <si>
    <t>CPI Fuel &amp; Light MoM inflation</t>
  </si>
  <si>
    <t>CPI Transport &amp; Communication MoM inflation</t>
  </si>
  <si>
    <t>CPI Food MoM inflation</t>
  </si>
  <si>
    <t>Overall CPI MoM inflation</t>
  </si>
  <si>
    <r>
      <t xml:space="preserve">Correlation Results (using </t>
    </r>
    <r>
      <rPr>
        <b/>
        <sz val="10"/>
        <color theme="1"/>
        <rFont val="Arial Unicode MS"/>
        <family val="2"/>
      </rPr>
      <t>=CORREL</t>
    </r>
    <r>
      <rPr>
        <b/>
        <sz val="12"/>
        <color theme="1"/>
        <rFont val="Calibri"/>
        <family val="2"/>
        <scheme val="minor"/>
      </rPr>
      <t>)</t>
    </r>
  </si>
  <si>
    <t>CPI Component</t>
  </si>
  <si>
    <t>Correlation with Oil MoM %</t>
  </si>
  <si>
    <t>Fuel</t>
  </si>
  <si>
    <t>–0.37</t>
  </si>
  <si>
    <t>Charts Used (Final Submission)</t>
  </si>
  <si>
    <t>Chart 1: Imported Crude Oil Price – MoM Trend (2021–2023)</t>
  </si>
  <si>
    <t>• Line chart showing oil price volatility</t>
  </si>
  <si>
    <t>• Zero reference line at 0% MoM</t>
  </si>
  <si>
    <t>• Highlights sharp spikes during 2022 (Ukraine war period)</t>
  </si>
  <si>
    <t>Chart 2: Relationship Between Oil Price Change and Fuel Inflation</t>
  </si>
  <si>
    <t>• Positive slope</t>
  </si>
  <si>
    <t>• Weak–moderate correlation (matches CORREL = 0.21)</t>
  </si>
  <si>
    <t>Chart 3: Oil Price Change vs Food Inflation (Weak Relationship)</t>
  </si>
  <si>
    <r>
      <t xml:space="preserve">• The scatter shows </t>
    </r>
    <r>
      <rPr>
        <b/>
        <sz val="12"/>
        <color theme="1"/>
        <rFont val="Calibri"/>
        <family val="2"/>
        <scheme val="minor"/>
      </rPr>
      <t>no clear linear pattern</t>
    </r>
    <r>
      <rPr>
        <sz val="12"/>
        <color theme="1"/>
        <rFont val="Calibri"/>
        <family val="2"/>
        <scheme val="minor"/>
      </rPr>
      <t xml:space="preserve"> between oil MoM changes and food inflation.</t>
    </r>
  </si>
  <si>
    <r>
      <t xml:space="preserve">• The </t>
    </r>
    <r>
      <rPr>
        <b/>
        <sz val="12"/>
        <color theme="1"/>
        <rFont val="Calibri"/>
        <family val="2"/>
        <scheme val="minor"/>
      </rPr>
      <t>trendline is almost flat</t>
    </r>
    <r>
      <rPr>
        <sz val="12"/>
        <color theme="1"/>
        <rFont val="Calibri"/>
        <family val="2"/>
        <scheme val="minor"/>
      </rPr>
      <t xml:space="preserve"> and the </t>
    </r>
    <r>
      <rPr>
        <b/>
        <sz val="12"/>
        <color theme="1"/>
        <rFont val="Calibri"/>
        <family val="2"/>
        <scheme val="minor"/>
      </rPr>
      <t>R² is very low</t>
    </r>
    <r>
      <rPr>
        <sz val="12"/>
        <color theme="1"/>
        <rFont val="Calibri"/>
        <family val="2"/>
        <scheme val="minor"/>
      </rPr>
      <t xml:space="preserve">, confirming a </t>
    </r>
    <r>
      <rPr>
        <b/>
        <sz val="12"/>
        <color theme="1"/>
        <rFont val="Calibri"/>
        <family val="2"/>
        <scheme val="minor"/>
      </rPr>
      <t>very weak relationship</t>
    </r>
    <r>
      <rPr>
        <sz val="12"/>
        <color theme="1"/>
        <rFont val="Calibri"/>
        <family val="2"/>
        <scheme val="minor"/>
      </rPr>
      <t>.</t>
    </r>
  </si>
  <si>
    <r>
      <rPr>
        <b/>
        <sz val="12"/>
        <color theme="1"/>
        <rFont val="Calibri"/>
        <family val="2"/>
        <scheme val="minor"/>
      </rPr>
      <t xml:space="preserve">• </t>
    </r>
    <r>
      <rPr>
        <sz val="12"/>
        <color theme="1"/>
        <rFont val="Calibri"/>
        <family val="2"/>
        <scheme val="minor"/>
      </rPr>
      <t xml:space="preserve">Food inflation remains </t>
    </r>
    <r>
      <rPr>
        <b/>
        <sz val="12"/>
        <color theme="1"/>
        <rFont val="Calibri"/>
        <family val="2"/>
        <scheme val="minor"/>
      </rPr>
      <t>largely stable even during sharp oil price spikes or drops</t>
    </r>
    <r>
      <rPr>
        <sz val="12"/>
        <color theme="1"/>
        <rFont val="Calibri"/>
        <family val="2"/>
        <scheme val="minor"/>
      </rPr>
      <t>.</t>
    </r>
  </si>
  <si>
    <t>Chart 4: Oil Price Change vs Transport Inflation</t>
  </si>
  <si>
    <r>
      <t xml:space="preserve">• The scatter shows a </t>
    </r>
    <r>
      <rPr>
        <b/>
        <sz val="12"/>
        <color theme="1"/>
        <rFont val="Calibri"/>
        <family val="2"/>
        <scheme val="minor"/>
      </rPr>
      <t>weak positive relationship</t>
    </r>
    <r>
      <rPr>
        <sz val="12"/>
        <color theme="1"/>
        <rFont val="Calibri"/>
        <family val="2"/>
        <scheme val="minor"/>
      </rPr>
      <t xml:space="preserve"> between oil MoM changes and transport inflation.</t>
    </r>
  </si>
  <si>
    <r>
      <t xml:space="preserve">• While oil prices are </t>
    </r>
    <r>
      <rPr>
        <b/>
        <sz val="12"/>
        <color theme="1"/>
        <rFont val="Calibri"/>
        <family val="2"/>
        <scheme val="minor"/>
      </rPr>
      <t>highly volatile</t>
    </r>
    <r>
      <rPr>
        <sz val="12"/>
        <color theme="1"/>
        <rFont val="Calibri"/>
        <family val="2"/>
        <scheme val="minor"/>
      </rPr>
      <t xml:space="preserve">, transport inflation moves in a </t>
    </r>
    <r>
      <rPr>
        <b/>
        <sz val="12"/>
        <color theme="1"/>
        <rFont val="Calibri"/>
        <family val="2"/>
        <scheme val="minor"/>
      </rPr>
      <t>much narrower range</t>
    </r>
    <r>
      <rPr>
        <sz val="12"/>
        <color theme="1"/>
        <rFont val="Calibri"/>
        <family val="2"/>
        <scheme val="minor"/>
      </rPr>
      <t xml:space="preserve">, indicating </t>
    </r>
    <r>
      <rPr>
        <b/>
        <sz val="12"/>
        <color theme="1"/>
        <rFont val="Calibri"/>
        <family val="2"/>
        <scheme val="minor"/>
      </rPr>
      <t>partial pass-through</t>
    </r>
    <r>
      <rPr>
        <sz val="12"/>
        <color theme="1"/>
        <rFont val="Calibri"/>
        <family val="2"/>
        <scheme val="minor"/>
      </rPr>
      <t>.</t>
    </r>
  </si>
  <si>
    <r>
      <t xml:space="preserve">• The </t>
    </r>
    <r>
      <rPr>
        <b/>
        <sz val="12"/>
        <color theme="1"/>
        <rFont val="Calibri"/>
        <family val="2"/>
        <scheme val="minor"/>
      </rPr>
      <t>low R² value</t>
    </r>
    <r>
      <rPr>
        <sz val="12"/>
        <color theme="1"/>
        <rFont val="Calibri"/>
        <family val="2"/>
        <scheme val="minor"/>
      </rPr>
      <t xml:space="preserve"> suggests oil price changes explain </t>
    </r>
    <r>
      <rPr>
        <b/>
        <sz val="12"/>
        <color theme="1"/>
        <rFont val="Calibri"/>
        <family val="2"/>
        <scheme val="minor"/>
      </rPr>
      <t>only a small portion</t>
    </r>
    <r>
      <rPr>
        <sz val="12"/>
        <color theme="1"/>
        <rFont val="Calibri"/>
        <family val="2"/>
        <scheme val="minor"/>
      </rPr>
      <t xml:space="preserve"> of transport inflation movements.</t>
    </r>
  </si>
  <si>
    <t>Chart 5: Oil Price Volatility vs Inflation Components (MoM)</t>
  </si>
  <si>
    <r>
      <t xml:space="preserve">• The </t>
    </r>
    <r>
      <rPr>
        <b/>
        <sz val="12"/>
        <color rgb="FF000000"/>
        <rFont val="Calibri"/>
        <family val="2"/>
        <scheme val="minor"/>
      </rPr>
      <t>low R² value</t>
    </r>
    <r>
      <rPr>
        <sz val="12"/>
        <color rgb="FF000000"/>
        <rFont val="Calibri"/>
        <family val="2"/>
        <scheme val="minor"/>
      </rPr>
      <t xml:space="preserve"> suggests oil price changes explain </t>
    </r>
    <r>
      <rPr>
        <b/>
        <sz val="12"/>
        <color rgb="FF000000"/>
        <rFont val="Calibri"/>
        <family val="2"/>
        <scheme val="minor"/>
      </rPr>
      <t>only a small portion</t>
    </r>
    <r>
      <rPr>
        <sz val="12"/>
        <color rgb="FF000000"/>
        <rFont val="Calibri"/>
        <family val="2"/>
        <scheme val="minor"/>
      </rPr>
      <t xml:space="preserve"> of transport inflation movements.</t>
    </r>
  </si>
  <si>
    <t>• Fuel Inflation: Positively linked but moderated due to taxes, subsidies, and pricing controls.</t>
  </si>
  <si>
    <t>• Food Inflation: Largely insulated from oil price volatility.</t>
  </si>
  <si>
    <t>• Overall CPI: Weak/negative correlation reflects policy buffers and delayed pass-through.</t>
  </si>
  <si>
    <t>• Strongest Impact: Transport &amp; Communication shows the highest sensitivity to oil price fluctuations.</t>
  </si>
  <si>
    <t>Imported crude oil price fluctuations do impact India’s inflation, but the effect is selective.</t>
  </si>
  <si>
    <t>The strongest transmission is seen in Transport and Fuel, while Food prices and overall CPI remain relatively protected, highlighting the role of government intervention and structural buffers in India’s inflation framework.</t>
  </si>
  <si>
    <t xml:space="preserve">Reporting Period: May 2023 | Base Year: 2012 </t>
  </si>
  <si>
    <t>Impact of Imported Crude Oil Price Fluctuations on India’s Inflation (2021–2023)</t>
  </si>
  <si>
    <t>Chart 1: Overall CPI Inflation Trend (YoY %) — Pre-COVID vs Post-COVID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</si>
</sst>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809]dd\ mmmm\ yyyy;@"/>
  </numFmts>
  <fonts count="27" x14ac:knownFonts="1">
    <font>
      <sz val="12"/>
      <color theme="1"/>
      <name val="Calibri"/>
      <family val="2"/>
      <scheme val="minor"/>
    </font>
    <font>
      <sz val="12"/>
      <color rgb="FF000000"/>
      <name val="Calibri"/>
      <family val="2"/>
      <scheme val="minor"/>
    </font>
    <font>
      <b/>
      <sz val="12"/>
      <color theme="1"/>
      <name val="Calibri"/>
      <family val="2"/>
      <scheme val="minor"/>
    </font>
    <font>
      <sz val="12"/>
      <color theme="1"/>
      <name val="Calibri"/>
      <family val="2"/>
      <scheme val="minor"/>
    </font>
    <font>
      <b/>
      <sz val="10"/>
      <color theme="1"/>
      <name val="Arial"/>
      <family val="2"/>
    </font>
    <font>
      <sz val="16"/>
      <color theme="1"/>
      <name val="Arial"/>
      <family val="2"/>
    </font>
    <font>
      <b/>
      <sz val="24"/>
      <color theme="9" tint="-0.499984740745262"/>
      <name val="Calibri"/>
      <family val="2"/>
      <scheme val="minor"/>
    </font>
    <font>
      <b/>
      <sz val="16"/>
      <color theme="1"/>
      <name val="Calibri"/>
      <family val="2"/>
      <scheme val="minor"/>
    </font>
    <font>
      <sz val="16"/>
      <color theme="1"/>
      <name val="Calibri"/>
      <family val="2"/>
      <scheme val="minor"/>
    </font>
    <font>
      <b/>
      <sz val="17"/>
      <color rgb="FF000000"/>
      <name val="Arial"/>
      <family val="2"/>
    </font>
    <font>
      <b/>
      <sz val="13"/>
      <color rgb="FF000000"/>
      <name val="Arial"/>
      <family val="2"/>
    </font>
    <font>
      <b/>
      <sz val="11"/>
      <color rgb="FF000000"/>
      <name val="Arial"/>
      <family val="2"/>
    </font>
    <font>
      <sz val="11"/>
      <color rgb="FF000000"/>
      <name val="Arial"/>
      <family val="2"/>
    </font>
    <font>
      <b/>
      <sz val="20"/>
      <color theme="9" tint="-0.499984740745262"/>
      <name val="Arial"/>
      <family val="2"/>
    </font>
    <font>
      <b/>
      <sz val="18"/>
      <color theme="1" tint="0.499984740745262"/>
      <name val="Arial"/>
      <family val="2"/>
    </font>
    <font>
      <sz val="18"/>
      <color theme="1"/>
      <name val="Arial"/>
      <family val="2"/>
    </font>
    <font>
      <b/>
      <sz val="18"/>
      <color theme="1"/>
      <name val="Arial"/>
      <family val="2"/>
    </font>
    <font>
      <b/>
      <sz val="18"/>
      <color rgb="FF000000"/>
      <name val="Arial"/>
      <family val="2"/>
    </font>
    <font>
      <sz val="18"/>
      <color rgb="FF000000"/>
      <name val="Arial"/>
      <family val="2"/>
    </font>
    <font>
      <b/>
      <i/>
      <sz val="18"/>
      <color rgb="FF000000"/>
      <name val="Arial"/>
      <family val="2"/>
    </font>
    <font>
      <b/>
      <sz val="23"/>
      <color theme="9" tint="-0.499984740745262"/>
      <name val="Arial"/>
      <family val="2"/>
    </font>
    <font>
      <b/>
      <sz val="14"/>
      <color theme="1"/>
      <name val="Calibri"/>
      <family val="2"/>
      <scheme val="minor"/>
    </font>
    <font>
      <sz val="14"/>
      <color theme="1"/>
      <name val="Calibri"/>
      <family val="2"/>
      <scheme val="minor"/>
    </font>
    <font>
      <b/>
      <sz val="12"/>
      <color rgb="FF000000"/>
      <name val="Arial"/>
      <family val="2"/>
    </font>
    <font>
      <b/>
      <sz val="17"/>
      <color theme="9" tint="-0.499984740745262"/>
      <name val="Arial"/>
      <family val="2"/>
    </font>
    <font>
      <b/>
      <sz val="10"/>
      <color theme="1"/>
      <name val="Arial Unicode MS"/>
      <family val="2"/>
    </font>
    <font>
      <b/>
      <sz val="12"/>
      <color rgb="FF000000"/>
      <name val="Calibri"/>
      <family val="2"/>
      <scheme val="minor"/>
    </font>
  </fonts>
  <fills count="2">
    <fill>
      <patternFill patternType="none"/>
    </fill>
    <fill>
      <patternFill patternType="gray125"/>
    </fill>
  </fills>
  <borders count="10">
    <border>
      <left/>
      <right/>
      <top/>
      <bottom/>
      <diagonal/>
    </border>
    <border>
      <left/>
      <right/>
      <top style="thin">
        <color rgb="FFA9D08E"/>
      </top>
      <bottom style="thin">
        <color rgb="FFA9D08E"/>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2">
    <xf numFmtId="0" fontId="0" fillId="0" borderId="0"/>
    <xf numFmtId="9" fontId="3" fillId="0" borderId="0" applyFont="0" applyFill="0" applyBorder="0" applyAlignment="0" applyProtection="0"/>
  </cellStyleXfs>
  <cellXfs count="110">
    <xf numFmtId="0" fontId="0" fillId="0" borderId="0" xfId="0"/>
    <xf numFmtId="14" fontId="0" fillId="0" borderId="0" xfId="0" applyNumberFormat="1"/>
    <xf numFmtId="164" fontId="0" fillId="0" borderId="0" xfId="0" applyNumberFormat="1"/>
    <xf numFmtId="2" fontId="0" fillId="0" borderId="0" xfId="0" applyNumberFormat="1"/>
    <xf numFmtId="0" fontId="2" fillId="0" borderId="0" xfId="0" applyFont="1"/>
    <xf numFmtId="164" fontId="1" fillId="0" borderId="0" xfId="0" applyNumberFormat="1" applyFont="1"/>
    <xf numFmtId="164" fontId="0" fillId="0" borderId="1" xfId="0" applyNumberFormat="1" applyBorder="1"/>
    <xf numFmtId="0" fontId="0" fillId="0" borderId="0" xfId="0" applyAlignment="1">
      <alignment horizontal="right"/>
    </xf>
    <xf numFmtId="165" fontId="0" fillId="0" borderId="0" xfId="1" applyNumberFormat="1" applyFont="1"/>
    <xf numFmtId="0" fontId="0" fillId="0" borderId="2" xfId="0" applyBorder="1"/>
    <xf numFmtId="0" fontId="2" fillId="0" borderId="2" xfId="0" applyFont="1" applyBorder="1"/>
    <xf numFmtId="0" fontId="0" fillId="0" borderId="4" xfId="0" applyBorder="1"/>
    <xf numFmtId="0" fontId="0" fillId="0" borderId="5" xfId="0" applyBorder="1"/>
    <xf numFmtId="0" fontId="0" fillId="0" borderId="6" xfId="0" applyBorder="1"/>
    <xf numFmtId="9" fontId="0" fillId="0" borderId="0" xfId="1" applyFont="1"/>
    <xf numFmtId="165" fontId="0" fillId="0" borderId="0" xfId="0" applyNumberFormat="1"/>
    <xf numFmtId="0" fontId="0" fillId="0" borderId="3" xfId="0" applyBorder="1" applyAlignment="1">
      <alignment horizontal="center"/>
    </xf>
    <xf numFmtId="0" fontId="2" fillId="0" borderId="0" xfId="0" applyFont="1" applyAlignment="1">
      <alignment horizontal="center"/>
    </xf>
    <xf numFmtId="0" fontId="2" fillId="0" borderId="3" xfId="0" applyFont="1" applyBorder="1" applyAlignment="1">
      <alignment horizontal="center"/>
    </xf>
    <xf numFmtId="17" fontId="0" fillId="0" borderId="3" xfId="0" applyNumberFormat="1" applyBorder="1" applyAlignment="1">
      <alignment horizontal="center"/>
    </xf>
    <xf numFmtId="0" fontId="2" fillId="0" borderId="3" xfId="0" applyFont="1" applyBorder="1"/>
    <xf numFmtId="9" fontId="0" fillId="0" borderId="0" xfId="0" applyNumberFormat="1"/>
    <xf numFmtId="17" fontId="0" fillId="0" borderId="0" xfId="0" applyNumberFormat="1"/>
    <xf numFmtId="0" fontId="2" fillId="0" borderId="3" xfId="0" applyFont="1" applyBorder="1" applyAlignment="1">
      <alignment horizontal="center" vertical="center"/>
    </xf>
    <xf numFmtId="0" fontId="0" fillId="0" borderId="3" xfId="0" applyBorder="1"/>
    <xf numFmtId="9" fontId="0" fillId="0" borderId="3" xfId="1" applyFont="1" applyBorder="1"/>
    <xf numFmtId="166" fontId="0" fillId="0" borderId="0" xfId="0" applyNumberFormat="1"/>
    <xf numFmtId="164" fontId="0" fillId="0" borderId="3" xfId="0" applyNumberFormat="1" applyBorder="1"/>
    <xf numFmtId="165" fontId="0" fillId="0" borderId="3" xfId="1" applyNumberFormat="1" applyFont="1" applyBorder="1"/>
    <xf numFmtId="0" fontId="4" fillId="0" borderId="3" xfId="0" applyFont="1" applyBorder="1" applyAlignment="1">
      <alignment horizontal="left"/>
    </xf>
    <xf numFmtId="0" fontId="0" fillId="0" borderId="3" xfId="0" applyBorder="1" applyAlignment="1">
      <alignment horizontal="right"/>
    </xf>
    <xf numFmtId="165" fontId="0" fillId="0" borderId="3" xfId="1" applyNumberFormat="1" applyFont="1" applyFill="1" applyBorder="1"/>
    <xf numFmtId="0" fontId="5" fillId="0" borderId="2" xfId="0" applyFont="1" applyBorder="1"/>
    <xf numFmtId="0" fontId="5" fillId="0" borderId="4" xfId="0" applyFont="1" applyBorder="1"/>
    <xf numFmtId="0" fontId="6" fillId="0" borderId="0" xfId="0" applyFont="1"/>
    <xf numFmtId="0" fontId="7" fillId="0" borderId="2" xfId="0" applyFont="1" applyBorder="1" applyAlignment="1">
      <alignment horizontal="left" indent="1"/>
    </xf>
    <xf numFmtId="0" fontId="8" fillId="0" borderId="2" xfId="0" applyFont="1" applyBorder="1" applyAlignment="1">
      <alignment horizontal="left" indent="1"/>
    </xf>
    <xf numFmtId="0" fontId="8" fillId="0" borderId="2" xfId="0" applyFont="1" applyBorder="1"/>
    <xf numFmtId="0" fontId="7" fillId="0" borderId="0" xfId="0" applyFont="1"/>
    <xf numFmtId="0" fontId="8" fillId="0" borderId="2" xfId="0" applyFont="1" applyBorder="1" applyAlignment="1">
      <alignment horizontal="left" indent="2"/>
    </xf>
    <xf numFmtId="0" fontId="0" fillId="0" borderId="5" xfId="0" applyBorder="1" applyAlignment="1">
      <alignment horizontal="left" indent="2"/>
    </xf>
    <xf numFmtId="165" fontId="0" fillId="0" borderId="3" xfId="1" applyNumberFormat="1" applyFont="1" applyBorder="1" applyAlignment="1">
      <alignment horizontal="center"/>
    </xf>
    <xf numFmtId="165" fontId="2" fillId="0" borderId="3" xfId="1" applyNumberFormat="1" applyFont="1" applyBorder="1" applyAlignment="1">
      <alignment horizontal="center"/>
    </xf>
    <xf numFmtId="165" fontId="3" fillId="0" borderId="3" xfId="1" applyNumberFormat="1" applyFont="1" applyBorder="1" applyAlignment="1">
      <alignment horizontal="center"/>
    </xf>
    <xf numFmtId="0" fontId="9" fillId="0" borderId="0" xfId="0" applyFont="1"/>
    <xf numFmtId="0" fontId="11" fillId="0" borderId="0" xfId="0" applyFont="1"/>
    <xf numFmtId="0" fontId="11" fillId="0" borderId="0" xfId="0" applyFont="1" applyAlignment="1">
      <alignment horizontal="left" indent="2"/>
    </xf>
    <xf numFmtId="0" fontId="0" fillId="0" borderId="2" xfId="0" applyBorder="1" applyAlignment="1">
      <alignment horizontal="left" indent="1"/>
    </xf>
    <xf numFmtId="0" fontId="10" fillId="0" borderId="2" xfId="0" applyFont="1" applyBorder="1" applyAlignment="1">
      <alignment horizontal="left" indent="1"/>
    </xf>
    <xf numFmtId="0" fontId="11" fillId="0" borderId="2" xfId="0" applyFont="1" applyBorder="1" applyAlignment="1">
      <alignment horizontal="left" indent="2"/>
    </xf>
    <xf numFmtId="0" fontId="10" fillId="0" borderId="2" xfId="0" applyFont="1" applyBorder="1" applyAlignment="1">
      <alignment horizontal="left" indent="2"/>
    </xf>
    <xf numFmtId="0" fontId="12" fillId="0" borderId="2" xfId="0" applyFont="1" applyBorder="1" applyAlignment="1">
      <alignment horizontal="left" indent="2"/>
    </xf>
    <xf numFmtId="0" fontId="12" fillId="0" borderId="2" xfId="0" applyFont="1" applyBorder="1" applyAlignment="1">
      <alignment horizontal="left" indent="3"/>
    </xf>
    <xf numFmtId="0" fontId="11" fillId="0" borderId="2" xfId="0" applyFont="1" applyBorder="1" applyAlignment="1">
      <alignment horizontal="left" indent="1"/>
    </xf>
    <xf numFmtId="0" fontId="9" fillId="0" borderId="2" xfId="0" applyFont="1" applyBorder="1"/>
    <xf numFmtId="0" fontId="12" fillId="0" borderId="0" xfId="0" applyFont="1" applyAlignment="1">
      <alignment horizontal="left" indent="1"/>
    </xf>
    <xf numFmtId="0" fontId="14" fillId="0" borderId="2" xfId="0" applyFont="1" applyBorder="1"/>
    <xf numFmtId="0" fontId="15" fillId="0" borderId="2" xfId="0" applyFont="1" applyBorder="1"/>
    <xf numFmtId="0" fontId="16" fillId="0" borderId="2" xfId="0" applyFont="1" applyBorder="1" applyAlignment="1">
      <alignment wrapText="1"/>
    </xf>
    <xf numFmtId="0" fontId="16" fillId="0" borderId="2" xfId="0" applyFont="1" applyBorder="1"/>
    <xf numFmtId="0" fontId="17" fillId="0" borderId="2" xfId="0" applyFont="1" applyBorder="1" applyAlignment="1">
      <alignment horizontal="left" indent="1"/>
    </xf>
    <xf numFmtId="0" fontId="18" fillId="0" borderId="2" xfId="0" applyFont="1" applyBorder="1" applyAlignment="1">
      <alignment horizontal="left" indent="1"/>
    </xf>
    <xf numFmtId="0" fontId="18" fillId="0" borderId="2" xfId="0" applyFont="1" applyBorder="1" applyAlignment="1">
      <alignment horizontal="left" indent="2"/>
    </xf>
    <xf numFmtId="0" fontId="18" fillId="0" borderId="2" xfId="0" applyFont="1" applyBorder="1" applyAlignment="1">
      <alignment horizontal="left" indent="3"/>
    </xf>
    <xf numFmtId="0" fontId="15" fillId="0" borderId="5" xfId="0" applyFont="1" applyBorder="1"/>
    <xf numFmtId="0" fontId="16" fillId="0" borderId="3" xfId="0" applyFont="1" applyBorder="1"/>
    <xf numFmtId="164" fontId="15" fillId="0" borderId="3" xfId="0" applyNumberFormat="1" applyFont="1" applyBorder="1"/>
    <xf numFmtId="165" fontId="15" fillId="0" borderId="3" xfId="1" applyNumberFormat="1" applyFont="1" applyBorder="1"/>
    <xf numFmtId="164" fontId="16" fillId="0" borderId="3" xfId="0" applyNumberFormat="1" applyFont="1" applyBorder="1"/>
    <xf numFmtId="9" fontId="16" fillId="0" borderId="3" xfId="1" applyFont="1" applyBorder="1"/>
    <xf numFmtId="0" fontId="15" fillId="0" borderId="6" xfId="0" applyFont="1" applyBorder="1"/>
    <xf numFmtId="0" fontId="19" fillId="0" borderId="0" xfId="0" applyFont="1"/>
    <xf numFmtId="0" fontId="18" fillId="0" borderId="2" xfId="0" applyFont="1" applyBorder="1" applyAlignment="1">
      <alignment horizontal="left" indent="4"/>
    </xf>
    <xf numFmtId="15" fontId="0" fillId="0" borderId="0" xfId="0" applyNumberFormat="1"/>
    <xf numFmtId="0" fontId="2" fillId="0" borderId="9" xfId="0" applyFont="1" applyBorder="1"/>
    <xf numFmtId="0" fontId="2" fillId="0" borderId="9" xfId="0" applyFont="1" applyBorder="1" applyAlignment="1">
      <alignment horizontal="center"/>
    </xf>
    <xf numFmtId="0" fontId="0" fillId="0" borderId="9" xfId="0" applyBorder="1"/>
    <xf numFmtId="17" fontId="2" fillId="0" borderId="0" xfId="0" applyNumberFormat="1" applyFont="1"/>
    <xf numFmtId="0" fontId="11" fillId="0" borderId="0" xfId="0" applyFont="1" applyAlignment="1">
      <alignment horizontal="left"/>
    </xf>
    <xf numFmtId="15" fontId="0" fillId="0" borderId="3" xfId="0" applyNumberFormat="1" applyBorder="1"/>
    <xf numFmtId="0" fontId="10" fillId="0" borderId="2" xfId="0" applyFont="1" applyBorder="1"/>
    <xf numFmtId="0" fontId="12" fillId="0" borderId="2" xfId="0" applyFont="1" applyBorder="1" applyAlignment="1">
      <alignment horizontal="left" indent="4"/>
    </xf>
    <xf numFmtId="0" fontId="20" fillId="0" borderId="2" xfId="0" applyFont="1" applyBorder="1"/>
    <xf numFmtId="0" fontId="11" fillId="0" borderId="2" xfId="0" applyFont="1" applyBorder="1"/>
    <xf numFmtId="0" fontId="12" fillId="0" borderId="2" xfId="0" applyFont="1" applyBorder="1" applyAlignment="1">
      <alignment horizontal="left" indent="1"/>
    </xf>
    <xf numFmtId="0" fontId="12" fillId="0" borderId="2" xfId="0" applyFont="1" applyBorder="1" applyAlignment="1">
      <alignment horizontal="left" indent="5"/>
    </xf>
    <xf numFmtId="10" fontId="0" fillId="0" borderId="0" xfId="0" applyNumberFormat="1"/>
    <xf numFmtId="0" fontId="0" fillId="0" borderId="2" xfId="0" applyBorder="1" applyAlignment="1">
      <alignment horizontal="left" indent="2"/>
    </xf>
    <xf numFmtId="0" fontId="12" fillId="0" borderId="2" xfId="0" applyFont="1" applyBorder="1" applyAlignment="1">
      <alignment horizontal="left"/>
    </xf>
    <xf numFmtId="0" fontId="0" fillId="0" borderId="7" xfId="0" applyBorder="1"/>
    <xf numFmtId="0" fontId="23" fillId="0" borderId="3" xfId="0" applyFont="1" applyBorder="1" applyAlignment="1">
      <alignment horizontal="center"/>
    </xf>
    <xf numFmtId="0" fontId="23" fillId="0" borderId="3" xfId="0" applyFont="1" applyBorder="1"/>
    <xf numFmtId="0" fontId="21" fillId="0" borderId="3" xfId="0" applyFont="1" applyBorder="1" applyAlignment="1">
      <alignment horizontal="center"/>
    </xf>
    <xf numFmtId="10" fontId="22" fillId="0" borderId="3" xfId="0" applyNumberFormat="1" applyFont="1" applyBorder="1" applyAlignment="1">
      <alignment horizontal="center"/>
    </xf>
    <xf numFmtId="165" fontId="3" fillId="0" borderId="0" xfId="1" applyNumberFormat="1" applyFont="1"/>
    <xf numFmtId="0" fontId="24" fillId="0" borderId="2" xfId="0" applyFont="1" applyBorder="1"/>
    <xf numFmtId="0" fontId="12" fillId="0" borderId="2" xfId="0" applyFont="1" applyBorder="1"/>
    <xf numFmtId="0" fontId="1" fillId="0" borderId="2" xfId="0" applyFont="1" applyBorder="1" applyAlignment="1">
      <alignment horizontal="left" indent="2"/>
    </xf>
    <xf numFmtId="0" fontId="2" fillId="0" borderId="5" xfId="0" applyFont="1" applyBorder="1"/>
    <xf numFmtId="0" fontId="13" fillId="0" borderId="2" xfId="0" applyFont="1" applyBorder="1" applyAlignment="1">
      <alignment horizontal="left" vertical="top"/>
    </xf>
    <xf numFmtId="0" fontId="15" fillId="0" borderId="7" xfId="0" applyFont="1" applyBorder="1" applyAlignment="1">
      <alignment horizontal="left" vertical="top" wrapText="1" indent="1"/>
    </xf>
    <xf numFmtId="0" fontId="15" fillId="0" borderId="8" xfId="0" applyFont="1" applyBorder="1" applyAlignment="1">
      <alignment horizontal="left" vertical="top" wrapText="1" indent="1"/>
    </xf>
    <xf numFmtId="0" fontId="15" fillId="0" borderId="4" xfId="0" applyFont="1" applyBorder="1" applyAlignment="1">
      <alignment horizontal="left" vertical="top" wrapText="1" indent="1"/>
    </xf>
    <xf numFmtId="0" fontId="15" fillId="0" borderId="7" xfId="0" applyFont="1" applyBorder="1" applyAlignment="1">
      <alignment vertical="top" wrapText="1"/>
    </xf>
    <xf numFmtId="0" fontId="15" fillId="0" borderId="8" xfId="0" applyFont="1" applyBorder="1" applyAlignment="1">
      <alignment vertical="top" wrapText="1"/>
    </xf>
    <xf numFmtId="0" fontId="15" fillId="0" borderId="4" xfId="0" applyFont="1" applyBorder="1" applyAlignment="1">
      <alignment vertical="top" wrapText="1"/>
    </xf>
    <xf numFmtId="0" fontId="12" fillId="0" borderId="7" xfId="0" applyFont="1" applyBorder="1" applyAlignment="1">
      <alignment horizontal="left" vertical="top" wrapText="1"/>
    </xf>
    <xf numFmtId="0" fontId="12" fillId="0" borderId="8" xfId="0" applyFont="1" applyBorder="1" applyAlignment="1">
      <alignment horizontal="left" vertical="top" wrapText="1"/>
    </xf>
    <xf numFmtId="0" fontId="12" fillId="0" borderId="4" xfId="0" applyFont="1" applyBorder="1" applyAlignment="1">
      <alignment horizontal="left" vertical="top" wrapText="1"/>
    </xf>
    <xf numFmtId="0" fontId="12" fillId="0" borderId="2" xfId="0" applyFont="1" applyBorder="1" applyAlignment="1">
      <alignment horizontal="left" vertical="top" wrapText="1"/>
    </xf>
  </cellXfs>
  <cellStyles count="2">
    <cellStyle name="Normal" xfId="0" builtinId="0"/>
    <cellStyle name="Per cent" xfId="1" builtinId="5"/>
  </cellStyles>
  <dxfs count="19">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9" formatCode="dd/mm/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6">
                    <a:lumMod val="50000"/>
                  </a:schemeClr>
                </a:solidFill>
              </a:rPr>
              <a:t>Contribution of Broader Categories to CPI (%)</a:t>
            </a:r>
            <a:endParaRPr lang="en-GB"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3"/>
          <c:order val="0"/>
          <c:tx>
            <c:strRef>
              <c:f>Q1_Contribution_Analysis!$E$21</c:f>
              <c:strCache>
                <c:ptCount val="1"/>
                <c:pt idx="0">
                  <c:v>Contribution % (Rural + Urban)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Q1_Contribution_Analysis!$A$22:$A$29</c:f>
              <c:strCache>
                <c:ptCount val="8"/>
                <c:pt idx="0">
                  <c:v>Food</c:v>
                </c:pt>
                <c:pt idx="1">
                  <c:v>Energy</c:v>
                </c:pt>
                <c:pt idx="2">
                  <c:v>Transport</c:v>
                </c:pt>
                <c:pt idx="3">
                  <c:v>Housing</c:v>
                </c:pt>
                <c:pt idx="4">
                  <c:v>Health</c:v>
                </c:pt>
                <c:pt idx="5">
                  <c:v>Education</c:v>
                </c:pt>
                <c:pt idx="6">
                  <c:v>Clothing &amp; Footwear</c:v>
                </c:pt>
                <c:pt idx="7">
                  <c:v>Others</c:v>
                </c:pt>
              </c:strCache>
            </c:strRef>
          </c:cat>
          <c:val>
            <c:numRef>
              <c:f>Q1_Contribution_Analysis!$E$22:$E$29</c:f>
              <c:numCache>
                <c:formatCode>0.0%</c:formatCode>
                <c:ptCount val="8"/>
                <c:pt idx="0">
                  <c:v>0.124135800874746</c:v>
                </c:pt>
                <c:pt idx="1">
                  <c:v>0.12787564142301203</c:v>
                </c:pt>
                <c:pt idx="2">
                  <c:v>0.11528394806626029</c:v>
                </c:pt>
                <c:pt idx="3">
                  <c:v>0.12283896408031131</c:v>
                </c:pt>
                <c:pt idx="4">
                  <c:v>0.12990430313048867</c:v>
                </c:pt>
                <c:pt idx="5">
                  <c:v>0.12388827186004062</c:v>
                </c:pt>
                <c:pt idx="6">
                  <c:v>0.12899490305472328</c:v>
                </c:pt>
                <c:pt idx="7">
                  <c:v>0.12707816751041773</c:v>
                </c:pt>
              </c:numCache>
            </c:numRef>
          </c:val>
          <c:extLst>
            <c:ext xmlns:c16="http://schemas.microsoft.com/office/drawing/2014/chart" uri="{C3380CC4-5D6E-409C-BE32-E72D297353CC}">
              <c16:uniqueId val="{00000000-E3C3-0F4B-9A95-7B10E68A7CF5}"/>
            </c:ext>
          </c:extLst>
        </c:ser>
        <c:ser>
          <c:idx val="4"/>
          <c:order val="1"/>
          <c:tx>
            <c:strRef>
              <c:f>Q1_Contribution_Analysis!$F$21</c:f>
              <c:strCache>
                <c:ptCount val="1"/>
                <c:pt idx="0">
                  <c:v>Contribution % (Rural)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Q1_Contribution_Analysis!$A$22:$A$29</c:f>
              <c:strCache>
                <c:ptCount val="8"/>
                <c:pt idx="0">
                  <c:v>Food</c:v>
                </c:pt>
                <c:pt idx="1">
                  <c:v>Energy</c:v>
                </c:pt>
                <c:pt idx="2">
                  <c:v>Transport</c:v>
                </c:pt>
                <c:pt idx="3">
                  <c:v>Housing</c:v>
                </c:pt>
                <c:pt idx="4">
                  <c:v>Health</c:v>
                </c:pt>
                <c:pt idx="5">
                  <c:v>Education</c:v>
                </c:pt>
                <c:pt idx="6">
                  <c:v>Clothing &amp; Footwear</c:v>
                </c:pt>
                <c:pt idx="7">
                  <c:v>Others</c:v>
                </c:pt>
              </c:strCache>
            </c:strRef>
          </c:cat>
          <c:val>
            <c:numRef>
              <c:f>Q1_Contribution_Analysis!$F$22:$F$29</c:f>
              <c:numCache>
                <c:formatCode>0.0%</c:formatCode>
                <c:ptCount val="8"/>
                <c:pt idx="0">
                  <c:v>0.13874027600676092</c:v>
                </c:pt>
                <c:pt idx="1">
                  <c:v>0.14369463693457904</c:v>
                </c:pt>
                <c:pt idx="2">
                  <c:v>0.13361632815231814</c:v>
                </c:pt>
                <c:pt idx="3">
                  <c:v>0</c:v>
                </c:pt>
                <c:pt idx="4">
                  <c:v>0.14786768666473393</c:v>
                </c:pt>
                <c:pt idx="5">
                  <c:v>0.14196242761262795</c:v>
                </c:pt>
                <c:pt idx="6">
                  <c:v>0.1495736503908979</c:v>
                </c:pt>
                <c:pt idx="7">
                  <c:v>0.14454499423808229</c:v>
                </c:pt>
              </c:numCache>
            </c:numRef>
          </c:val>
          <c:extLst>
            <c:ext xmlns:c16="http://schemas.microsoft.com/office/drawing/2014/chart" uri="{C3380CC4-5D6E-409C-BE32-E72D297353CC}">
              <c16:uniqueId val="{00000001-E3C3-0F4B-9A95-7B10E68A7CF5}"/>
            </c:ext>
          </c:extLst>
        </c:ser>
        <c:ser>
          <c:idx val="5"/>
          <c:order val="2"/>
          <c:tx>
            <c:strRef>
              <c:f>Q1_Contribution_Analysis!$G$21</c:f>
              <c:strCache>
                <c:ptCount val="1"/>
                <c:pt idx="0">
                  <c:v>Contribution % (Urban)</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Q1_Contribution_Analysis!$A$22:$A$29</c:f>
              <c:strCache>
                <c:ptCount val="8"/>
                <c:pt idx="0">
                  <c:v>Food</c:v>
                </c:pt>
                <c:pt idx="1">
                  <c:v>Energy</c:v>
                </c:pt>
                <c:pt idx="2">
                  <c:v>Transport</c:v>
                </c:pt>
                <c:pt idx="3">
                  <c:v>Housing</c:v>
                </c:pt>
                <c:pt idx="4">
                  <c:v>Health</c:v>
                </c:pt>
                <c:pt idx="5">
                  <c:v>Education</c:v>
                </c:pt>
                <c:pt idx="6">
                  <c:v>Clothing &amp; Footwear</c:v>
                </c:pt>
                <c:pt idx="7">
                  <c:v>Others</c:v>
                </c:pt>
              </c:strCache>
            </c:strRef>
          </c:cat>
          <c:val>
            <c:numRef>
              <c:f>Q1_Contribution_Analysis!$G$22:$G$29</c:f>
              <c:numCache>
                <c:formatCode>0.0%</c:formatCode>
                <c:ptCount val="8"/>
                <c:pt idx="0">
                  <c:v>0.12717610694753018</c:v>
                </c:pt>
                <c:pt idx="1">
                  <c:v>0.1298502309041589</c:v>
                </c:pt>
                <c:pt idx="2">
                  <c:v>0.1135658508016744</c:v>
                </c:pt>
                <c:pt idx="3">
                  <c:v>0.12432770199983806</c:v>
                </c:pt>
                <c:pt idx="4">
                  <c:v>0.1290006110727249</c:v>
                </c:pt>
                <c:pt idx="5">
                  <c:v>0.12376128877888209</c:v>
                </c:pt>
                <c:pt idx="6">
                  <c:v>0.12477611246642822</c:v>
                </c:pt>
                <c:pt idx="7">
                  <c:v>0.12754209702876326</c:v>
                </c:pt>
              </c:numCache>
            </c:numRef>
          </c:val>
          <c:extLst>
            <c:ext xmlns:c16="http://schemas.microsoft.com/office/drawing/2014/chart" uri="{C3380CC4-5D6E-409C-BE32-E72D297353CC}">
              <c16:uniqueId val="{00000002-E3C3-0F4B-9A95-7B10E68A7CF5}"/>
            </c:ext>
          </c:extLst>
        </c:ser>
        <c:dLbls>
          <c:showLegendKey val="0"/>
          <c:showVal val="0"/>
          <c:showCatName val="0"/>
          <c:showSerName val="0"/>
          <c:showPercent val="0"/>
          <c:showBubbleSize val="0"/>
        </c:dLbls>
        <c:gapWidth val="219"/>
        <c:overlap val="-27"/>
        <c:axId val="1596472192"/>
        <c:axId val="1629727232"/>
      </c:barChart>
      <c:catAx>
        <c:axId val="159647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727232"/>
        <c:crosses val="autoZero"/>
        <c:auto val="1"/>
        <c:lblAlgn val="ctr"/>
        <c:lblOffset val="100"/>
        <c:noMultiLvlLbl val="0"/>
      </c:catAx>
      <c:valAx>
        <c:axId val="16297272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472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6">
                    <a:lumMod val="50000"/>
                  </a:schemeClr>
                </a:solidFill>
              </a:rPr>
              <a:t>Rural vs Urban CPI Index by Bucket</a:t>
            </a:r>
            <a:endParaRPr lang="en-GB"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1"/>
          <c:order val="0"/>
          <c:tx>
            <c:strRef>
              <c:f>Q1_Contribution_Analysis!$C$21</c:f>
              <c:strCache>
                <c:ptCount val="1"/>
                <c:pt idx="0">
                  <c:v>Bucket Index (Rural)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Q1_Contribution_Analysis!$A$22:$A$29</c:f>
              <c:strCache>
                <c:ptCount val="8"/>
                <c:pt idx="0">
                  <c:v>Food</c:v>
                </c:pt>
                <c:pt idx="1">
                  <c:v>Energy</c:v>
                </c:pt>
                <c:pt idx="2">
                  <c:v>Transport</c:v>
                </c:pt>
                <c:pt idx="3">
                  <c:v>Housing</c:v>
                </c:pt>
                <c:pt idx="4">
                  <c:v>Health</c:v>
                </c:pt>
                <c:pt idx="5">
                  <c:v>Education</c:v>
                </c:pt>
                <c:pt idx="6">
                  <c:v>Clothing &amp; Footwear</c:v>
                </c:pt>
                <c:pt idx="7">
                  <c:v>Others</c:v>
                </c:pt>
              </c:strCache>
            </c:strRef>
          </c:cat>
          <c:val>
            <c:numRef>
              <c:f>Q1_Contribution_Analysis!$C$22:$C$29</c:f>
              <c:numCache>
                <c:formatCode>0.0</c:formatCode>
                <c:ptCount val="8"/>
                <c:pt idx="0">
                  <c:v>176.20769230769235</c:v>
                </c:pt>
                <c:pt idx="1">
                  <c:v>182.5</c:v>
                </c:pt>
                <c:pt idx="2">
                  <c:v>169.7</c:v>
                </c:pt>
                <c:pt idx="3">
                  <c:v>0</c:v>
                </c:pt>
                <c:pt idx="4">
                  <c:v>187.8</c:v>
                </c:pt>
                <c:pt idx="5">
                  <c:v>180.3</c:v>
                </c:pt>
                <c:pt idx="6">
                  <c:v>189.9666666666667</c:v>
                </c:pt>
                <c:pt idx="7">
                  <c:v>183.57999999999998</c:v>
                </c:pt>
              </c:numCache>
            </c:numRef>
          </c:val>
          <c:extLst>
            <c:ext xmlns:c16="http://schemas.microsoft.com/office/drawing/2014/chart" uri="{C3380CC4-5D6E-409C-BE32-E72D297353CC}">
              <c16:uniqueId val="{00000000-828A-8940-A282-B222DC300E35}"/>
            </c:ext>
          </c:extLst>
        </c:ser>
        <c:ser>
          <c:idx val="2"/>
          <c:order val="1"/>
          <c:tx>
            <c:strRef>
              <c:f>Q1_Contribution_Analysis!$D$21</c:f>
              <c:strCache>
                <c:ptCount val="1"/>
                <c:pt idx="0">
                  <c:v>Bucket Index (Urban)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Q1_Contribution_Analysis!$A$22:$A$29</c:f>
              <c:strCache>
                <c:ptCount val="8"/>
                <c:pt idx="0">
                  <c:v>Food</c:v>
                </c:pt>
                <c:pt idx="1">
                  <c:v>Energy</c:v>
                </c:pt>
                <c:pt idx="2">
                  <c:v>Transport</c:v>
                </c:pt>
                <c:pt idx="3">
                  <c:v>Housing</c:v>
                </c:pt>
                <c:pt idx="4">
                  <c:v>Health</c:v>
                </c:pt>
                <c:pt idx="5">
                  <c:v>Education</c:v>
                </c:pt>
                <c:pt idx="6">
                  <c:v>Clothing &amp; Footwear</c:v>
                </c:pt>
                <c:pt idx="7">
                  <c:v>Others</c:v>
                </c:pt>
              </c:strCache>
            </c:strRef>
          </c:cat>
          <c:val>
            <c:numRef>
              <c:f>Q1_Contribution_Analysis!$D$22:$D$29</c:f>
              <c:numCache>
                <c:formatCode>0.0</c:formatCode>
                <c:ptCount val="8"/>
                <c:pt idx="0">
                  <c:v>179.62307692307692</c:v>
                </c:pt>
                <c:pt idx="1">
                  <c:v>183.4</c:v>
                </c:pt>
                <c:pt idx="2">
                  <c:v>160.4</c:v>
                </c:pt>
                <c:pt idx="3">
                  <c:v>175.6</c:v>
                </c:pt>
                <c:pt idx="4">
                  <c:v>182.2</c:v>
                </c:pt>
                <c:pt idx="5">
                  <c:v>174.8</c:v>
                </c:pt>
                <c:pt idx="6">
                  <c:v>176.23333333333335</c:v>
                </c:pt>
                <c:pt idx="7">
                  <c:v>180.14000000000001</c:v>
                </c:pt>
              </c:numCache>
            </c:numRef>
          </c:val>
          <c:extLst>
            <c:ext xmlns:c16="http://schemas.microsoft.com/office/drawing/2014/chart" uri="{C3380CC4-5D6E-409C-BE32-E72D297353CC}">
              <c16:uniqueId val="{00000001-828A-8940-A282-B222DC300E35}"/>
            </c:ext>
          </c:extLst>
        </c:ser>
        <c:dLbls>
          <c:showLegendKey val="0"/>
          <c:showVal val="0"/>
          <c:showCatName val="0"/>
          <c:showSerName val="0"/>
          <c:showPercent val="0"/>
          <c:showBubbleSize val="0"/>
        </c:dLbls>
        <c:gapWidth val="30"/>
        <c:overlap val="-25"/>
        <c:axId val="1580442368"/>
        <c:axId val="1580447744"/>
      </c:barChart>
      <c:catAx>
        <c:axId val="1580442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447744"/>
        <c:crosses val="autoZero"/>
        <c:auto val="1"/>
        <c:lblAlgn val="ctr"/>
        <c:lblOffset val="100"/>
        <c:noMultiLvlLbl val="0"/>
      </c:catAx>
      <c:valAx>
        <c:axId val="1580447744"/>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442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Year-wise YoY CPI Inflation Trend (All-India)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Q2_YoY_Inflation_Trend!$B$13</c:f>
              <c:strCache>
                <c:ptCount val="1"/>
                <c:pt idx="0">
                  <c:v>Avg YoY Inflation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3"/>
            <c:marker>
              <c:symbol val="circle"/>
              <c:size val="5"/>
              <c:spPr>
                <a:solidFill>
                  <a:srgbClr val="C00000"/>
                </a:solidFill>
                <a:ln w="9525">
                  <a:solidFill>
                    <a:schemeClr val="accent2"/>
                  </a:solidFill>
                </a:ln>
                <a:effectLst/>
              </c:spPr>
            </c:marker>
            <c:bubble3D val="0"/>
            <c:extLst>
              <c:ext xmlns:c16="http://schemas.microsoft.com/office/drawing/2014/chart" uri="{C3380CC4-5D6E-409C-BE32-E72D297353CC}">
                <c16:uniqueId val="{00000000-1516-C54B-AACE-2D5ED1736772}"/>
              </c:ext>
            </c:extLst>
          </c:dPt>
          <c:dPt>
            <c:idx val="5"/>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1-1516-C54B-AACE-2D5ED1736772}"/>
              </c:ext>
            </c:extLst>
          </c:dPt>
          <c:dLbls>
            <c:dLbl>
              <c:idx val="3"/>
              <c:tx>
                <c:rich>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ysClr val="windowText" lastClr="000000">
                            <a:lumMod val="75000"/>
                            <a:lumOff val="25000"/>
                          </a:sysClr>
                        </a:solidFill>
                        <a:latin typeface="+mn-lt"/>
                        <a:ea typeface="+mn-ea"/>
                        <a:cs typeface="+mn-cs"/>
                      </a:defRPr>
                    </a:pPr>
                    <a:r>
                      <a:rPr lang="en-US" sz="900" b="1" i="0" u="none" strike="noStrike" kern="1200" baseline="0">
                        <a:solidFill>
                          <a:sysClr val="windowText" lastClr="000000">
                            <a:lumMod val="75000"/>
                            <a:lumOff val="25000"/>
                          </a:sysClr>
                        </a:solidFill>
                      </a:rPr>
                      <a:t>Highest inflation (COVID impact)</a:t>
                    </a:r>
                    <a:endParaRPr lang="en-US" sz="900" b="0" i="0" u="none" strike="noStrike" kern="1200" baseline="0">
                      <a:solidFill>
                        <a:sysClr val="windowText" lastClr="000000">
                          <a:lumMod val="75000"/>
                          <a:lumOff val="25000"/>
                        </a:sysClr>
                      </a:solidFill>
                    </a:endParaRPr>
                  </a:p>
                </c:rich>
              </c:tx>
              <c:spPr>
                <a:noFill/>
                <a:ln>
                  <a:noFill/>
                </a:ln>
                <a:effectLst/>
              </c:spPr>
              <c:txPr>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1516-C54B-AACE-2D5ED17367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Q2_YoY_Inflation_Trend!$A$14:$A$20</c:f>
              <c:numCache>
                <c:formatCode>General</c:formatCode>
                <c:ptCount val="7"/>
                <c:pt idx="0">
                  <c:v>2017</c:v>
                </c:pt>
                <c:pt idx="1">
                  <c:v>2018</c:v>
                </c:pt>
                <c:pt idx="2">
                  <c:v>2019</c:v>
                </c:pt>
                <c:pt idx="3">
                  <c:v>2020</c:v>
                </c:pt>
                <c:pt idx="4">
                  <c:v>2021</c:v>
                </c:pt>
                <c:pt idx="5">
                  <c:v>2022</c:v>
                </c:pt>
                <c:pt idx="6">
                  <c:v>2023</c:v>
                </c:pt>
              </c:numCache>
            </c:numRef>
          </c:cat>
          <c:val>
            <c:numRef>
              <c:f>Q2_YoY_Inflation_Trend!$B$14:$B$20</c:f>
              <c:numCache>
                <c:formatCode>0.0%</c:formatCode>
                <c:ptCount val="7"/>
                <c:pt idx="0">
                  <c:v>3.327388537536536E-2</c:v>
                </c:pt>
                <c:pt idx="1">
                  <c:v>3.9676971910429099E-2</c:v>
                </c:pt>
                <c:pt idx="2">
                  <c:v>3.7704798059274527E-2</c:v>
                </c:pt>
                <c:pt idx="3">
                  <c:v>6.2670090668773396E-2</c:v>
                </c:pt>
                <c:pt idx="4">
                  <c:v>5.3818467080321342E-2</c:v>
                </c:pt>
                <c:pt idx="5">
                  <c:v>6.6240649804989227E-2</c:v>
                </c:pt>
                <c:pt idx="6">
                  <c:v>5.5756721664536081E-2</c:v>
                </c:pt>
              </c:numCache>
            </c:numRef>
          </c:val>
          <c:smooth val="0"/>
          <c:extLst>
            <c:ext xmlns:c16="http://schemas.microsoft.com/office/drawing/2014/chart" uri="{C3380CC4-5D6E-409C-BE32-E72D297353CC}">
              <c16:uniqueId val="{00000002-1516-C54B-AACE-2D5ED1736772}"/>
            </c:ext>
          </c:extLst>
        </c:ser>
        <c:dLbls>
          <c:showLegendKey val="0"/>
          <c:showVal val="0"/>
          <c:showCatName val="0"/>
          <c:showSerName val="0"/>
          <c:showPercent val="0"/>
          <c:showBubbleSize val="0"/>
        </c:dLbls>
        <c:marker val="1"/>
        <c:smooth val="0"/>
        <c:axId val="633548607"/>
        <c:axId val="524720703"/>
      </c:lineChart>
      <c:catAx>
        <c:axId val="63354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720703"/>
        <c:crosses val="autoZero"/>
        <c:auto val="1"/>
        <c:lblAlgn val="ctr"/>
        <c:lblOffset val="100"/>
        <c:noMultiLvlLbl val="0"/>
      </c:catAx>
      <c:valAx>
        <c:axId val="5247207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548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6">
                    <a:lumMod val="50000"/>
                  </a:schemeClr>
                </a:solidFill>
              </a:rPr>
              <a:t>Absolute Change in Food Prices (Jun-22 to May-23)</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1527601288227592E-2"/>
          <c:y val="0.17435024131165397"/>
          <c:w val="0.94349355662108458"/>
          <c:h val="0.75100722024843292"/>
        </c:manualLayout>
      </c:layout>
      <c:barChart>
        <c:barDir val="col"/>
        <c:grouping val="clustered"/>
        <c:varyColors val="0"/>
        <c:ser>
          <c:idx val="2"/>
          <c:order val="0"/>
          <c:tx>
            <c:strRef>
              <c:f>Sheet2!$D$19</c:f>
              <c:strCache>
                <c:ptCount val="1"/>
                <c:pt idx="0">
                  <c:v>Absolute Change</c:v>
                </c:pt>
              </c:strCache>
            </c:strRef>
          </c:tx>
          <c:spPr>
            <a:solidFill>
              <a:schemeClr val="accent3"/>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3B93-A949-9B3C-A0E0FBEFE16E}"/>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3B93-A949-9B3C-A0E0FBEFE16E}"/>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3B93-A949-9B3C-A0E0FBEFE16E}"/>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7-3B93-A949-9B3C-A0E0FBEFE16E}"/>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9-3B93-A949-9B3C-A0E0FBEFE16E}"/>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3B93-A949-9B3C-A0E0FBEFE16E}"/>
              </c:ext>
            </c:extLst>
          </c:dPt>
          <c:dPt>
            <c:idx val="6"/>
            <c:invertIfNegative val="0"/>
            <c:bubble3D val="0"/>
            <c:spPr>
              <a:solidFill>
                <a:schemeClr val="accent6"/>
              </a:solidFill>
              <a:ln>
                <a:noFill/>
              </a:ln>
              <a:effectLst/>
            </c:spPr>
            <c:extLst>
              <c:ext xmlns:c16="http://schemas.microsoft.com/office/drawing/2014/chart" uri="{C3380CC4-5D6E-409C-BE32-E72D297353CC}">
                <c16:uniqueId val="{0000000D-3B93-A949-9B3C-A0E0FBEFE16E}"/>
              </c:ext>
            </c:extLst>
          </c:dPt>
          <c:dPt>
            <c:idx val="7"/>
            <c:invertIfNegative val="0"/>
            <c:bubble3D val="0"/>
            <c:spPr>
              <a:solidFill>
                <a:schemeClr val="accent6"/>
              </a:solidFill>
              <a:ln>
                <a:noFill/>
              </a:ln>
              <a:effectLst/>
            </c:spPr>
            <c:extLst>
              <c:ext xmlns:c16="http://schemas.microsoft.com/office/drawing/2014/chart" uri="{C3380CC4-5D6E-409C-BE32-E72D297353CC}">
                <c16:uniqueId val="{0000000F-3B93-A949-9B3C-A0E0FBEFE16E}"/>
              </c:ext>
            </c:extLst>
          </c:dPt>
          <c:dPt>
            <c:idx val="8"/>
            <c:invertIfNegative val="0"/>
            <c:bubble3D val="0"/>
            <c:spPr>
              <a:solidFill>
                <a:schemeClr val="accent6"/>
              </a:solidFill>
              <a:ln>
                <a:noFill/>
              </a:ln>
              <a:effectLst/>
            </c:spPr>
            <c:extLst>
              <c:ext xmlns:c16="http://schemas.microsoft.com/office/drawing/2014/chart" uri="{C3380CC4-5D6E-409C-BE32-E72D297353CC}">
                <c16:uniqueId val="{00000011-3B93-A949-9B3C-A0E0FBEFE16E}"/>
              </c:ext>
            </c:extLst>
          </c:dPt>
          <c:dPt>
            <c:idx val="9"/>
            <c:invertIfNegative val="0"/>
            <c:bubble3D val="0"/>
            <c:spPr>
              <a:solidFill>
                <a:schemeClr val="accent6"/>
              </a:solidFill>
              <a:ln>
                <a:noFill/>
              </a:ln>
              <a:effectLst/>
            </c:spPr>
            <c:extLst>
              <c:ext xmlns:c16="http://schemas.microsoft.com/office/drawing/2014/chart" uri="{C3380CC4-5D6E-409C-BE32-E72D297353CC}">
                <c16:uniqueId val="{00000013-3B93-A949-9B3C-A0E0FBEFE16E}"/>
              </c:ext>
            </c:extLst>
          </c:dPt>
          <c:dPt>
            <c:idx val="10"/>
            <c:invertIfNegative val="0"/>
            <c:bubble3D val="0"/>
            <c:spPr>
              <a:solidFill>
                <a:srgbClr val="C00000"/>
              </a:solidFill>
              <a:ln>
                <a:noFill/>
              </a:ln>
              <a:effectLst/>
            </c:spPr>
            <c:extLst>
              <c:ext xmlns:c16="http://schemas.microsoft.com/office/drawing/2014/chart" uri="{C3380CC4-5D6E-409C-BE32-E72D297353CC}">
                <c16:uniqueId val="{00000015-3B93-A949-9B3C-A0E0FBEFE16E}"/>
              </c:ext>
            </c:extLst>
          </c:dPt>
          <c:dPt>
            <c:idx val="11"/>
            <c:invertIfNegative val="0"/>
            <c:bubble3D val="0"/>
            <c:spPr>
              <a:solidFill>
                <a:srgbClr val="C00000"/>
              </a:solidFill>
              <a:ln>
                <a:noFill/>
              </a:ln>
              <a:effectLst/>
            </c:spPr>
            <c:extLst>
              <c:ext xmlns:c16="http://schemas.microsoft.com/office/drawing/2014/chart" uri="{C3380CC4-5D6E-409C-BE32-E72D297353CC}">
                <c16:uniqueId val="{00000017-3B93-A949-9B3C-A0E0FBEFE16E}"/>
              </c:ext>
            </c:extLst>
          </c:dPt>
          <c:dPt>
            <c:idx val="12"/>
            <c:invertIfNegative val="0"/>
            <c:bubble3D val="0"/>
            <c:spPr>
              <a:solidFill>
                <a:srgbClr val="C00000"/>
              </a:solidFill>
              <a:ln>
                <a:noFill/>
              </a:ln>
              <a:effectLst/>
            </c:spPr>
            <c:extLst>
              <c:ext xmlns:c16="http://schemas.microsoft.com/office/drawing/2014/chart" uri="{C3380CC4-5D6E-409C-BE32-E72D297353CC}">
                <c16:uniqueId val="{00000019-3B93-A949-9B3C-A0E0FBEFE16E}"/>
              </c:ext>
            </c:extLst>
          </c:dPt>
          <c:cat>
            <c:strRef>
              <c:f>Sheet2!$A$20:$A$32</c:f>
              <c:strCache>
                <c:ptCount val="13"/>
                <c:pt idx="0">
                  <c:v>Spices</c:v>
                </c:pt>
                <c:pt idx="1">
                  <c:v>Cereals and products</c:v>
                </c:pt>
                <c:pt idx="2">
                  <c:v>Milk and products</c:v>
                </c:pt>
                <c:pt idx="3">
                  <c:v>Prepared meals, snacks, sweets etc.</c:v>
                </c:pt>
                <c:pt idx="4">
                  <c:v>Pulses and products</c:v>
                </c:pt>
                <c:pt idx="5">
                  <c:v>Egg</c:v>
                </c:pt>
                <c:pt idx="6">
                  <c:v>Non-alcoholic beverages</c:v>
                </c:pt>
                <c:pt idx="7">
                  <c:v>Fruits</c:v>
                </c:pt>
                <c:pt idx="8">
                  <c:v>Food and beverages</c:v>
                </c:pt>
                <c:pt idx="9">
                  <c:v>Sugar and Confectionery</c:v>
                </c:pt>
                <c:pt idx="10">
                  <c:v>Meat and fish</c:v>
                </c:pt>
                <c:pt idx="11">
                  <c:v>Vegetables</c:v>
                </c:pt>
                <c:pt idx="12">
                  <c:v>Oils and fats</c:v>
                </c:pt>
              </c:strCache>
            </c:strRef>
          </c:cat>
          <c:val>
            <c:numRef>
              <c:f>Sheet2!$D$20:$D$32</c:f>
              <c:numCache>
                <c:formatCode>General</c:formatCode>
                <c:ptCount val="13"/>
                <c:pt idx="0">
                  <c:v>28</c:v>
                </c:pt>
                <c:pt idx="1">
                  <c:v>19.700000000000017</c:v>
                </c:pt>
                <c:pt idx="2">
                  <c:v>13.5</c:v>
                </c:pt>
                <c:pt idx="3">
                  <c:v>11</c:v>
                </c:pt>
                <c:pt idx="4">
                  <c:v>8.7000000000000171</c:v>
                </c:pt>
                <c:pt idx="5">
                  <c:v>7.1999999999999886</c:v>
                </c:pt>
                <c:pt idx="6">
                  <c:v>5.8000000000000114</c:v>
                </c:pt>
                <c:pt idx="7">
                  <c:v>5.3000000000000114</c:v>
                </c:pt>
                <c:pt idx="8">
                  <c:v>4.5999999999999943</c:v>
                </c:pt>
                <c:pt idx="9">
                  <c:v>1.5999999999999943</c:v>
                </c:pt>
                <c:pt idx="10">
                  <c:v>-7.6999999999999886</c:v>
                </c:pt>
                <c:pt idx="11">
                  <c:v>-19.5</c:v>
                </c:pt>
                <c:pt idx="12">
                  <c:v>-27.5</c:v>
                </c:pt>
              </c:numCache>
            </c:numRef>
          </c:val>
          <c:extLst>
            <c:ext xmlns:c16="http://schemas.microsoft.com/office/drawing/2014/chart" uri="{C3380CC4-5D6E-409C-BE32-E72D297353CC}">
              <c16:uniqueId val="{0000001A-3B93-A949-9B3C-A0E0FBEFE16E}"/>
            </c:ext>
          </c:extLst>
        </c:ser>
        <c:dLbls>
          <c:showLegendKey val="0"/>
          <c:showVal val="0"/>
          <c:showCatName val="0"/>
          <c:showSerName val="0"/>
          <c:showPercent val="0"/>
          <c:showBubbleSize val="0"/>
        </c:dLbls>
        <c:gapWidth val="219"/>
        <c:overlap val="-27"/>
        <c:axId val="805036351"/>
        <c:axId val="805038143"/>
      </c:barChart>
      <c:catAx>
        <c:axId val="80503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05038143"/>
        <c:crosses val="autoZero"/>
        <c:auto val="1"/>
        <c:lblAlgn val="ctr"/>
        <c:lblOffset val="100"/>
        <c:noMultiLvlLbl val="0"/>
      </c:catAx>
      <c:valAx>
        <c:axId val="805038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036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6">
                    <a:lumMod val="50000"/>
                  </a:schemeClr>
                </a:solidFill>
              </a:rPr>
              <a:t>Top Food Items Driving Inflation (Jun-22 to May-23)</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strRef>
              <c:f>Sheet2!$D$19</c:f>
              <c:strCache>
                <c:ptCount val="1"/>
                <c:pt idx="0">
                  <c:v>Absolute Change</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Sheet2!$A$20:$A$24</c:f>
              <c:strCache>
                <c:ptCount val="5"/>
                <c:pt idx="0">
                  <c:v>Spices</c:v>
                </c:pt>
                <c:pt idx="1">
                  <c:v>Cereals and products</c:v>
                </c:pt>
                <c:pt idx="2">
                  <c:v>Milk and products</c:v>
                </c:pt>
                <c:pt idx="3">
                  <c:v>Prepared meals, snacks, sweets etc.</c:v>
                </c:pt>
                <c:pt idx="4">
                  <c:v>Pulses and products</c:v>
                </c:pt>
              </c:strCache>
            </c:strRef>
          </c:cat>
          <c:val>
            <c:numRef>
              <c:f>Sheet2!$D$20:$D$24</c:f>
              <c:numCache>
                <c:formatCode>General</c:formatCode>
                <c:ptCount val="5"/>
                <c:pt idx="0">
                  <c:v>28</c:v>
                </c:pt>
                <c:pt idx="1">
                  <c:v>19.700000000000017</c:v>
                </c:pt>
                <c:pt idx="2">
                  <c:v>13.5</c:v>
                </c:pt>
                <c:pt idx="3">
                  <c:v>11</c:v>
                </c:pt>
                <c:pt idx="4">
                  <c:v>8.7000000000000171</c:v>
                </c:pt>
              </c:numCache>
            </c:numRef>
          </c:val>
          <c:extLst>
            <c:ext xmlns:c16="http://schemas.microsoft.com/office/drawing/2014/chart" uri="{C3380CC4-5D6E-409C-BE32-E72D297353CC}">
              <c16:uniqueId val="{00000000-6050-FD4D-AE6E-F996B97D8C8A}"/>
            </c:ext>
          </c:extLst>
        </c:ser>
        <c:dLbls>
          <c:showLegendKey val="0"/>
          <c:showVal val="0"/>
          <c:showCatName val="0"/>
          <c:showSerName val="0"/>
          <c:showPercent val="0"/>
          <c:showBubbleSize val="0"/>
        </c:dLbls>
        <c:gapWidth val="219"/>
        <c:overlap val="-27"/>
        <c:axId val="1652673151"/>
        <c:axId val="728062079"/>
      </c:barChart>
      <c:catAx>
        <c:axId val="165267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8062079"/>
        <c:crosses val="autoZero"/>
        <c:auto val="1"/>
        <c:lblAlgn val="ctr"/>
        <c:lblOffset val="100"/>
        <c:noMultiLvlLbl val="0"/>
      </c:catAx>
      <c:valAx>
        <c:axId val="72806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673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Inflation Impact of COVID Across Key CPI Categories</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Sheet8!$AE$1</c:f>
              <c:strCache>
                <c:ptCount val="1"/>
                <c:pt idx="0">
                  <c:v>Pre-COVID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Sheet8!$AD$2:$AD$5</c:f>
              <c:strCache>
                <c:ptCount val="4"/>
                <c:pt idx="0">
                  <c:v>Overall CPI</c:v>
                </c:pt>
                <c:pt idx="1">
                  <c:v>Food</c:v>
                </c:pt>
                <c:pt idx="2">
                  <c:v>Health</c:v>
                </c:pt>
                <c:pt idx="3">
                  <c:v>Other</c:v>
                </c:pt>
              </c:strCache>
            </c:strRef>
          </c:cat>
          <c:val>
            <c:numRef>
              <c:f>Sheet8!$AE$2:$AE$5</c:f>
              <c:numCache>
                <c:formatCode>0.00%</c:formatCode>
                <c:ptCount val="4"/>
                <c:pt idx="0">
                  <c:v>3.9E-2</c:v>
                </c:pt>
                <c:pt idx="1">
                  <c:v>2.1999999999999999E-2</c:v>
                </c:pt>
                <c:pt idx="2">
                  <c:v>5.8000000000000003E-2</c:v>
                </c:pt>
                <c:pt idx="3">
                  <c:v>4.4999999999999998E-2</c:v>
                </c:pt>
              </c:numCache>
            </c:numRef>
          </c:val>
          <c:extLst>
            <c:ext xmlns:c16="http://schemas.microsoft.com/office/drawing/2014/chart" uri="{C3380CC4-5D6E-409C-BE32-E72D297353CC}">
              <c16:uniqueId val="{00000000-3976-EA4A-A803-47CFBA8B7C50}"/>
            </c:ext>
          </c:extLst>
        </c:ser>
        <c:ser>
          <c:idx val="1"/>
          <c:order val="1"/>
          <c:tx>
            <c:strRef>
              <c:f>Sheet8!$AF$1</c:f>
              <c:strCache>
                <c:ptCount val="1"/>
                <c:pt idx="0">
                  <c:v>COVID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Sheet8!$AD$2:$AD$5</c:f>
              <c:strCache>
                <c:ptCount val="4"/>
                <c:pt idx="0">
                  <c:v>Overall CPI</c:v>
                </c:pt>
                <c:pt idx="1">
                  <c:v>Food</c:v>
                </c:pt>
                <c:pt idx="2">
                  <c:v>Health</c:v>
                </c:pt>
                <c:pt idx="3">
                  <c:v>Other</c:v>
                </c:pt>
              </c:strCache>
            </c:strRef>
          </c:cat>
          <c:val>
            <c:numRef>
              <c:f>Sheet8!$AF$2:$AF$5</c:f>
              <c:numCache>
                <c:formatCode>0.00%</c:formatCode>
                <c:ptCount val="4"/>
                <c:pt idx="0">
                  <c:v>5.7000000000000002E-2</c:v>
                </c:pt>
                <c:pt idx="1">
                  <c:v>7.2999999999999995E-2</c:v>
                </c:pt>
                <c:pt idx="2">
                  <c:v>6.4000000000000001E-2</c:v>
                </c:pt>
                <c:pt idx="3">
                  <c:v>6.0999999999999999E-2</c:v>
                </c:pt>
              </c:numCache>
            </c:numRef>
          </c:val>
          <c:extLst>
            <c:ext xmlns:c16="http://schemas.microsoft.com/office/drawing/2014/chart" uri="{C3380CC4-5D6E-409C-BE32-E72D297353CC}">
              <c16:uniqueId val="{00000001-3976-EA4A-A803-47CFBA8B7C50}"/>
            </c:ext>
          </c:extLst>
        </c:ser>
        <c:dLbls>
          <c:showLegendKey val="0"/>
          <c:showVal val="0"/>
          <c:showCatName val="0"/>
          <c:showSerName val="0"/>
          <c:showPercent val="0"/>
          <c:showBubbleSize val="0"/>
        </c:dLbls>
        <c:gapWidth val="219"/>
        <c:overlap val="-27"/>
        <c:axId val="1353780735"/>
        <c:axId val="1353782975"/>
      </c:barChart>
      <c:catAx>
        <c:axId val="135378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782975"/>
        <c:crosses val="autoZero"/>
        <c:auto val="1"/>
        <c:lblAlgn val="ctr"/>
        <c:lblOffset val="100"/>
        <c:noMultiLvlLbl val="0"/>
      </c:catAx>
      <c:valAx>
        <c:axId val="13537829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780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Imported Crude Oil Price – MoM Change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Sheet4!$C$1</c:f>
              <c:strCache>
                <c:ptCount val="1"/>
                <c:pt idx="0">
                  <c:v>Fuel MoM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1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856-8449-9B38-1CBC3CD5DC5B}"/>
                </c:ext>
              </c:extLst>
            </c:dLbl>
            <c:dLbl>
              <c:idx val="1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856-8449-9B38-1CBC3CD5DC5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Sheet4!$A$2:$A$30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Sheet4!$B$1:$B$30</c:f>
              <c:numCache>
                <c:formatCode>0.0%</c:formatCode>
                <c:ptCount val="30"/>
                <c:pt idx="0" formatCode="General">
                  <c:v>0</c:v>
                </c:pt>
                <c:pt idx="1">
                  <c:v>0.15686274509803921</c:v>
                </c:pt>
                <c:pt idx="2">
                  <c:v>6.7796610169491525E-2</c:v>
                </c:pt>
                <c:pt idx="3">
                  <c:v>-1.5873015873015872E-2</c:v>
                </c:pt>
                <c:pt idx="4">
                  <c:v>6.4516129032258063E-2</c:v>
                </c:pt>
                <c:pt idx="5">
                  <c:v>9.0909090909090912E-2</c:v>
                </c:pt>
                <c:pt idx="6">
                  <c:v>2.7777777777777776E-2</c:v>
                </c:pt>
                <c:pt idx="7">
                  <c:v>-6.7567567567567571E-2</c:v>
                </c:pt>
                <c:pt idx="8">
                  <c:v>4.3478260869565216E-2</c:v>
                </c:pt>
                <c:pt idx="9">
                  <c:v>0.1388888888888889</c:v>
                </c:pt>
                <c:pt idx="10">
                  <c:v>-3.6585365853658534E-2</c:v>
                </c:pt>
                <c:pt idx="11">
                  <c:v>-6.3291139240506333E-2</c:v>
                </c:pt>
                <c:pt idx="12">
                  <c:v>0.13513513513513514</c:v>
                </c:pt>
                <c:pt idx="13">
                  <c:v>0.14285714285714285</c:v>
                </c:pt>
                <c:pt idx="14">
                  <c:v>0.22916666666666666</c:v>
                </c:pt>
                <c:pt idx="15">
                  <c:v>-0.11016949152542373</c:v>
                </c:pt>
                <c:pt idx="16">
                  <c:v>7.6190476190476197E-2</c:v>
                </c:pt>
                <c:pt idx="17">
                  <c:v>3.5398230088495575E-2</c:v>
                </c:pt>
                <c:pt idx="18">
                  <c:v>-0.10256410256410256</c:v>
                </c:pt>
                <c:pt idx="19">
                  <c:v>-7.6190476190476197E-2</c:v>
                </c:pt>
                <c:pt idx="20">
                  <c:v>-7.2164948453608241E-2</c:v>
                </c:pt>
                <c:pt idx="21">
                  <c:v>3.3333333333333333E-2</c:v>
                </c:pt>
                <c:pt idx="22">
                  <c:v>-5.3763440860215055E-2</c:v>
                </c:pt>
                <c:pt idx="23">
                  <c:v>-6.8181818181818177E-2</c:v>
                </c:pt>
                <c:pt idx="24">
                  <c:v>3.6585365853658534E-2</c:v>
                </c:pt>
                <c:pt idx="25">
                  <c:v>-2.3529411764705882E-2</c:v>
                </c:pt>
                <c:pt idx="26">
                  <c:v>-4.8192771084337352E-2</c:v>
                </c:pt>
                <c:pt idx="27">
                  <c:v>6.3291139240506333E-2</c:v>
                </c:pt>
                <c:pt idx="28">
                  <c:v>-9.5238095238095233E-2</c:v>
                </c:pt>
              </c:numCache>
            </c:numRef>
          </c:val>
          <c:smooth val="0"/>
          <c:extLst>
            <c:ext xmlns:c16="http://schemas.microsoft.com/office/drawing/2014/chart" uri="{C3380CC4-5D6E-409C-BE32-E72D297353CC}">
              <c16:uniqueId val="{00000002-2856-8449-9B38-1CBC3CD5DC5B}"/>
            </c:ext>
          </c:extLst>
        </c:ser>
        <c:dLbls>
          <c:showLegendKey val="0"/>
          <c:showVal val="0"/>
          <c:showCatName val="0"/>
          <c:showSerName val="0"/>
          <c:showPercent val="0"/>
          <c:showBubbleSize val="0"/>
        </c:dLbls>
        <c:marker val="1"/>
        <c:smooth val="0"/>
        <c:axId val="1282627711"/>
        <c:axId val="1259339071"/>
      </c:lineChart>
      <c:dateAx>
        <c:axId val="128262771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339071"/>
        <c:crosses val="autoZero"/>
        <c:auto val="1"/>
        <c:lblOffset val="100"/>
        <c:baseTimeUnit val="months"/>
      </c:dateAx>
      <c:valAx>
        <c:axId val="12593390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62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Relationship Between Oil Price Change and Fuel Inflation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Sheet4!$C$1</c:f>
              <c:strCache>
                <c:ptCount val="1"/>
                <c:pt idx="0">
                  <c:v>Fuel MoM %</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Sheet4!$B$2:$B$30</c:f>
              <c:numCache>
                <c:formatCode>0.0%</c:formatCode>
                <c:ptCount val="29"/>
                <c:pt idx="0">
                  <c:v>0.15686274509803921</c:v>
                </c:pt>
                <c:pt idx="1">
                  <c:v>6.7796610169491525E-2</c:v>
                </c:pt>
                <c:pt idx="2">
                  <c:v>-1.5873015873015872E-2</c:v>
                </c:pt>
                <c:pt idx="3">
                  <c:v>6.4516129032258063E-2</c:v>
                </c:pt>
                <c:pt idx="4">
                  <c:v>9.0909090909090912E-2</c:v>
                </c:pt>
                <c:pt idx="5">
                  <c:v>2.7777777777777776E-2</c:v>
                </c:pt>
                <c:pt idx="6">
                  <c:v>-6.7567567567567571E-2</c:v>
                </c:pt>
                <c:pt idx="7">
                  <c:v>4.3478260869565216E-2</c:v>
                </c:pt>
                <c:pt idx="8">
                  <c:v>0.1388888888888889</c:v>
                </c:pt>
                <c:pt idx="9">
                  <c:v>-3.6585365853658534E-2</c:v>
                </c:pt>
                <c:pt idx="10">
                  <c:v>-6.3291139240506333E-2</c:v>
                </c:pt>
                <c:pt idx="11">
                  <c:v>0.13513513513513514</c:v>
                </c:pt>
                <c:pt idx="12">
                  <c:v>0.14285714285714285</c:v>
                </c:pt>
                <c:pt idx="13">
                  <c:v>0.22916666666666666</c:v>
                </c:pt>
                <c:pt idx="14">
                  <c:v>-0.11016949152542373</c:v>
                </c:pt>
                <c:pt idx="15">
                  <c:v>7.6190476190476197E-2</c:v>
                </c:pt>
                <c:pt idx="16">
                  <c:v>3.5398230088495575E-2</c:v>
                </c:pt>
                <c:pt idx="17">
                  <c:v>-0.10256410256410256</c:v>
                </c:pt>
                <c:pt idx="18">
                  <c:v>-7.6190476190476197E-2</c:v>
                </c:pt>
                <c:pt idx="19">
                  <c:v>-7.2164948453608241E-2</c:v>
                </c:pt>
                <c:pt idx="20">
                  <c:v>3.3333333333333333E-2</c:v>
                </c:pt>
                <c:pt idx="21">
                  <c:v>-5.3763440860215055E-2</c:v>
                </c:pt>
                <c:pt idx="22">
                  <c:v>-6.8181818181818177E-2</c:v>
                </c:pt>
                <c:pt idx="23">
                  <c:v>3.6585365853658534E-2</c:v>
                </c:pt>
                <c:pt idx="24">
                  <c:v>-2.3529411764705882E-2</c:v>
                </c:pt>
                <c:pt idx="25">
                  <c:v>-4.8192771084337352E-2</c:v>
                </c:pt>
                <c:pt idx="26">
                  <c:v>6.3291139240506333E-2</c:v>
                </c:pt>
                <c:pt idx="27">
                  <c:v>-9.5238095238095233E-2</c:v>
                </c:pt>
              </c:numCache>
            </c:numRef>
          </c:xVal>
          <c:yVal>
            <c:numRef>
              <c:f>Sheet4!$C$2:$C$30</c:f>
              <c:numCache>
                <c:formatCode>0.0%</c:formatCode>
                <c:ptCount val="29"/>
                <c:pt idx="0">
                  <c:v>2.2821576763485556E-2</c:v>
                </c:pt>
                <c:pt idx="1">
                  <c:v>3.0425963488843813E-2</c:v>
                </c:pt>
                <c:pt idx="2">
                  <c:v>2.0341207349081326E-2</c:v>
                </c:pt>
                <c:pt idx="3">
                  <c:v>6.4308681672022071E-4</c:v>
                </c:pt>
                <c:pt idx="4">
                  <c:v>2.4421593830334265E-2</c:v>
                </c:pt>
                <c:pt idx="5">
                  <c:v>2.5094102885822186E-3</c:v>
                </c:pt>
                <c:pt idx="6">
                  <c:v>5.6320400500624356E-3</c:v>
                </c:pt>
                <c:pt idx="7">
                  <c:v>1.1823273179838244E-2</c:v>
                </c:pt>
                <c:pt idx="8">
                  <c:v>0</c:v>
                </c:pt>
                <c:pt idx="9">
                  <c:v>9.8400984009839754E-3</c:v>
                </c:pt>
                <c:pt idx="10">
                  <c:v>-1.8270401948841837E-3</c:v>
                </c:pt>
                <c:pt idx="11">
                  <c:v>1.2202562538132314E-3</c:v>
                </c:pt>
                <c:pt idx="12">
                  <c:v>6.0938452163311586E-4</c:v>
                </c:pt>
                <c:pt idx="13">
                  <c:v>9.1352009744214372E-3</c:v>
                </c:pt>
                <c:pt idx="14">
                  <c:v>9.0525045262522634E-3</c:v>
                </c:pt>
                <c:pt idx="15">
                  <c:v>2.9904306220095697E-2</c:v>
                </c:pt>
                <c:pt idx="16">
                  <c:v>1.3937282229965191E-2</c:v>
                </c:pt>
                <c:pt idx="17">
                  <c:v>8.0183276059565042E-3</c:v>
                </c:pt>
                <c:pt idx="18">
                  <c:v>2.0454545454545423E-2</c:v>
                </c:pt>
                <c:pt idx="19">
                  <c:v>-4.4543429844097048E-3</c:v>
                </c:pt>
                <c:pt idx="20">
                  <c:v>3.9149888143176093E-3</c:v>
                </c:pt>
                <c:pt idx="21">
                  <c:v>5.5710306406685237E-3</c:v>
                </c:pt>
                <c:pt idx="22">
                  <c:v>4.4321329639889825E-3</c:v>
                </c:pt>
                <c:pt idx="23">
                  <c:v>3.8610038610037982E-3</c:v>
                </c:pt>
                <c:pt idx="24">
                  <c:v>0</c:v>
                </c:pt>
                <c:pt idx="25">
                  <c:v>5.4945054945051823E-4</c:v>
                </c:pt>
                <c:pt idx="26">
                  <c:v>-1.0982976386600144E-3</c:v>
                </c:pt>
                <c:pt idx="27">
                  <c:v>-1.0995052226499013E-3</c:v>
                </c:pt>
                <c:pt idx="28">
                  <c:v>6.0539350577876877E-3</c:v>
                </c:pt>
              </c:numCache>
            </c:numRef>
          </c:yVal>
          <c:smooth val="0"/>
          <c:extLst>
            <c:ext xmlns:c16="http://schemas.microsoft.com/office/drawing/2014/chart" uri="{C3380CC4-5D6E-409C-BE32-E72D297353CC}">
              <c16:uniqueId val="{00000001-3651-DB4B-AF58-68DE6AD95D26}"/>
            </c:ext>
          </c:extLst>
        </c:ser>
        <c:dLbls>
          <c:showLegendKey val="0"/>
          <c:showVal val="0"/>
          <c:showCatName val="0"/>
          <c:showSerName val="0"/>
          <c:showPercent val="0"/>
          <c:showBubbleSize val="0"/>
        </c:dLbls>
        <c:axId val="1252889407"/>
        <c:axId val="1252890303"/>
      </c:scatterChart>
      <c:valAx>
        <c:axId val="125288940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890303"/>
        <c:crosses val="autoZero"/>
        <c:crossBetween val="midCat"/>
      </c:valAx>
      <c:valAx>
        <c:axId val="12528903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8894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accent6">
                    <a:lumMod val="50000"/>
                  </a:schemeClr>
                </a:solidFill>
              </a:rPr>
              <a:t>Oil Price Change vs Food Inflation (Weak Relationship)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Sheet4!$B$1</c:f>
              <c:strCache>
                <c:ptCount val="1"/>
                <c:pt idx="0">
                  <c:v>Oil MoM %</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yVal>
            <c:numRef>
              <c:f>Sheet4!$B$2:$B$29</c:f>
              <c:numCache>
                <c:formatCode>0.0%</c:formatCode>
                <c:ptCount val="28"/>
                <c:pt idx="0">
                  <c:v>0.15686274509803921</c:v>
                </c:pt>
                <c:pt idx="1">
                  <c:v>6.7796610169491525E-2</c:v>
                </c:pt>
                <c:pt idx="2">
                  <c:v>-1.5873015873015872E-2</c:v>
                </c:pt>
                <c:pt idx="3">
                  <c:v>6.4516129032258063E-2</c:v>
                </c:pt>
                <c:pt idx="4">
                  <c:v>9.0909090909090912E-2</c:v>
                </c:pt>
                <c:pt idx="5">
                  <c:v>2.7777777777777776E-2</c:v>
                </c:pt>
                <c:pt idx="6">
                  <c:v>-6.7567567567567571E-2</c:v>
                </c:pt>
                <c:pt idx="7">
                  <c:v>4.3478260869565216E-2</c:v>
                </c:pt>
                <c:pt idx="8">
                  <c:v>0.1388888888888889</c:v>
                </c:pt>
                <c:pt idx="9">
                  <c:v>-3.6585365853658534E-2</c:v>
                </c:pt>
                <c:pt idx="10">
                  <c:v>-6.3291139240506333E-2</c:v>
                </c:pt>
                <c:pt idx="11">
                  <c:v>0.13513513513513514</c:v>
                </c:pt>
                <c:pt idx="12">
                  <c:v>0.14285714285714285</c:v>
                </c:pt>
                <c:pt idx="13">
                  <c:v>0.22916666666666666</c:v>
                </c:pt>
                <c:pt idx="14">
                  <c:v>-0.11016949152542373</c:v>
                </c:pt>
                <c:pt idx="15">
                  <c:v>7.6190476190476197E-2</c:v>
                </c:pt>
                <c:pt idx="16">
                  <c:v>3.5398230088495575E-2</c:v>
                </c:pt>
                <c:pt idx="17">
                  <c:v>-0.10256410256410256</c:v>
                </c:pt>
                <c:pt idx="18">
                  <c:v>-7.6190476190476197E-2</c:v>
                </c:pt>
                <c:pt idx="19">
                  <c:v>-7.2164948453608241E-2</c:v>
                </c:pt>
                <c:pt idx="20">
                  <c:v>3.3333333333333333E-2</c:v>
                </c:pt>
                <c:pt idx="21">
                  <c:v>-5.3763440860215055E-2</c:v>
                </c:pt>
                <c:pt idx="22">
                  <c:v>-6.8181818181818177E-2</c:v>
                </c:pt>
                <c:pt idx="23">
                  <c:v>3.6585365853658534E-2</c:v>
                </c:pt>
                <c:pt idx="24">
                  <c:v>-2.3529411764705882E-2</c:v>
                </c:pt>
                <c:pt idx="25">
                  <c:v>-4.8192771084337352E-2</c:v>
                </c:pt>
                <c:pt idx="26">
                  <c:v>6.3291139240506333E-2</c:v>
                </c:pt>
                <c:pt idx="27">
                  <c:v>-9.5238095238095233E-2</c:v>
                </c:pt>
              </c:numCache>
            </c:numRef>
          </c:yVal>
          <c:smooth val="0"/>
          <c:extLst>
            <c:ext xmlns:c16="http://schemas.microsoft.com/office/drawing/2014/chart" uri="{C3380CC4-5D6E-409C-BE32-E72D297353CC}">
              <c16:uniqueId val="{00000001-2F00-0F47-91FE-E9BCD3E7DFF2}"/>
            </c:ext>
          </c:extLst>
        </c:ser>
        <c:ser>
          <c:idx val="1"/>
          <c:order val="1"/>
          <c:tx>
            <c:strRef>
              <c:f>Sheet4!$E$1</c:f>
              <c:strCache>
                <c:ptCount val="1"/>
                <c:pt idx="0">
                  <c:v>Food MoM %</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yVal>
            <c:numRef>
              <c:f>Sheet4!$E$2:$E$30</c:f>
              <c:numCache>
                <c:formatCode>0.0%</c:formatCode>
                <c:ptCount val="29"/>
                <c:pt idx="0">
                  <c:v>7.1968213106497106E-2</c:v>
                </c:pt>
                <c:pt idx="1">
                  <c:v>6.8877406166600527E-2</c:v>
                </c:pt>
                <c:pt idx="2">
                  <c:v>7.7984540509590569E-2</c:v>
                </c:pt>
                <c:pt idx="3">
                  <c:v>5.289032507526182E-2</c:v>
                </c:pt>
                <c:pt idx="4">
                  <c:v>8.091586084250299E-2</c:v>
                </c:pt>
                <c:pt idx="5">
                  <c:v>8.7433804060017509E-2</c:v>
                </c:pt>
                <c:pt idx="6">
                  <c:v>9.3887908208296567E-2</c:v>
                </c:pt>
                <c:pt idx="7">
                  <c:v>7.6052660211076289E-2</c:v>
                </c:pt>
                <c:pt idx="8">
                  <c:v>6.9767441860465115E-2</c:v>
                </c:pt>
                <c:pt idx="9">
                  <c:v>6.390419669351427E-2</c:v>
                </c:pt>
                <c:pt idx="10">
                  <c:v>4.8423015174271007E-2</c:v>
                </c:pt>
                <c:pt idx="11">
                  <c:v>3.5499305448371661E-2</c:v>
                </c:pt>
                <c:pt idx="12">
                  <c:v>4.2965283215870634E-2</c:v>
                </c:pt>
                <c:pt idx="13">
                  <c:v>5.9817254568635916E-2</c:v>
                </c:pt>
                <c:pt idx="14">
                  <c:v>7.069634036224591E-2</c:v>
                </c:pt>
                <c:pt idx="15">
                  <c:v>7.2084360736582656E-2</c:v>
                </c:pt>
                <c:pt idx="16">
                  <c:v>6.2005141388174874E-2</c:v>
                </c:pt>
                <c:pt idx="17">
                  <c:v>5.8692233551463406E-2</c:v>
                </c:pt>
                <c:pt idx="18">
                  <c:v>5.461422087745825E-2</c:v>
                </c:pt>
                <c:pt idx="19">
                  <c:v>5.8088978766430668E-2</c:v>
                </c:pt>
                <c:pt idx="20">
                  <c:v>6.3245702730030232E-2</c:v>
                </c:pt>
                <c:pt idx="21">
                  <c:v>5.4736527542583902E-2</c:v>
                </c:pt>
                <c:pt idx="22">
                  <c:v>4.6482908516103552E-2</c:v>
                </c:pt>
                <c:pt idx="23">
                  <c:v>4.7100909226412316E-2</c:v>
                </c:pt>
                <c:pt idx="24">
                  <c:v>5.9165081589748862E-2</c:v>
                </c:pt>
                <c:pt idx="25">
                  <c:v>5.3684210526315508E-2</c:v>
                </c:pt>
                <c:pt idx="26">
                  <c:v>4.286139497966044E-2</c:v>
                </c:pt>
                <c:pt idx="27">
                  <c:v>3.3374113041350642E-2</c:v>
                </c:pt>
                <c:pt idx="28">
                  <c:v>3.0112316034082126E-2</c:v>
                </c:pt>
              </c:numCache>
            </c:numRef>
          </c:yVal>
          <c:smooth val="0"/>
          <c:extLst>
            <c:ext xmlns:c16="http://schemas.microsoft.com/office/drawing/2014/chart" uri="{C3380CC4-5D6E-409C-BE32-E72D297353CC}">
              <c16:uniqueId val="{00000003-2F00-0F47-91FE-E9BCD3E7DFF2}"/>
            </c:ext>
          </c:extLst>
        </c:ser>
        <c:dLbls>
          <c:showLegendKey val="0"/>
          <c:showVal val="0"/>
          <c:showCatName val="0"/>
          <c:showSerName val="0"/>
          <c:showPercent val="0"/>
          <c:showBubbleSize val="0"/>
        </c:dLbls>
        <c:axId val="1237899391"/>
        <c:axId val="1237901183"/>
      </c:scatterChart>
      <c:valAx>
        <c:axId val="123789939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901183"/>
        <c:crosses val="autoZero"/>
        <c:crossBetween val="midCat"/>
      </c:valAx>
      <c:valAx>
        <c:axId val="12379011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8993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accent6">
                    <a:lumMod val="50000"/>
                  </a:schemeClr>
                </a:solidFill>
              </a:rPr>
              <a:t>Oil Price Change vs Transport Inflation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Sheet4!$B$1</c:f>
              <c:strCache>
                <c:ptCount val="1"/>
                <c:pt idx="0">
                  <c:v>Oil MoM %</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yVal>
            <c:numRef>
              <c:f>Sheet4!$B$2:$B$29</c:f>
              <c:numCache>
                <c:formatCode>0.0%</c:formatCode>
                <c:ptCount val="28"/>
                <c:pt idx="0">
                  <c:v>0.15686274509803921</c:v>
                </c:pt>
                <c:pt idx="1">
                  <c:v>6.7796610169491525E-2</c:v>
                </c:pt>
                <c:pt idx="2">
                  <c:v>-1.5873015873015872E-2</c:v>
                </c:pt>
                <c:pt idx="3">
                  <c:v>6.4516129032258063E-2</c:v>
                </c:pt>
                <c:pt idx="4">
                  <c:v>9.0909090909090912E-2</c:v>
                </c:pt>
                <c:pt idx="5">
                  <c:v>2.7777777777777776E-2</c:v>
                </c:pt>
                <c:pt idx="6">
                  <c:v>-6.7567567567567571E-2</c:v>
                </c:pt>
                <c:pt idx="7">
                  <c:v>4.3478260869565216E-2</c:v>
                </c:pt>
                <c:pt idx="8">
                  <c:v>0.1388888888888889</c:v>
                </c:pt>
                <c:pt idx="9">
                  <c:v>-3.6585365853658534E-2</c:v>
                </c:pt>
                <c:pt idx="10">
                  <c:v>-6.3291139240506333E-2</c:v>
                </c:pt>
                <c:pt idx="11">
                  <c:v>0.13513513513513514</c:v>
                </c:pt>
                <c:pt idx="12">
                  <c:v>0.14285714285714285</c:v>
                </c:pt>
                <c:pt idx="13">
                  <c:v>0.22916666666666666</c:v>
                </c:pt>
                <c:pt idx="14">
                  <c:v>-0.11016949152542373</c:v>
                </c:pt>
                <c:pt idx="15">
                  <c:v>7.6190476190476197E-2</c:v>
                </c:pt>
                <c:pt idx="16">
                  <c:v>3.5398230088495575E-2</c:v>
                </c:pt>
                <c:pt idx="17">
                  <c:v>-0.10256410256410256</c:v>
                </c:pt>
                <c:pt idx="18">
                  <c:v>-7.6190476190476197E-2</c:v>
                </c:pt>
                <c:pt idx="19">
                  <c:v>-7.2164948453608241E-2</c:v>
                </c:pt>
                <c:pt idx="20">
                  <c:v>3.3333333333333333E-2</c:v>
                </c:pt>
                <c:pt idx="21">
                  <c:v>-5.3763440860215055E-2</c:v>
                </c:pt>
                <c:pt idx="22">
                  <c:v>-6.8181818181818177E-2</c:v>
                </c:pt>
                <c:pt idx="23">
                  <c:v>3.6585365853658534E-2</c:v>
                </c:pt>
                <c:pt idx="24">
                  <c:v>-2.3529411764705882E-2</c:v>
                </c:pt>
                <c:pt idx="25">
                  <c:v>-4.8192771084337352E-2</c:v>
                </c:pt>
                <c:pt idx="26">
                  <c:v>6.3291139240506333E-2</c:v>
                </c:pt>
                <c:pt idx="27">
                  <c:v>-9.5238095238095233E-2</c:v>
                </c:pt>
              </c:numCache>
            </c:numRef>
          </c:yVal>
          <c:smooth val="0"/>
          <c:extLst>
            <c:ext xmlns:c16="http://schemas.microsoft.com/office/drawing/2014/chart" uri="{C3380CC4-5D6E-409C-BE32-E72D297353CC}">
              <c16:uniqueId val="{00000001-2A29-484A-BE5B-DB1BAACFAD37}"/>
            </c:ext>
          </c:extLst>
        </c:ser>
        <c:ser>
          <c:idx val="1"/>
          <c:order val="1"/>
          <c:tx>
            <c:strRef>
              <c:f>Sheet4!$D$1</c:f>
              <c:strCache>
                <c:ptCount val="1"/>
                <c:pt idx="0">
                  <c:v>Transport MoM %</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yVal>
            <c:numRef>
              <c:f>Sheet4!$D$2:$D$30</c:f>
              <c:numCache>
                <c:formatCode>0.0%</c:formatCode>
                <c:ptCount val="29"/>
                <c:pt idx="0">
                  <c:v>8.5287846481877545E-3</c:v>
                </c:pt>
                <c:pt idx="1">
                  <c:v>2.2551092318534097E-2</c:v>
                </c:pt>
                <c:pt idx="2">
                  <c:v>7.5809786354238068E-3</c:v>
                </c:pt>
                <c:pt idx="3">
                  <c:v>2.7359781121751416E-3</c:v>
                </c:pt>
                <c:pt idx="4">
                  <c:v>1.568894952251031E-2</c:v>
                </c:pt>
                <c:pt idx="5">
                  <c:v>1.2088650100738636E-2</c:v>
                </c:pt>
                <c:pt idx="6">
                  <c:v>1.5925680159256841E-2</c:v>
                </c:pt>
                <c:pt idx="7">
                  <c:v>5.8785107772697954E-3</c:v>
                </c:pt>
                <c:pt idx="8">
                  <c:v>0</c:v>
                </c:pt>
                <c:pt idx="9">
                  <c:v>1.1038961038960965E-2</c:v>
                </c:pt>
                <c:pt idx="10">
                  <c:v>-5.7803468208091026E-3</c:v>
                </c:pt>
                <c:pt idx="11">
                  <c:v>5.8139534883719455E-3</c:v>
                </c:pt>
                <c:pt idx="12">
                  <c:v>5.1380860629416276E-3</c:v>
                </c:pt>
                <c:pt idx="13">
                  <c:v>2.5559105431310269E-3</c:v>
                </c:pt>
                <c:pt idx="14">
                  <c:v>6.3734862970044612E-3</c:v>
                </c:pt>
                <c:pt idx="15">
                  <c:v>2.9765674477517344E-2</c:v>
                </c:pt>
                <c:pt idx="16">
                  <c:v>2.4600246002460377E-3</c:v>
                </c:pt>
                <c:pt idx="17">
                  <c:v>-1.1656441717791446E-2</c:v>
                </c:pt>
                <c:pt idx="18">
                  <c:v>3.1036623215394167E-3</c:v>
                </c:pt>
                <c:pt idx="19">
                  <c:v>1.8564356435644268E-3</c:v>
                </c:pt>
                <c:pt idx="20">
                  <c:v>2.470660901791264E-3</c:v>
                </c:pt>
                <c:pt idx="21">
                  <c:v>3.6968576709796321E-3</c:v>
                </c:pt>
                <c:pt idx="22">
                  <c:v>6.1387354205030267E-4</c:v>
                </c:pt>
                <c:pt idx="23">
                  <c:v>2.4539877300613845E-3</c:v>
                </c:pt>
                <c:pt idx="24">
                  <c:v>1.2239902080782657E-3</c:v>
                </c:pt>
                <c:pt idx="25">
                  <c:v>3.6674816625916523E-3</c:v>
                </c:pt>
                <c:pt idx="26">
                  <c:v>0</c:v>
                </c:pt>
                <c:pt idx="27">
                  <c:v>1.8270401948843567E-3</c:v>
                </c:pt>
                <c:pt idx="28">
                  <c:v>1.8237082066869992E-3</c:v>
                </c:pt>
              </c:numCache>
            </c:numRef>
          </c:yVal>
          <c:smooth val="0"/>
          <c:extLst>
            <c:ext xmlns:c16="http://schemas.microsoft.com/office/drawing/2014/chart" uri="{C3380CC4-5D6E-409C-BE32-E72D297353CC}">
              <c16:uniqueId val="{00000003-2A29-484A-BE5B-DB1BAACFAD37}"/>
            </c:ext>
          </c:extLst>
        </c:ser>
        <c:dLbls>
          <c:showLegendKey val="0"/>
          <c:showVal val="0"/>
          <c:showCatName val="0"/>
          <c:showSerName val="0"/>
          <c:showPercent val="0"/>
          <c:showBubbleSize val="0"/>
        </c:dLbls>
        <c:axId val="1237726335"/>
        <c:axId val="1251317887"/>
      </c:scatterChart>
      <c:valAx>
        <c:axId val="1237726335"/>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317887"/>
        <c:crosses val="autoZero"/>
        <c:crossBetween val="midCat"/>
      </c:valAx>
      <c:valAx>
        <c:axId val="12513178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72633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Oil Price Volatility vs Inflation Components (MoM)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Sheet4!$B$1</c:f>
              <c:strCache>
                <c:ptCount val="1"/>
                <c:pt idx="0">
                  <c:v>Oil MoM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Sheet4!$A$2:$A$30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Sheet4!$B$2:$B$30</c:f>
              <c:numCache>
                <c:formatCode>0.0%</c:formatCode>
                <c:ptCount val="29"/>
                <c:pt idx="0">
                  <c:v>0.15686274509803921</c:v>
                </c:pt>
                <c:pt idx="1">
                  <c:v>6.7796610169491525E-2</c:v>
                </c:pt>
                <c:pt idx="2">
                  <c:v>-1.5873015873015872E-2</c:v>
                </c:pt>
                <c:pt idx="3">
                  <c:v>6.4516129032258063E-2</c:v>
                </c:pt>
                <c:pt idx="4">
                  <c:v>9.0909090909090912E-2</c:v>
                </c:pt>
                <c:pt idx="5">
                  <c:v>2.7777777777777776E-2</c:v>
                </c:pt>
                <c:pt idx="6">
                  <c:v>-6.7567567567567571E-2</c:v>
                </c:pt>
                <c:pt idx="7">
                  <c:v>4.3478260869565216E-2</c:v>
                </c:pt>
                <c:pt idx="8">
                  <c:v>0.1388888888888889</c:v>
                </c:pt>
                <c:pt idx="9">
                  <c:v>-3.6585365853658534E-2</c:v>
                </c:pt>
                <c:pt idx="10">
                  <c:v>-6.3291139240506333E-2</c:v>
                </c:pt>
                <c:pt idx="11">
                  <c:v>0.13513513513513514</c:v>
                </c:pt>
                <c:pt idx="12">
                  <c:v>0.14285714285714285</c:v>
                </c:pt>
                <c:pt idx="13">
                  <c:v>0.22916666666666666</c:v>
                </c:pt>
                <c:pt idx="14">
                  <c:v>-0.11016949152542373</c:v>
                </c:pt>
                <c:pt idx="15">
                  <c:v>7.6190476190476197E-2</c:v>
                </c:pt>
                <c:pt idx="16">
                  <c:v>3.5398230088495575E-2</c:v>
                </c:pt>
                <c:pt idx="17">
                  <c:v>-0.10256410256410256</c:v>
                </c:pt>
                <c:pt idx="18">
                  <c:v>-7.6190476190476197E-2</c:v>
                </c:pt>
                <c:pt idx="19">
                  <c:v>-7.2164948453608241E-2</c:v>
                </c:pt>
                <c:pt idx="20">
                  <c:v>3.3333333333333333E-2</c:v>
                </c:pt>
                <c:pt idx="21">
                  <c:v>-5.3763440860215055E-2</c:v>
                </c:pt>
                <c:pt idx="22">
                  <c:v>-6.8181818181818177E-2</c:v>
                </c:pt>
                <c:pt idx="23">
                  <c:v>3.6585365853658534E-2</c:v>
                </c:pt>
                <c:pt idx="24">
                  <c:v>-2.3529411764705882E-2</c:v>
                </c:pt>
                <c:pt idx="25">
                  <c:v>-4.8192771084337352E-2</c:v>
                </c:pt>
                <c:pt idx="26">
                  <c:v>6.3291139240506333E-2</c:v>
                </c:pt>
                <c:pt idx="27">
                  <c:v>-9.5238095238095233E-2</c:v>
                </c:pt>
              </c:numCache>
            </c:numRef>
          </c:val>
          <c:smooth val="0"/>
          <c:extLst>
            <c:ext xmlns:c16="http://schemas.microsoft.com/office/drawing/2014/chart" uri="{C3380CC4-5D6E-409C-BE32-E72D297353CC}">
              <c16:uniqueId val="{00000000-80EE-CC4C-A89C-CCB7308919AA}"/>
            </c:ext>
          </c:extLst>
        </c:ser>
        <c:ser>
          <c:idx val="1"/>
          <c:order val="1"/>
          <c:tx>
            <c:strRef>
              <c:f>Sheet4!$C$1</c:f>
              <c:strCache>
                <c:ptCount val="1"/>
                <c:pt idx="0">
                  <c:v>Fuel MoM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Sheet4!$A$2:$A$30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Sheet4!$C$2:$C$30</c:f>
              <c:numCache>
                <c:formatCode>0.0%</c:formatCode>
                <c:ptCount val="29"/>
                <c:pt idx="0">
                  <c:v>2.2821576763485556E-2</c:v>
                </c:pt>
                <c:pt idx="1">
                  <c:v>3.0425963488843813E-2</c:v>
                </c:pt>
                <c:pt idx="2">
                  <c:v>2.0341207349081326E-2</c:v>
                </c:pt>
                <c:pt idx="3">
                  <c:v>6.4308681672022071E-4</c:v>
                </c:pt>
                <c:pt idx="4">
                  <c:v>2.4421593830334265E-2</c:v>
                </c:pt>
                <c:pt idx="5">
                  <c:v>2.5094102885822186E-3</c:v>
                </c:pt>
                <c:pt idx="6">
                  <c:v>5.6320400500624356E-3</c:v>
                </c:pt>
                <c:pt idx="7">
                  <c:v>1.1823273179838244E-2</c:v>
                </c:pt>
                <c:pt idx="8">
                  <c:v>0</c:v>
                </c:pt>
                <c:pt idx="9">
                  <c:v>9.8400984009839754E-3</c:v>
                </c:pt>
                <c:pt idx="10">
                  <c:v>-1.8270401948841837E-3</c:v>
                </c:pt>
                <c:pt idx="11">
                  <c:v>1.2202562538132314E-3</c:v>
                </c:pt>
                <c:pt idx="12">
                  <c:v>6.0938452163311586E-4</c:v>
                </c:pt>
                <c:pt idx="13">
                  <c:v>9.1352009744214372E-3</c:v>
                </c:pt>
                <c:pt idx="14">
                  <c:v>9.0525045262522634E-3</c:v>
                </c:pt>
                <c:pt idx="15">
                  <c:v>2.9904306220095697E-2</c:v>
                </c:pt>
                <c:pt idx="16">
                  <c:v>1.3937282229965191E-2</c:v>
                </c:pt>
                <c:pt idx="17">
                  <c:v>8.0183276059565042E-3</c:v>
                </c:pt>
                <c:pt idx="18">
                  <c:v>2.0454545454545423E-2</c:v>
                </c:pt>
                <c:pt idx="19">
                  <c:v>-4.4543429844097048E-3</c:v>
                </c:pt>
                <c:pt idx="20">
                  <c:v>3.9149888143176093E-3</c:v>
                </c:pt>
                <c:pt idx="21">
                  <c:v>5.5710306406685237E-3</c:v>
                </c:pt>
                <c:pt idx="22">
                  <c:v>4.4321329639889825E-3</c:v>
                </c:pt>
                <c:pt idx="23">
                  <c:v>3.8610038610037982E-3</c:v>
                </c:pt>
                <c:pt idx="24">
                  <c:v>0</c:v>
                </c:pt>
                <c:pt idx="25">
                  <c:v>5.4945054945051823E-4</c:v>
                </c:pt>
                <c:pt idx="26">
                  <c:v>-1.0982976386600144E-3</c:v>
                </c:pt>
                <c:pt idx="27">
                  <c:v>-1.0995052226499013E-3</c:v>
                </c:pt>
                <c:pt idx="28">
                  <c:v>6.0539350577876877E-3</c:v>
                </c:pt>
              </c:numCache>
            </c:numRef>
          </c:val>
          <c:smooth val="0"/>
          <c:extLst>
            <c:ext xmlns:c16="http://schemas.microsoft.com/office/drawing/2014/chart" uri="{C3380CC4-5D6E-409C-BE32-E72D297353CC}">
              <c16:uniqueId val="{00000001-80EE-CC4C-A89C-CCB7308919AA}"/>
            </c:ext>
          </c:extLst>
        </c:ser>
        <c:ser>
          <c:idx val="2"/>
          <c:order val="2"/>
          <c:tx>
            <c:strRef>
              <c:f>Sheet4!$D$1</c:f>
              <c:strCache>
                <c:ptCount val="1"/>
                <c:pt idx="0">
                  <c:v>Transport MoM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Sheet4!$A$2:$A$30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Sheet4!$D$2:$D$30</c:f>
              <c:numCache>
                <c:formatCode>0.0%</c:formatCode>
                <c:ptCount val="29"/>
                <c:pt idx="0">
                  <c:v>8.5287846481877545E-3</c:v>
                </c:pt>
                <c:pt idx="1">
                  <c:v>2.2551092318534097E-2</c:v>
                </c:pt>
                <c:pt idx="2">
                  <c:v>7.5809786354238068E-3</c:v>
                </c:pt>
                <c:pt idx="3">
                  <c:v>2.7359781121751416E-3</c:v>
                </c:pt>
                <c:pt idx="4">
                  <c:v>1.568894952251031E-2</c:v>
                </c:pt>
                <c:pt idx="5">
                  <c:v>1.2088650100738636E-2</c:v>
                </c:pt>
                <c:pt idx="6">
                  <c:v>1.5925680159256841E-2</c:v>
                </c:pt>
                <c:pt idx="7">
                  <c:v>5.8785107772697954E-3</c:v>
                </c:pt>
                <c:pt idx="8">
                  <c:v>0</c:v>
                </c:pt>
                <c:pt idx="9">
                  <c:v>1.1038961038960965E-2</c:v>
                </c:pt>
                <c:pt idx="10">
                  <c:v>-5.7803468208091026E-3</c:v>
                </c:pt>
                <c:pt idx="11">
                  <c:v>5.8139534883719455E-3</c:v>
                </c:pt>
                <c:pt idx="12">
                  <c:v>5.1380860629416276E-3</c:v>
                </c:pt>
                <c:pt idx="13">
                  <c:v>2.5559105431310269E-3</c:v>
                </c:pt>
                <c:pt idx="14">
                  <c:v>6.3734862970044612E-3</c:v>
                </c:pt>
                <c:pt idx="15">
                  <c:v>2.9765674477517344E-2</c:v>
                </c:pt>
                <c:pt idx="16">
                  <c:v>2.4600246002460377E-3</c:v>
                </c:pt>
                <c:pt idx="17">
                  <c:v>-1.1656441717791446E-2</c:v>
                </c:pt>
                <c:pt idx="18">
                  <c:v>3.1036623215394167E-3</c:v>
                </c:pt>
                <c:pt idx="19">
                  <c:v>1.8564356435644268E-3</c:v>
                </c:pt>
                <c:pt idx="20">
                  <c:v>2.470660901791264E-3</c:v>
                </c:pt>
                <c:pt idx="21">
                  <c:v>3.6968576709796321E-3</c:v>
                </c:pt>
                <c:pt idx="22">
                  <c:v>6.1387354205030267E-4</c:v>
                </c:pt>
                <c:pt idx="23">
                  <c:v>2.4539877300613845E-3</c:v>
                </c:pt>
                <c:pt idx="24">
                  <c:v>1.2239902080782657E-3</c:v>
                </c:pt>
                <c:pt idx="25">
                  <c:v>3.6674816625916523E-3</c:v>
                </c:pt>
                <c:pt idx="26">
                  <c:v>0</c:v>
                </c:pt>
                <c:pt idx="27">
                  <c:v>1.8270401948843567E-3</c:v>
                </c:pt>
                <c:pt idx="28">
                  <c:v>1.8237082066869992E-3</c:v>
                </c:pt>
              </c:numCache>
            </c:numRef>
          </c:val>
          <c:smooth val="0"/>
          <c:extLst>
            <c:ext xmlns:c16="http://schemas.microsoft.com/office/drawing/2014/chart" uri="{C3380CC4-5D6E-409C-BE32-E72D297353CC}">
              <c16:uniqueId val="{00000002-80EE-CC4C-A89C-CCB7308919AA}"/>
            </c:ext>
          </c:extLst>
        </c:ser>
        <c:ser>
          <c:idx val="3"/>
          <c:order val="3"/>
          <c:tx>
            <c:strRef>
              <c:f>Sheet4!$E$1</c:f>
              <c:strCache>
                <c:ptCount val="1"/>
                <c:pt idx="0">
                  <c:v>Food MoM %</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Sheet4!$A$2:$A$30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Sheet4!$E$2:$E$30</c:f>
              <c:numCache>
                <c:formatCode>0.0%</c:formatCode>
                <c:ptCount val="29"/>
                <c:pt idx="0">
                  <c:v>7.1968213106497106E-2</c:v>
                </c:pt>
                <c:pt idx="1">
                  <c:v>6.8877406166600527E-2</c:v>
                </c:pt>
                <c:pt idx="2">
                  <c:v>7.7984540509590569E-2</c:v>
                </c:pt>
                <c:pt idx="3">
                  <c:v>5.289032507526182E-2</c:v>
                </c:pt>
                <c:pt idx="4">
                  <c:v>8.091586084250299E-2</c:v>
                </c:pt>
                <c:pt idx="5">
                  <c:v>8.7433804060017509E-2</c:v>
                </c:pt>
                <c:pt idx="6">
                  <c:v>9.3887908208296567E-2</c:v>
                </c:pt>
                <c:pt idx="7">
                  <c:v>7.6052660211076289E-2</c:v>
                </c:pt>
                <c:pt idx="8">
                  <c:v>6.9767441860465115E-2</c:v>
                </c:pt>
                <c:pt idx="9">
                  <c:v>6.390419669351427E-2</c:v>
                </c:pt>
                <c:pt idx="10">
                  <c:v>4.8423015174271007E-2</c:v>
                </c:pt>
                <c:pt idx="11">
                  <c:v>3.5499305448371661E-2</c:v>
                </c:pt>
                <c:pt idx="12">
                  <c:v>4.2965283215870634E-2</c:v>
                </c:pt>
                <c:pt idx="13">
                  <c:v>5.9817254568635916E-2</c:v>
                </c:pt>
                <c:pt idx="14">
                  <c:v>7.069634036224591E-2</c:v>
                </c:pt>
                <c:pt idx="15">
                  <c:v>7.2084360736582656E-2</c:v>
                </c:pt>
                <c:pt idx="16">
                  <c:v>6.2005141388174874E-2</c:v>
                </c:pt>
                <c:pt idx="17">
                  <c:v>5.8692233551463406E-2</c:v>
                </c:pt>
                <c:pt idx="18">
                  <c:v>5.461422087745825E-2</c:v>
                </c:pt>
                <c:pt idx="19">
                  <c:v>5.8088978766430668E-2</c:v>
                </c:pt>
                <c:pt idx="20">
                  <c:v>6.3245702730030232E-2</c:v>
                </c:pt>
                <c:pt idx="21">
                  <c:v>5.4736527542583902E-2</c:v>
                </c:pt>
                <c:pt idx="22">
                  <c:v>4.6482908516103552E-2</c:v>
                </c:pt>
                <c:pt idx="23">
                  <c:v>4.7100909226412316E-2</c:v>
                </c:pt>
                <c:pt idx="24">
                  <c:v>5.9165081589748862E-2</c:v>
                </c:pt>
                <c:pt idx="25">
                  <c:v>5.3684210526315508E-2</c:v>
                </c:pt>
                <c:pt idx="26">
                  <c:v>4.286139497966044E-2</c:v>
                </c:pt>
                <c:pt idx="27">
                  <c:v>3.3374113041350642E-2</c:v>
                </c:pt>
                <c:pt idx="28">
                  <c:v>3.0112316034082126E-2</c:v>
                </c:pt>
              </c:numCache>
            </c:numRef>
          </c:val>
          <c:smooth val="0"/>
          <c:extLst>
            <c:ext xmlns:c16="http://schemas.microsoft.com/office/drawing/2014/chart" uri="{C3380CC4-5D6E-409C-BE32-E72D297353CC}">
              <c16:uniqueId val="{00000003-80EE-CC4C-A89C-CCB7308919AA}"/>
            </c:ext>
          </c:extLst>
        </c:ser>
        <c:ser>
          <c:idx val="4"/>
          <c:order val="4"/>
          <c:tx>
            <c:strRef>
              <c:f>Sheet4!$F$1</c:f>
              <c:strCache>
                <c:ptCount val="1"/>
                <c:pt idx="0">
                  <c:v>CPI MoM %</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Sheet4!$A$2:$A$30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Sheet4!$F$2:$F$30</c:f>
              <c:numCache>
                <c:formatCode>0.0%</c:formatCode>
                <c:ptCount val="29"/>
                <c:pt idx="0">
                  <c:v>-1.006922592825673E-2</c:v>
                </c:pt>
                <c:pt idx="1">
                  <c:v>-4.4500953591863762E-3</c:v>
                </c:pt>
                <c:pt idx="2">
                  <c:v>1.2771392081737999E-3</c:v>
                </c:pt>
                <c:pt idx="3">
                  <c:v>6.3775510204081625E-3</c:v>
                </c:pt>
                <c:pt idx="4">
                  <c:v>1.6476552598225565E-2</c:v>
                </c:pt>
                <c:pt idx="5">
                  <c:v>5.6109725685785893E-3</c:v>
                </c:pt>
                <c:pt idx="6">
                  <c:v>7.439553626782322E-3</c:v>
                </c:pt>
                <c:pt idx="7">
                  <c:v>4.3076923076922381E-3</c:v>
                </c:pt>
                <c:pt idx="8">
                  <c:v>0</c:v>
                </c:pt>
                <c:pt idx="9">
                  <c:v>1.4093137254902032E-2</c:v>
                </c:pt>
                <c:pt idx="10">
                  <c:v>7.2507552870089949E-3</c:v>
                </c:pt>
                <c:pt idx="11">
                  <c:v>-2.999400119976005E-3</c:v>
                </c:pt>
                <c:pt idx="12">
                  <c:v>-3.0084235860409147E-3</c:v>
                </c:pt>
                <c:pt idx="13">
                  <c:v>2.4140012070006378E-3</c:v>
                </c:pt>
                <c:pt idx="14">
                  <c:v>9.6327513546056245E-3</c:v>
                </c:pt>
                <c:pt idx="15">
                  <c:v>1.4311270125223648E-2</c:v>
                </c:pt>
                <c:pt idx="16">
                  <c:v>9.4062316284538178E-3</c:v>
                </c:pt>
                <c:pt idx="17">
                  <c:v>5.2417006406523343E-3</c:v>
                </c:pt>
                <c:pt idx="18">
                  <c:v>4.634994206257308E-3</c:v>
                </c:pt>
                <c:pt idx="19">
                  <c:v>5.1903114186851538E-3</c:v>
                </c:pt>
                <c:pt idx="20">
                  <c:v>5.737234652897303E-3</c:v>
                </c:pt>
                <c:pt idx="21">
                  <c:v>7.9863091842554308E-3</c:v>
                </c:pt>
                <c:pt idx="22">
                  <c:v>-1.1318619128465684E-3</c:v>
                </c:pt>
                <c:pt idx="23">
                  <c:v>-4.5325779036827843E-3</c:v>
                </c:pt>
                <c:pt idx="24">
                  <c:v>4.5532157085942599E-3</c:v>
                </c:pt>
                <c:pt idx="25">
                  <c:v>3.9660056657223148E-3</c:v>
                </c:pt>
                <c:pt idx="26">
                  <c:v>0</c:v>
                </c:pt>
                <c:pt idx="27">
                  <c:v>5.0790067720090613E-3</c:v>
                </c:pt>
                <c:pt idx="28">
                  <c:v>5.614823133071308E-3</c:v>
                </c:pt>
              </c:numCache>
            </c:numRef>
          </c:val>
          <c:smooth val="0"/>
          <c:extLst>
            <c:ext xmlns:c16="http://schemas.microsoft.com/office/drawing/2014/chart" uri="{C3380CC4-5D6E-409C-BE32-E72D297353CC}">
              <c16:uniqueId val="{00000004-80EE-CC4C-A89C-CCB7308919AA}"/>
            </c:ext>
          </c:extLst>
        </c:ser>
        <c:dLbls>
          <c:showLegendKey val="0"/>
          <c:showVal val="0"/>
          <c:showCatName val="0"/>
          <c:showSerName val="0"/>
          <c:showPercent val="0"/>
          <c:showBubbleSize val="0"/>
        </c:dLbls>
        <c:marker val="1"/>
        <c:smooth val="0"/>
        <c:axId val="1221995007"/>
        <c:axId val="1221998591"/>
      </c:lineChart>
      <c:dateAx>
        <c:axId val="1221995007"/>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998591"/>
        <c:crosses val="autoZero"/>
        <c:auto val="1"/>
        <c:lblOffset val="100"/>
        <c:baseTimeUnit val="months"/>
      </c:dateAx>
      <c:valAx>
        <c:axId val="12219985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9950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6">
                    <a:lumMod val="50000"/>
                  </a:schemeClr>
                </a:solidFill>
              </a:rPr>
              <a:t>Contribution of Broader Categories to CPI (%)</a:t>
            </a:r>
            <a:endParaRPr lang="en-GB"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3"/>
          <c:order val="0"/>
          <c:tx>
            <c:strRef>
              <c:f>Q1_Contribution_Analysis!$E$21</c:f>
              <c:strCache>
                <c:ptCount val="1"/>
                <c:pt idx="0">
                  <c:v>Contribution % (Rural + Urban)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Q1_Contribution_Analysis!$A$22:$A$29</c:f>
              <c:strCache>
                <c:ptCount val="8"/>
                <c:pt idx="0">
                  <c:v>Food</c:v>
                </c:pt>
                <c:pt idx="1">
                  <c:v>Energy</c:v>
                </c:pt>
                <c:pt idx="2">
                  <c:v>Transport</c:v>
                </c:pt>
                <c:pt idx="3">
                  <c:v>Housing</c:v>
                </c:pt>
                <c:pt idx="4">
                  <c:v>Health</c:v>
                </c:pt>
                <c:pt idx="5">
                  <c:v>Education</c:v>
                </c:pt>
                <c:pt idx="6">
                  <c:v>Clothing &amp; Footwear</c:v>
                </c:pt>
                <c:pt idx="7">
                  <c:v>Others</c:v>
                </c:pt>
              </c:strCache>
            </c:strRef>
          </c:cat>
          <c:val>
            <c:numRef>
              <c:f>Q1_Contribution_Analysis!$E$22:$E$29</c:f>
              <c:numCache>
                <c:formatCode>0.0%</c:formatCode>
                <c:ptCount val="8"/>
                <c:pt idx="0">
                  <c:v>0.124135800874746</c:v>
                </c:pt>
                <c:pt idx="1">
                  <c:v>0.12787564142301203</c:v>
                </c:pt>
                <c:pt idx="2">
                  <c:v>0.11528394806626029</c:v>
                </c:pt>
                <c:pt idx="3">
                  <c:v>0.12283896408031131</c:v>
                </c:pt>
                <c:pt idx="4">
                  <c:v>0.12990430313048867</c:v>
                </c:pt>
                <c:pt idx="5">
                  <c:v>0.12388827186004062</c:v>
                </c:pt>
                <c:pt idx="6">
                  <c:v>0.12899490305472328</c:v>
                </c:pt>
                <c:pt idx="7">
                  <c:v>0.12707816751041773</c:v>
                </c:pt>
              </c:numCache>
            </c:numRef>
          </c:val>
          <c:extLst>
            <c:ext xmlns:c16="http://schemas.microsoft.com/office/drawing/2014/chart" uri="{C3380CC4-5D6E-409C-BE32-E72D297353CC}">
              <c16:uniqueId val="{00000003-11A5-2741-85CD-C360D6281F28}"/>
            </c:ext>
          </c:extLst>
        </c:ser>
        <c:ser>
          <c:idx val="4"/>
          <c:order val="1"/>
          <c:tx>
            <c:strRef>
              <c:f>Q1_Contribution_Analysis!$F$21</c:f>
              <c:strCache>
                <c:ptCount val="1"/>
                <c:pt idx="0">
                  <c:v>Contribution % (Rural)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Q1_Contribution_Analysis!$A$22:$A$29</c:f>
              <c:strCache>
                <c:ptCount val="8"/>
                <c:pt idx="0">
                  <c:v>Food</c:v>
                </c:pt>
                <c:pt idx="1">
                  <c:v>Energy</c:v>
                </c:pt>
                <c:pt idx="2">
                  <c:v>Transport</c:v>
                </c:pt>
                <c:pt idx="3">
                  <c:v>Housing</c:v>
                </c:pt>
                <c:pt idx="4">
                  <c:v>Health</c:v>
                </c:pt>
                <c:pt idx="5">
                  <c:v>Education</c:v>
                </c:pt>
                <c:pt idx="6">
                  <c:v>Clothing &amp; Footwear</c:v>
                </c:pt>
                <c:pt idx="7">
                  <c:v>Others</c:v>
                </c:pt>
              </c:strCache>
            </c:strRef>
          </c:cat>
          <c:val>
            <c:numRef>
              <c:f>Q1_Contribution_Analysis!$F$22:$F$29</c:f>
              <c:numCache>
                <c:formatCode>0.0%</c:formatCode>
                <c:ptCount val="8"/>
                <c:pt idx="0">
                  <c:v>0.13874027600676092</c:v>
                </c:pt>
                <c:pt idx="1">
                  <c:v>0.14369463693457904</c:v>
                </c:pt>
                <c:pt idx="2">
                  <c:v>0.13361632815231814</c:v>
                </c:pt>
                <c:pt idx="3">
                  <c:v>0</c:v>
                </c:pt>
                <c:pt idx="4">
                  <c:v>0.14786768666473393</c:v>
                </c:pt>
                <c:pt idx="5">
                  <c:v>0.14196242761262795</c:v>
                </c:pt>
                <c:pt idx="6">
                  <c:v>0.1495736503908979</c:v>
                </c:pt>
                <c:pt idx="7">
                  <c:v>0.14454499423808229</c:v>
                </c:pt>
              </c:numCache>
            </c:numRef>
          </c:val>
          <c:extLst>
            <c:ext xmlns:c16="http://schemas.microsoft.com/office/drawing/2014/chart" uri="{C3380CC4-5D6E-409C-BE32-E72D297353CC}">
              <c16:uniqueId val="{00000004-11A5-2741-85CD-C360D6281F28}"/>
            </c:ext>
          </c:extLst>
        </c:ser>
        <c:ser>
          <c:idx val="5"/>
          <c:order val="2"/>
          <c:tx>
            <c:strRef>
              <c:f>Q1_Contribution_Analysis!$G$21</c:f>
              <c:strCache>
                <c:ptCount val="1"/>
                <c:pt idx="0">
                  <c:v>Contribution % (Urban)</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Q1_Contribution_Analysis!$A$22:$A$29</c:f>
              <c:strCache>
                <c:ptCount val="8"/>
                <c:pt idx="0">
                  <c:v>Food</c:v>
                </c:pt>
                <c:pt idx="1">
                  <c:v>Energy</c:v>
                </c:pt>
                <c:pt idx="2">
                  <c:v>Transport</c:v>
                </c:pt>
                <c:pt idx="3">
                  <c:v>Housing</c:v>
                </c:pt>
                <c:pt idx="4">
                  <c:v>Health</c:v>
                </c:pt>
                <c:pt idx="5">
                  <c:v>Education</c:v>
                </c:pt>
                <c:pt idx="6">
                  <c:v>Clothing &amp; Footwear</c:v>
                </c:pt>
                <c:pt idx="7">
                  <c:v>Others</c:v>
                </c:pt>
              </c:strCache>
            </c:strRef>
          </c:cat>
          <c:val>
            <c:numRef>
              <c:f>Q1_Contribution_Analysis!$G$22:$G$29</c:f>
              <c:numCache>
                <c:formatCode>0.0%</c:formatCode>
                <c:ptCount val="8"/>
                <c:pt idx="0">
                  <c:v>0.12717610694753018</c:v>
                </c:pt>
                <c:pt idx="1">
                  <c:v>0.1298502309041589</c:v>
                </c:pt>
                <c:pt idx="2">
                  <c:v>0.1135658508016744</c:v>
                </c:pt>
                <c:pt idx="3">
                  <c:v>0.12432770199983806</c:v>
                </c:pt>
                <c:pt idx="4">
                  <c:v>0.1290006110727249</c:v>
                </c:pt>
                <c:pt idx="5">
                  <c:v>0.12376128877888209</c:v>
                </c:pt>
                <c:pt idx="6">
                  <c:v>0.12477611246642822</c:v>
                </c:pt>
                <c:pt idx="7">
                  <c:v>0.12754209702876326</c:v>
                </c:pt>
              </c:numCache>
            </c:numRef>
          </c:val>
          <c:extLst>
            <c:ext xmlns:c16="http://schemas.microsoft.com/office/drawing/2014/chart" uri="{C3380CC4-5D6E-409C-BE32-E72D297353CC}">
              <c16:uniqueId val="{00000005-11A5-2741-85CD-C360D6281F28}"/>
            </c:ext>
          </c:extLst>
        </c:ser>
        <c:dLbls>
          <c:showLegendKey val="0"/>
          <c:showVal val="0"/>
          <c:showCatName val="0"/>
          <c:showSerName val="0"/>
          <c:showPercent val="0"/>
          <c:showBubbleSize val="0"/>
        </c:dLbls>
        <c:gapWidth val="219"/>
        <c:overlap val="-27"/>
        <c:axId val="1596472192"/>
        <c:axId val="1629727232"/>
      </c:barChart>
      <c:catAx>
        <c:axId val="159647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727232"/>
        <c:crosses val="autoZero"/>
        <c:auto val="1"/>
        <c:lblAlgn val="ctr"/>
        <c:lblOffset val="100"/>
        <c:noMultiLvlLbl val="0"/>
      </c:catAx>
      <c:valAx>
        <c:axId val="16297272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472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r>
              <a:rPr lang="en-IN" sz="1400" b="1" i="0" u="none" strike="noStrike" baseline="0"/>
              <a:t>CPI Basket Composition </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endParaRPr lang="en-US"/>
        </a:p>
      </c:txPr>
    </c:title>
    <c:autoTitleDeleted val="0"/>
    <c:plotArea>
      <c:layout/>
      <c:doughnutChart>
        <c:varyColors val="1"/>
        <c:ser>
          <c:idx val="3"/>
          <c:order val="0"/>
          <c:tx>
            <c:strRef>
              <c:f>Q1_Contribution_Analysis!$E$21</c:f>
              <c:strCache>
                <c:ptCount val="1"/>
                <c:pt idx="0">
                  <c:v>Contribution % (Rural + Urban)</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51CA-5848-8693-FD68167DD147}"/>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51CA-5848-8693-FD68167DD147}"/>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51CA-5848-8693-FD68167DD147}"/>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51CA-5848-8693-FD68167DD147}"/>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51CA-5848-8693-FD68167DD147}"/>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51CA-5848-8693-FD68167DD147}"/>
              </c:ext>
            </c:extLst>
          </c:dPt>
          <c:dPt>
            <c:idx val="6"/>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D-51CA-5848-8693-FD68167DD147}"/>
              </c:ext>
            </c:extLst>
          </c:dPt>
          <c:dPt>
            <c:idx val="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F-51CA-5848-8693-FD68167DD14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Q1_Contribution_Analysis!$A$22:$A$29</c:f>
              <c:strCache>
                <c:ptCount val="8"/>
                <c:pt idx="0">
                  <c:v>Food</c:v>
                </c:pt>
                <c:pt idx="1">
                  <c:v>Energy</c:v>
                </c:pt>
                <c:pt idx="2">
                  <c:v>Transport</c:v>
                </c:pt>
                <c:pt idx="3">
                  <c:v>Housing</c:v>
                </c:pt>
                <c:pt idx="4">
                  <c:v>Health</c:v>
                </c:pt>
                <c:pt idx="5">
                  <c:v>Education</c:v>
                </c:pt>
                <c:pt idx="6">
                  <c:v>Clothing &amp; Footwear</c:v>
                </c:pt>
                <c:pt idx="7">
                  <c:v>Others</c:v>
                </c:pt>
              </c:strCache>
            </c:strRef>
          </c:cat>
          <c:val>
            <c:numRef>
              <c:f>Q1_Contribution_Analysis!$E$22:$E$29</c:f>
              <c:numCache>
                <c:formatCode>0.0%</c:formatCode>
                <c:ptCount val="8"/>
                <c:pt idx="0">
                  <c:v>0.124135800874746</c:v>
                </c:pt>
                <c:pt idx="1">
                  <c:v>0.12787564142301203</c:v>
                </c:pt>
                <c:pt idx="2">
                  <c:v>0.11528394806626029</c:v>
                </c:pt>
                <c:pt idx="3">
                  <c:v>0.12283896408031131</c:v>
                </c:pt>
                <c:pt idx="4">
                  <c:v>0.12990430313048867</c:v>
                </c:pt>
                <c:pt idx="5">
                  <c:v>0.12388827186004062</c:v>
                </c:pt>
                <c:pt idx="6">
                  <c:v>0.12899490305472328</c:v>
                </c:pt>
                <c:pt idx="7">
                  <c:v>0.12707816751041773</c:v>
                </c:pt>
              </c:numCache>
            </c:numRef>
          </c:val>
          <c:extLst>
            <c:ext xmlns:c16="http://schemas.microsoft.com/office/drawing/2014/chart" uri="{C3380CC4-5D6E-409C-BE32-E72D297353CC}">
              <c16:uniqueId val="{00000003-9A8D-0041-A560-21284F3FD6C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Year-wise YoY CPI Inflation Trend (All-India)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Q2_YoY_Inflation_Trend!$B$13</c:f>
              <c:strCache>
                <c:ptCount val="1"/>
                <c:pt idx="0">
                  <c:v>Avg YoY Inflation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3"/>
            <c:marker>
              <c:symbol val="circle"/>
              <c:size val="5"/>
              <c:spPr>
                <a:solidFill>
                  <a:srgbClr val="C00000"/>
                </a:solidFill>
                <a:ln w="9525">
                  <a:solidFill>
                    <a:schemeClr val="accent2"/>
                  </a:solidFill>
                </a:ln>
                <a:effectLst/>
              </c:spPr>
            </c:marker>
            <c:bubble3D val="0"/>
            <c:extLst>
              <c:ext xmlns:c16="http://schemas.microsoft.com/office/drawing/2014/chart" uri="{C3380CC4-5D6E-409C-BE32-E72D297353CC}">
                <c16:uniqueId val="{00000003-C48A-5242-BDCA-C136F4EB5CF0}"/>
              </c:ext>
            </c:extLst>
          </c:dPt>
          <c:dPt>
            <c:idx val="5"/>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2-C48A-5242-BDCA-C136F4EB5CF0}"/>
              </c:ext>
            </c:extLst>
          </c:dPt>
          <c:dLbls>
            <c:dLbl>
              <c:idx val="3"/>
              <c:tx>
                <c:rich>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ysClr val="windowText" lastClr="000000">
                            <a:lumMod val="75000"/>
                            <a:lumOff val="25000"/>
                          </a:sysClr>
                        </a:solidFill>
                        <a:latin typeface="+mn-lt"/>
                        <a:ea typeface="+mn-ea"/>
                        <a:cs typeface="+mn-cs"/>
                      </a:defRPr>
                    </a:pPr>
                    <a:r>
                      <a:rPr lang="en-US" sz="900" b="1" i="0" u="none" strike="noStrike" kern="1200" baseline="0">
                        <a:solidFill>
                          <a:sysClr val="windowText" lastClr="000000">
                            <a:lumMod val="75000"/>
                            <a:lumOff val="25000"/>
                          </a:sysClr>
                        </a:solidFill>
                      </a:rPr>
                      <a:t>Highest inflation (COVID impact)</a:t>
                    </a:r>
                    <a:endParaRPr lang="en-US" sz="900" b="0" i="0" u="none" strike="noStrike" kern="1200" baseline="0">
                      <a:solidFill>
                        <a:sysClr val="windowText" lastClr="000000">
                          <a:lumMod val="75000"/>
                          <a:lumOff val="25000"/>
                        </a:sysClr>
                      </a:solidFill>
                    </a:endParaRPr>
                  </a:p>
                </c:rich>
              </c:tx>
              <c:spPr>
                <a:noFill/>
                <a:ln>
                  <a:noFill/>
                </a:ln>
                <a:effectLst/>
              </c:spPr>
              <c:txPr>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C48A-5242-BDCA-C136F4EB5CF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Q2_YoY_Inflation_Trend!$A$14:$A$20</c:f>
              <c:numCache>
                <c:formatCode>General</c:formatCode>
                <c:ptCount val="7"/>
                <c:pt idx="0">
                  <c:v>2017</c:v>
                </c:pt>
                <c:pt idx="1">
                  <c:v>2018</c:v>
                </c:pt>
                <c:pt idx="2">
                  <c:v>2019</c:v>
                </c:pt>
                <c:pt idx="3">
                  <c:v>2020</c:v>
                </c:pt>
                <c:pt idx="4">
                  <c:v>2021</c:v>
                </c:pt>
                <c:pt idx="5">
                  <c:v>2022</c:v>
                </c:pt>
                <c:pt idx="6">
                  <c:v>2023</c:v>
                </c:pt>
              </c:numCache>
            </c:numRef>
          </c:cat>
          <c:val>
            <c:numRef>
              <c:f>Q2_YoY_Inflation_Trend!$B$14:$B$20</c:f>
              <c:numCache>
                <c:formatCode>0.0%</c:formatCode>
                <c:ptCount val="7"/>
                <c:pt idx="0">
                  <c:v>3.327388537536536E-2</c:v>
                </c:pt>
                <c:pt idx="1">
                  <c:v>3.9676971910429099E-2</c:v>
                </c:pt>
                <c:pt idx="2">
                  <c:v>3.7704798059274527E-2</c:v>
                </c:pt>
                <c:pt idx="3">
                  <c:v>6.2670090668773396E-2</c:v>
                </c:pt>
                <c:pt idx="4">
                  <c:v>5.3818467080321342E-2</c:v>
                </c:pt>
                <c:pt idx="5">
                  <c:v>6.6240649804989227E-2</c:v>
                </c:pt>
                <c:pt idx="6">
                  <c:v>5.5756721664536081E-2</c:v>
                </c:pt>
              </c:numCache>
            </c:numRef>
          </c:val>
          <c:smooth val="0"/>
          <c:extLst>
            <c:ext xmlns:c16="http://schemas.microsoft.com/office/drawing/2014/chart" uri="{C3380CC4-5D6E-409C-BE32-E72D297353CC}">
              <c16:uniqueId val="{00000001-C48A-5242-BDCA-C136F4EB5CF0}"/>
            </c:ext>
          </c:extLst>
        </c:ser>
        <c:dLbls>
          <c:showLegendKey val="0"/>
          <c:showVal val="0"/>
          <c:showCatName val="0"/>
          <c:showSerName val="0"/>
          <c:showPercent val="0"/>
          <c:showBubbleSize val="0"/>
        </c:dLbls>
        <c:marker val="1"/>
        <c:smooth val="0"/>
        <c:axId val="633548607"/>
        <c:axId val="524720703"/>
      </c:lineChart>
      <c:catAx>
        <c:axId val="63354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720703"/>
        <c:crosses val="autoZero"/>
        <c:auto val="1"/>
        <c:lblAlgn val="ctr"/>
        <c:lblOffset val="100"/>
        <c:noMultiLvlLbl val="0"/>
      </c:catAx>
      <c:valAx>
        <c:axId val="5247207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548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6">
                    <a:lumMod val="50000"/>
                  </a:schemeClr>
                </a:solidFill>
              </a:rPr>
              <a:t>Month-on-Month Food Inflation Trend (Jun’22 – May’23)</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0"/>
          <c:tx>
            <c:strRef>
              <c:f>Sheet2!$D$1</c:f>
              <c:strCache>
                <c:ptCount val="1"/>
                <c:pt idx="0">
                  <c:v>MoM Food Inflation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Pt>
            <c:idx val="4"/>
            <c:marker>
              <c:symbol val="circle"/>
              <c:size val="5"/>
              <c:spPr>
                <a:solidFill>
                  <a:srgbClr val="FF0000"/>
                </a:solidFill>
                <a:ln w="9525">
                  <a:solidFill>
                    <a:schemeClr val="accent3"/>
                  </a:solidFill>
                </a:ln>
                <a:effectLst/>
              </c:spPr>
            </c:marker>
            <c:bubble3D val="0"/>
            <c:extLst>
              <c:ext xmlns:c16="http://schemas.microsoft.com/office/drawing/2014/chart" uri="{C3380CC4-5D6E-409C-BE32-E72D297353CC}">
                <c16:uniqueId val="{00000003-11D2-A849-94D4-44F020BBBDB1}"/>
              </c:ext>
            </c:extLst>
          </c:dPt>
          <c:dPt>
            <c:idx val="6"/>
            <c:marker>
              <c:symbol val="circle"/>
              <c:size val="5"/>
              <c:spPr>
                <a:solidFill>
                  <a:schemeClr val="accent5">
                    <a:lumMod val="75000"/>
                  </a:schemeClr>
                </a:solidFill>
                <a:ln w="9525">
                  <a:solidFill>
                    <a:schemeClr val="accent3"/>
                  </a:solidFill>
                </a:ln>
                <a:effectLst/>
              </c:spPr>
            </c:marker>
            <c:bubble3D val="0"/>
            <c:extLst>
              <c:ext xmlns:c16="http://schemas.microsoft.com/office/drawing/2014/chart" uri="{C3380CC4-5D6E-409C-BE32-E72D297353CC}">
                <c16:uniqueId val="{00000004-11D2-A849-94D4-44F020BBBDB1}"/>
              </c:ext>
            </c:extLst>
          </c:dPt>
          <c:dLbls>
            <c:dLbl>
              <c:idx val="4"/>
              <c:tx>
                <c:rich>
                  <a:bodyPr/>
                  <a:lstStyle/>
                  <a:p>
                    <a:r>
                      <a:rPr lang="en-US" sz="900" b="0" i="0" u="none" strike="noStrike" baseline="0"/>
                      <a:t>Peak: +1.0% (Food prices surge)</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11D2-A849-94D4-44F020BBBDB1}"/>
                </c:ext>
              </c:extLst>
            </c:dLbl>
            <c:dLbl>
              <c:idx val="6"/>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900" b="0" i="0" u="none" strike="noStrike" baseline="0"/>
                      <a:t>Lowest: –1.3% (Price correction)</a:t>
                    </a:r>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438631790744466"/>
                      <c:h val="8.1233786270185016E-2"/>
                    </c:manualLayout>
                  </c15:layout>
                  <c15:showDataLabelsRange val="0"/>
                </c:ext>
                <c:ext xmlns:c16="http://schemas.microsoft.com/office/drawing/2014/chart" uri="{C3380CC4-5D6E-409C-BE32-E72D297353CC}">
                  <c16:uniqueId val="{00000004-11D2-A849-94D4-44F020BBBD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Sheet2!$A$2:$A$13</c:f>
              <c:numCache>
                <c:formatCode>d\-mmm\-yy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Sheet2!$D$2:$D$13</c:f>
              <c:numCache>
                <c:formatCode>0.0%</c:formatCode>
                <c:ptCount val="12"/>
                <c:pt idx="1">
                  <c:v>5.7175528873631976E-4</c:v>
                </c:pt>
                <c:pt idx="2">
                  <c:v>7.4285714285715621E-3</c:v>
                </c:pt>
                <c:pt idx="3">
                  <c:v>8.5082246171299669E-3</c:v>
                </c:pt>
                <c:pt idx="4">
                  <c:v>1.0123734533183271E-2</c:v>
                </c:pt>
                <c:pt idx="5">
                  <c:v>-7.2383073496657957E-3</c:v>
                </c:pt>
                <c:pt idx="6">
                  <c:v>-1.346045989904654E-2</c:v>
                </c:pt>
                <c:pt idx="7">
                  <c:v>4.5480386583285348E-3</c:v>
                </c:pt>
                <c:pt idx="8">
                  <c:v>1.6977928692700761E-3</c:v>
                </c:pt>
                <c:pt idx="9">
                  <c:v>0</c:v>
                </c:pt>
                <c:pt idx="10">
                  <c:v>5.0847457627118953E-3</c:v>
                </c:pt>
                <c:pt idx="11">
                  <c:v>6.7453625632376557E-3</c:v>
                </c:pt>
              </c:numCache>
            </c:numRef>
          </c:val>
          <c:smooth val="0"/>
          <c:extLst>
            <c:ext xmlns:c16="http://schemas.microsoft.com/office/drawing/2014/chart" uri="{C3380CC4-5D6E-409C-BE32-E72D297353CC}">
              <c16:uniqueId val="{00000002-11D2-A849-94D4-44F020BBBDB1}"/>
            </c:ext>
          </c:extLst>
        </c:ser>
        <c:dLbls>
          <c:showLegendKey val="0"/>
          <c:showVal val="0"/>
          <c:showCatName val="0"/>
          <c:showSerName val="0"/>
          <c:showPercent val="0"/>
          <c:showBubbleSize val="0"/>
        </c:dLbls>
        <c:marker val="1"/>
        <c:smooth val="0"/>
        <c:axId val="727175103"/>
        <c:axId val="633530431"/>
      </c:lineChart>
      <c:dateAx>
        <c:axId val="727175103"/>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3530431"/>
        <c:crosses val="autoZero"/>
        <c:auto val="1"/>
        <c:lblOffset val="100"/>
        <c:baseTimeUnit val="months"/>
      </c:dateAx>
      <c:valAx>
        <c:axId val="63353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175103"/>
        <c:crosses val="autoZero"/>
        <c:crossBetween val="between"/>
      </c:valAx>
      <c:spPr>
        <a:noFill/>
        <a:ln>
          <a:noFill/>
        </a:ln>
        <a:effectLst/>
      </c:spPr>
    </c:plotArea>
    <c:legend>
      <c:legendPos val="b"/>
      <c:layout>
        <c:manualLayout>
          <c:xMode val="edge"/>
          <c:yMode val="edge"/>
          <c:x val="3.4738650704592484E-2"/>
          <c:y val="0.88896883535421645"/>
          <c:w val="0.91437413177611981"/>
          <c:h val="9.3614618927351068E-2"/>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6">
                    <a:lumMod val="50000"/>
                  </a:schemeClr>
                </a:solidFill>
              </a:rPr>
              <a:t>Absolute Change in Food Prices (Jun-22 to May-23)</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1527601288227592E-2"/>
          <c:y val="0.17435024131165397"/>
          <c:w val="0.94349355662108458"/>
          <c:h val="0.75100722024843292"/>
        </c:manualLayout>
      </c:layout>
      <c:barChart>
        <c:barDir val="col"/>
        <c:grouping val="clustered"/>
        <c:varyColors val="0"/>
        <c:ser>
          <c:idx val="2"/>
          <c:order val="0"/>
          <c:tx>
            <c:strRef>
              <c:f>Sheet2!$D$19</c:f>
              <c:strCache>
                <c:ptCount val="1"/>
                <c:pt idx="0">
                  <c:v>Absolute Change</c:v>
                </c:pt>
              </c:strCache>
            </c:strRef>
          </c:tx>
          <c:spPr>
            <a:solidFill>
              <a:schemeClr val="accent3"/>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3-582E-8B40-9459-0D2B5FC20434}"/>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4-582E-8B40-9459-0D2B5FC20434}"/>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582E-8B40-9459-0D2B5FC20434}"/>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6-582E-8B40-9459-0D2B5FC20434}"/>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7-582E-8B40-9459-0D2B5FC20434}"/>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8-582E-8B40-9459-0D2B5FC20434}"/>
              </c:ext>
            </c:extLst>
          </c:dPt>
          <c:dPt>
            <c:idx val="6"/>
            <c:invertIfNegative val="0"/>
            <c:bubble3D val="0"/>
            <c:spPr>
              <a:solidFill>
                <a:schemeClr val="accent6"/>
              </a:solidFill>
              <a:ln>
                <a:noFill/>
              </a:ln>
              <a:effectLst/>
            </c:spPr>
            <c:extLst>
              <c:ext xmlns:c16="http://schemas.microsoft.com/office/drawing/2014/chart" uri="{C3380CC4-5D6E-409C-BE32-E72D297353CC}">
                <c16:uniqueId val="{00000009-582E-8B40-9459-0D2B5FC20434}"/>
              </c:ext>
            </c:extLst>
          </c:dPt>
          <c:dPt>
            <c:idx val="7"/>
            <c:invertIfNegative val="0"/>
            <c:bubble3D val="0"/>
            <c:spPr>
              <a:solidFill>
                <a:schemeClr val="accent6"/>
              </a:solidFill>
              <a:ln>
                <a:noFill/>
              </a:ln>
              <a:effectLst/>
            </c:spPr>
            <c:extLst>
              <c:ext xmlns:c16="http://schemas.microsoft.com/office/drawing/2014/chart" uri="{C3380CC4-5D6E-409C-BE32-E72D297353CC}">
                <c16:uniqueId val="{0000000A-582E-8B40-9459-0D2B5FC20434}"/>
              </c:ext>
            </c:extLst>
          </c:dPt>
          <c:dPt>
            <c:idx val="8"/>
            <c:invertIfNegative val="0"/>
            <c:bubble3D val="0"/>
            <c:spPr>
              <a:solidFill>
                <a:schemeClr val="accent6"/>
              </a:solidFill>
              <a:ln>
                <a:noFill/>
              </a:ln>
              <a:effectLst/>
            </c:spPr>
            <c:extLst>
              <c:ext xmlns:c16="http://schemas.microsoft.com/office/drawing/2014/chart" uri="{C3380CC4-5D6E-409C-BE32-E72D297353CC}">
                <c16:uniqueId val="{0000000B-582E-8B40-9459-0D2B5FC20434}"/>
              </c:ext>
            </c:extLst>
          </c:dPt>
          <c:dPt>
            <c:idx val="9"/>
            <c:invertIfNegative val="0"/>
            <c:bubble3D val="0"/>
            <c:spPr>
              <a:solidFill>
                <a:schemeClr val="accent6"/>
              </a:solidFill>
              <a:ln>
                <a:noFill/>
              </a:ln>
              <a:effectLst/>
            </c:spPr>
            <c:extLst>
              <c:ext xmlns:c16="http://schemas.microsoft.com/office/drawing/2014/chart" uri="{C3380CC4-5D6E-409C-BE32-E72D297353CC}">
                <c16:uniqueId val="{0000000C-582E-8B40-9459-0D2B5FC20434}"/>
              </c:ext>
            </c:extLst>
          </c:dPt>
          <c:dPt>
            <c:idx val="10"/>
            <c:invertIfNegative val="0"/>
            <c:bubble3D val="0"/>
            <c:spPr>
              <a:solidFill>
                <a:srgbClr val="C00000"/>
              </a:solidFill>
              <a:ln>
                <a:noFill/>
              </a:ln>
              <a:effectLst/>
            </c:spPr>
            <c:extLst>
              <c:ext xmlns:c16="http://schemas.microsoft.com/office/drawing/2014/chart" uri="{C3380CC4-5D6E-409C-BE32-E72D297353CC}">
                <c16:uniqueId val="{0000000F-582E-8B40-9459-0D2B5FC20434}"/>
              </c:ext>
            </c:extLst>
          </c:dPt>
          <c:dPt>
            <c:idx val="11"/>
            <c:invertIfNegative val="0"/>
            <c:bubble3D val="0"/>
            <c:spPr>
              <a:solidFill>
                <a:srgbClr val="C00000"/>
              </a:solidFill>
              <a:ln>
                <a:noFill/>
              </a:ln>
              <a:effectLst/>
            </c:spPr>
            <c:extLst>
              <c:ext xmlns:c16="http://schemas.microsoft.com/office/drawing/2014/chart" uri="{C3380CC4-5D6E-409C-BE32-E72D297353CC}">
                <c16:uniqueId val="{0000000E-582E-8B40-9459-0D2B5FC20434}"/>
              </c:ext>
            </c:extLst>
          </c:dPt>
          <c:dPt>
            <c:idx val="12"/>
            <c:invertIfNegative val="0"/>
            <c:bubble3D val="0"/>
            <c:spPr>
              <a:solidFill>
                <a:srgbClr val="C00000"/>
              </a:solidFill>
              <a:ln>
                <a:noFill/>
              </a:ln>
              <a:effectLst/>
            </c:spPr>
            <c:extLst>
              <c:ext xmlns:c16="http://schemas.microsoft.com/office/drawing/2014/chart" uri="{C3380CC4-5D6E-409C-BE32-E72D297353CC}">
                <c16:uniqueId val="{0000000D-582E-8B40-9459-0D2B5FC20434}"/>
              </c:ext>
            </c:extLst>
          </c:dPt>
          <c:cat>
            <c:strRef>
              <c:f>Sheet2!$A$20:$A$32</c:f>
              <c:strCache>
                <c:ptCount val="13"/>
                <c:pt idx="0">
                  <c:v>Spices</c:v>
                </c:pt>
                <c:pt idx="1">
                  <c:v>Cereals and products</c:v>
                </c:pt>
                <c:pt idx="2">
                  <c:v>Milk and products</c:v>
                </c:pt>
                <c:pt idx="3">
                  <c:v>Prepared meals, snacks, sweets etc.</c:v>
                </c:pt>
                <c:pt idx="4">
                  <c:v>Pulses and products</c:v>
                </c:pt>
                <c:pt idx="5">
                  <c:v>Egg</c:v>
                </c:pt>
                <c:pt idx="6">
                  <c:v>Non-alcoholic beverages</c:v>
                </c:pt>
                <c:pt idx="7">
                  <c:v>Fruits</c:v>
                </c:pt>
                <c:pt idx="8">
                  <c:v>Food and beverages</c:v>
                </c:pt>
                <c:pt idx="9">
                  <c:v>Sugar and Confectionery</c:v>
                </c:pt>
                <c:pt idx="10">
                  <c:v>Meat and fish</c:v>
                </c:pt>
                <c:pt idx="11">
                  <c:v>Vegetables</c:v>
                </c:pt>
                <c:pt idx="12">
                  <c:v>Oils and fats</c:v>
                </c:pt>
              </c:strCache>
            </c:strRef>
          </c:cat>
          <c:val>
            <c:numRef>
              <c:f>Sheet2!$D$20:$D$32</c:f>
              <c:numCache>
                <c:formatCode>General</c:formatCode>
                <c:ptCount val="13"/>
                <c:pt idx="0">
                  <c:v>28</c:v>
                </c:pt>
                <c:pt idx="1">
                  <c:v>19.700000000000017</c:v>
                </c:pt>
                <c:pt idx="2">
                  <c:v>13.5</c:v>
                </c:pt>
                <c:pt idx="3">
                  <c:v>11</c:v>
                </c:pt>
                <c:pt idx="4">
                  <c:v>8.7000000000000171</c:v>
                </c:pt>
                <c:pt idx="5">
                  <c:v>7.1999999999999886</c:v>
                </c:pt>
                <c:pt idx="6">
                  <c:v>5.8000000000000114</c:v>
                </c:pt>
                <c:pt idx="7">
                  <c:v>5.3000000000000114</c:v>
                </c:pt>
                <c:pt idx="8">
                  <c:v>4.5999999999999943</c:v>
                </c:pt>
                <c:pt idx="9">
                  <c:v>1.5999999999999943</c:v>
                </c:pt>
                <c:pt idx="10">
                  <c:v>-7.6999999999999886</c:v>
                </c:pt>
                <c:pt idx="11">
                  <c:v>-19.5</c:v>
                </c:pt>
                <c:pt idx="12">
                  <c:v>-27.5</c:v>
                </c:pt>
              </c:numCache>
            </c:numRef>
          </c:val>
          <c:extLst>
            <c:ext xmlns:c16="http://schemas.microsoft.com/office/drawing/2014/chart" uri="{C3380CC4-5D6E-409C-BE32-E72D297353CC}">
              <c16:uniqueId val="{00000002-582E-8B40-9459-0D2B5FC20434}"/>
            </c:ext>
          </c:extLst>
        </c:ser>
        <c:dLbls>
          <c:showLegendKey val="0"/>
          <c:showVal val="0"/>
          <c:showCatName val="0"/>
          <c:showSerName val="0"/>
          <c:showPercent val="0"/>
          <c:showBubbleSize val="0"/>
        </c:dLbls>
        <c:gapWidth val="219"/>
        <c:overlap val="-27"/>
        <c:axId val="805036351"/>
        <c:axId val="805038143"/>
      </c:barChart>
      <c:catAx>
        <c:axId val="80503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05038143"/>
        <c:crosses val="autoZero"/>
        <c:auto val="1"/>
        <c:lblAlgn val="ctr"/>
        <c:lblOffset val="100"/>
        <c:noMultiLvlLbl val="0"/>
      </c:catAx>
      <c:valAx>
        <c:axId val="805038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036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6">
                    <a:lumMod val="50000"/>
                  </a:schemeClr>
                </a:solidFill>
              </a:rPr>
              <a:t>Top Food Items Driving Inflation (Jun-22 to May-23)</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strRef>
              <c:f>Sheet2!$D$19</c:f>
              <c:strCache>
                <c:ptCount val="1"/>
                <c:pt idx="0">
                  <c:v>Absolute Change</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Sheet2!$A$20:$A$24</c:f>
              <c:strCache>
                <c:ptCount val="5"/>
                <c:pt idx="0">
                  <c:v>Spices</c:v>
                </c:pt>
                <c:pt idx="1">
                  <c:v>Cereals and products</c:v>
                </c:pt>
                <c:pt idx="2">
                  <c:v>Milk and products</c:v>
                </c:pt>
                <c:pt idx="3">
                  <c:v>Prepared meals, snacks, sweets etc.</c:v>
                </c:pt>
                <c:pt idx="4">
                  <c:v>Pulses and products</c:v>
                </c:pt>
              </c:strCache>
            </c:strRef>
          </c:cat>
          <c:val>
            <c:numRef>
              <c:f>Sheet2!$D$20:$D$24</c:f>
              <c:numCache>
                <c:formatCode>General</c:formatCode>
                <c:ptCount val="5"/>
                <c:pt idx="0">
                  <c:v>28</c:v>
                </c:pt>
                <c:pt idx="1">
                  <c:v>19.700000000000017</c:v>
                </c:pt>
                <c:pt idx="2">
                  <c:v>13.5</c:v>
                </c:pt>
                <c:pt idx="3">
                  <c:v>11</c:v>
                </c:pt>
                <c:pt idx="4">
                  <c:v>8.7000000000000171</c:v>
                </c:pt>
              </c:numCache>
            </c:numRef>
          </c:val>
          <c:extLst>
            <c:ext xmlns:c16="http://schemas.microsoft.com/office/drawing/2014/chart" uri="{C3380CC4-5D6E-409C-BE32-E72D297353CC}">
              <c16:uniqueId val="{00000002-4440-3548-8D0D-4DD64A7FC34E}"/>
            </c:ext>
          </c:extLst>
        </c:ser>
        <c:dLbls>
          <c:showLegendKey val="0"/>
          <c:showVal val="0"/>
          <c:showCatName val="0"/>
          <c:showSerName val="0"/>
          <c:showPercent val="0"/>
          <c:showBubbleSize val="0"/>
        </c:dLbls>
        <c:gapWidth val="219"/>
        <c:overlap val="-27"/>
        <c:axId val="1652673151"/>
        <c:axId val="728062079"/>
      </c:barChart>
      <c:catAx>
        <c:axId val="165267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8062079"/>
        <c:crosses val="autoZero"/>
        <c:auto val="1"/>
        <c:lblAlgn val="ctr"/>
        <c:lblOffset val="100"/>
        <c:noMultiLvlLbl val="0"/>
      </c:catAx>
      <c:valAx>
        <c:axId val="72806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673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6">
                    <a:lumMod val="50000"/>
                  </a:schemeClr>
                </a:solidFill>
              </a:rPr>
              <a:t>Month-on-Month Food Inflation Trend (Jun’22 – May’23)</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0"/>
          <c:tx>
            <c:strRef>
              <c:f>Sheet2!$D$1</c:f>
              <c:strCache>
                <c:ptCount val="1"/>
                <c:pt idx="0">
                  <c:v>MoM Food Inflation %</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Pt>
            <c:idx val="4"/>
            <c:marker>
              <c:symbol val="circle"/>
              <c:size val="5"/>
              <c:spPr>
                <a:solidFill>
                  <a:srgbClr val="C00000"/>
                </a:solidFill>
                <a:ln w="9525">
                  <a:solidFill>
                    <a:schemeClr val="accent5"/>
                  </a:solidFill>
                </a:ln>
                <a:effectLst/>
              </c:spPr>
            </c:marker>
            <c:bubble3D val="0"/>
            <c:extLst>
              <c:ext xmlns:c16="http://schemas.microsoft.com/office/drawing/2014/chart" uri="{C3380CC4-5D6E-409C-BE32-E72D297353CC}">
                <c16:uniqueId val="{00000000-F240-A34D-AF42-DAAB57A624D9}"/>
              </c:ext>
            </c:extLst>
          </c:dPt>
          <c:dPt>
            <c:idx val="6"/>
            <c:marker>
              <c:symbol val="circle"/>
              <c:size val="5"/>
              <c:spPr>
                <a:solidFill>
                  <a:srgbClr val="C00000"/>
                </a:solidFill>
                <a:ln w="9525">
                  <a:solidFill>
                    <a:schemeClr val="accent5"/>
                  </a:solidFill>
                </a:ln>
                <a:effectLst/>
              </c:spPr>
            </c:marker>
            <c:bubble3D val="0"/>
            <c:extLst>
              <c:ext xmlns:c16="http://schemas.microsoft.com/office/drawing/2014/chart" uri="{C3380CC4-5D6E-409C-BE32-E72D297353CC}">
                <c16:uniqueId val="{00000001-F240-A34D-AF42-DAAB57A624D9}"/>
              </c:ext>
            </c:extLst>
          </c:dPt>
          <c:dLbls>
            <c:dLbl>
              <c:idx val="4"/>
              <c:tx>
                <c:rich>
                  <a:bodyPr/>
                  <a:lstStyle/>
                  <a:p>
                    <a:r>
                      <a:rPr lang="en-US" sz="900" b="1" i="0" u="none" strike="noStrike" baseline="0"/>
                      <a:t>Peak: +1.0% (Food prices surge)</a:t>
                    </a:r>
                    <a:endParaRPr lang="en-US" b="1"/>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240-A34D-AF42-DAAB57A624D9}"/>
                </c:ext>
              </c:extLst>
            </c:dLbl>
            <c:dLbl>
              <c:idx val="6"/>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r>
                      <a:rPr lang="en-US" sz="900" b="1" i="0" u="none" strike="noStrike" baseline="0"/>
                      <a:t>Lowest: –1.3% (Price correction)</a:t>
                    </a:r>
                    <a:endParaRPr lang="en-US" b="1"/>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438631790744466"/>
                      <c:h val="8.1233786270185016E-2"/>
                    </c:manualLayout>
                  </c15:layout>
                  <c15:showDataLabelsRange val="0"/>
                </c:ext>
                <c:ext xmlns:c16="http://schemas.microsoft.com/office/drawing/2014/chart" uri="{C3380CC4-5D6E-409C-BE32-E72D297353CC}">
                  <c16:uniqueId val="{00000001-F240-A34D-AF42-DAAB57A624D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Sheet2!$A$2:$A$13</c:f>
              <c:numCache>
                <c:formatCode>d\-mmm\-yy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Sheet2!$D$2:$D$13</c:f>
              <c:numCache>
                <c:formatCode>0.0%</c:formatCode>
                <c:ptCount val="12"/>
                <c:pt idx="1">
                  <c:v>5.7175528873631976E-4</c:v>
                </c:pt>
                <c:pt idx="2">
                  <c:v>7.4285714285715621E-3</c:v>
                </c:pt>
                <c:pt idx="3">
                  <c:v>8.5082246171299669E-3</c:v>
                </c:pt>
                <c:pt idx="4">
                  <c:v>1.0123734533183271E-2</c:v>
                </c:pt>
                <c:pt idx="5">
                  <c:v>-7.2383073496657957E-3</c:v>
                </c:pt>
                <c:pt idx="6">
                  <c:v>-1.346045989904654E-2</c:v>
                </c:pt>
                <c:pt idx="7">
                  <c:v>4.5480386583285348E-3</c:v>
                </c:pt>
                <c:pt idx="8">
                  <c:v>1.6977928692700761E-3</c:v>
                </c:pt>
                <c:pt idx="9">
                  <c:v>0</c:v>
                </c:pt>
                <c:pt idx="10">
                  <c:v>5.0847457627118953E-3</c:v>
                </c:pt>
                <c:pt idx="11">
                  <c:v>6.7453625632376557E-3</c:v>
                </c:pt>
              </c:numCache>
            </c:numRef>
          </c:val>
          <c:smooth val="0"/>
          <c:extLst>
            <c:ext xmlns:c16="http://schemas.microsoft.com/office/drawing/2014/chart" uri="{C3380CC4-5D6E-409C-BE32-E72D297353CC}">
              <c16:uniqueId val="{00000002-F240-A34D-AF42-DAAB57A624D9}"/>
            </c:ext>
          </c:extLst>
        </c:ser>
        <c:dLbls>
          <c:showLegendKey val="0"/>
          <c:showVal val="0"/>
          <c:showCatName val="0"/>
          <c:showSerName val="0"/>
          <c:showPercent val="0"/>
          <c:showBubbleSize val="0"/>
        </c:dLbls>
        <c:marker val="1"/>
        <c:smooth val="0"/>
        <c:axId val="727175103"/>
        <c:axId val="633530431"/>
      </c:lineChart>
      <c:dateAx>
        <c:axId val="727175103"/>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3530431"/>
        <c:crosses val="autoZero"/>
        <c:auto val="1"/>
        <c:lblOffset val="100"/>
        <c:baseTimeUnit val="months"/>
      </c:dateAx>
      <c:valAx>
        <c:axId val="63353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175103"/>
        <c:crosses val="autoZero"/>
        <c:crossBetween val="between"/>
      </c:valAx>
      <c:spPr>
        <a:noFill/>
        <a:ln>
          <a:noFill/>
        </a:ln>
        <a:effectLst/>
      </c:spPr>
    </c:plotArea>
    <c:legend>
      <c:legendPos val="b"/>
      <c:layout>
        <c:manualLayout>
          <c:xMode val="edge"/>
          <c:yMode val="edge"/>
          <c:x val="3.4738650704592484E-2"/>
          <c:y val="0.88896883535421645"/>
          <c:w val="0.91437413177611981"/>
          <c:h val="9.3614618927351068E-2"/>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6">
                    <a:lumMod val="50000"/>
                  </a:schemeClr>
                </a:solidFill>
              </a:rPr>
              <a:t>Absolute Change in Food Prices (Jun-22 to May-23)</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1527601288227592E-2"/>
          <c:y val="0.17435024131165397"/>
          <c:w val="0.94349355662108458"/>
          <c:h val="0.75100722024843292"/>
        </c:manualLayout>
      </c:layout>
      <c:barChart>
        <c:barDir val="col"/>
        <c:grouping val="clustered"/>
        <c:varyColors val="0"/>
        <c:ser>
          <c:idx val="2"/>
          <c:order val="0"/>
          <c:tx>
            <c:strRef>
              <c:f>Sheet2!$D$19</c:f>
              <c:strCache>
                <c:ptCount val="1"/>
                <c:pt idx="0">
                  <c:v>Absolute Change</c:v>
                </c:pt>
              </c:strCache>
            </c:strRef>
          </c:tx>
          <c:spPr>
            <a:solidFill>
              <a:schemeClr val="accent3"/>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5227-8F4A-94D9-89B5483C8D44}"/>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5227-8F4A-94D9-89B5483C8D44}"/>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5227-8F4A-94D9-89B5483C8D44}"/>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7-5227-8F4A-94D9-89B5483C8D44}"/>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9-5227-8F4A-94D9-89B5483C8D44}"/>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5227-8F4A-94D9-89B5483C8D44}"/>
              </c:ext>
            </c:extLst>
          </c:dPt>
          <c:dPt>
            <c:idx val="6"/>
            <c:invertIfNegative val="0"/>
            <c:bubble3D val="0"/>
            <c:spPr>
              <a:solidFill>
                <a:schemeClr val="accent6"/>
              </a:solidFill>
              <a:ln>
                <a:noFill/>
              </a:ln>
              <a:effectLst/>
            </c:spPr>
            <c:extLst>
              <c:ext xmlns:c16="http://schemas.microsoft.com/office/drawing/2014/chart" uri="{C3380CC4-5D6E-409C-BE32-E72D297353CC}">
                <c16:uniqueId val="{0000000D-5227-8F4A-94D9-89B5483C8D44}"/>
              </c:ext>
            </c:extLst>
          </c:dPt>
          <c:dPt>
            <c:idx val="7"/>
            <c:invertIfNegative val="0"/>
            <c:bubble3D val="0"/>
            <c:spPr>
              <a:solidFill>
                <a:schemeClr val="accent6"/>
              </a:solidFill>
              <a:ln>
                <a:noFill/>
              </a:ln>
              <a:effectLst/>
            </c:spPr>
            <c:extLst>
              <c:ext xmlns:c16="http://schemas.microsoft.com/office/drawing/2014/chart" uri="{C3380CC4-5D6E-409C-BE32-E72D297353CC}">
                <c16:uniqueId val="{0000000F-5227-8F4A-94D9-89B5483C8D44}"/>
              </c:ext>
            </c:extLst>
          </c:dPt>
          <c:dPt>
            <c:idx val="8"/>
            <c:invertIfNegative val="0"/>
            <c:bubble3D val="0"/>
            <c:spPr>
              <a:solidFill>
                <a:schemeClr val="accent6"/>
              </a:solidFill>
              <a:ln>
                <a:noFill/>
              </a:ln>
              <a:effectLst/>
            </c:spPr>
            <c:extLst>
              <c:ext xmlns:c16="http://schemas.microsoft.com/office/drawing/2014/chart" uri="{C3380CC4-5D6E-409C-BE32-E72D297353CC}">
                <c16:uniqueId val="{00000011-5227-8F4A-94D9-89B5483C8D44}"/>
              </c:ext>
            </c:extLst>
          </c:dPt>
          <c:dPt>
            <c:idx val="9"/>
            <c:invertIfNegative val="0"/>
            <c:bubble3D val="0"/>
            <c:spPr>
              <a:solidFill>
                <a:schemeClr val="accent6"/>
              </a:solidFill>
              <a:ln>
                <a:noFill/>
              </a:ln>
              <a:effectLst/>
            </c:spPr>
            <c:extLst>
              <c:ext xmlns:c16="http://schemas.microsoft.com/office/drawing/2014/chart" uri="{C3380CC4-5D6E-409C-BE32-E72D297353CC}">
                <c16:uniqueId val="{00000013-5227-8F4A-94D9-89B5483C8D44}"/>
              </c:ext>
            </c:extLst>
          </c:dPt>
          <c:dPt>
            <c:idx val="10"/>
            <c:invertIfNegative val="0"/>
            <c:bubble3D val="0"/>
            <c:spPr>
              <a:solidFill>
                <a:srgbClr val="C00000"/>
              </a:solidFill>
              <a:ln>
                <a:noFill/>
              </a:ln>
              <a:effectLst/>
            </c:spPr>
            <c:extLst>
              <c:ext xmlns:c16="http://schemas.microsoft.com/office/drawing/2014/chart" uri="{C3380CC4-5D6E-409C-BE32-E72D297353CC}">
                <c16:uniqueId val="{00000015-5227-8F4A-94D9-89B5483C8D44}"/>
              </c:ext>
            </c:extLst>
          </c:dPt>
          <c:dPt>
            <c:idx val="11"/>
            <c:invertIfNegative val="0"/>
            <c:bubble3D val="0"/>
            <c:spPr>
              <a:solidFill>
                <a:srgbClr val="C00000"/>
              </a:solidFill>
              <a:ln>
                <a:noFill/>
              </a:ln>
              <a:effectLst/>
            </c:spPr>
            <c:extLst>
              <c:ext xmlns:c16="http://schemas.microsoft.com/office/drawing/2014/chart" uri="{C3380CC4-5D6E-409C-BE32-E72D297353CC}">
                <c16:uniqueId val="{00000017-5227-8F4A-94D9-89B5483C8D44}"/>
              </c:ext>
            </c:extLst>
          </c:dPt>
          <c:dPt>
            <c:idx val="12"/>
            <c:invertIfNegative val="0"/>
            <c:bubble3D val="0"/>
            <c:spPr>
              <a:solidFill>
                <a:srgbClr val="C00000"/>
              </a:solidFill>
              <a:ln>
                <a:noFill/>
              </a:ln>
              <a:effectLst/>
            </c:spPr>
            <c:extLst>
              <c:ext xmlns:c16="http://schemas.microsoft.com/office/drawing/2014/chart" uri="{C3380CC4-5D6E-409C-BE32-E72D297353CC}">
                <c16:uniqueId val="{00000019-5227-8F4A-94D9-89B5483C8D44}"/>
              </c:ext>
            </c:extLst>
          </c:dPt>
          <c:cat>
            <c:strRef>
              <c:f>Sheet2!$A$20:$A$32</c:f>
              <c:strCache>
                <c:ptCount val="13"/>
                <c:pt idx="0">
                  <c:v>Spices</c:v>
                </c:pt>
                <c:pt idx="1">
                  <c:v>Cereals and products</c:v>
                </c:pt>
                <c:pt idx="2">
                  <c:v>Milk and products</c:v>
                </c:pt>
                <c:pt idx="3">
                  <c:v>Prepared meals, snacks, sweets etc.</c:v>
                </c:pt>
                <c:pt idx="4">
                  <c:v>Pulses and products</c:v>
                </c:pt>
                <c:pt idx="5">
                  <c:v>Egg</c:v>
                </c:pt>
                <c:pt idx="6">
                  <c:v>Non-alcoholic beverages</c:v>
                </c:pt>
                <c:pt idx="7">
                  <c:v>Fruits</c:v>
                </c:pt>
                <c:pt idx="8">
                  <c:v>Food and beverages</c:v>
                </c:pt>
                <c:pt idx="9">
                  <c:v>Sugar and Confectionery</c:v>
                </c:pt>
                <c:pt idx="10">
                  <c:v>Meat and fish</c:v>
                </c:pt>
                <c:pt idx="11">
                  <c:v>Vegetables</c:v>
                </c:pt>
                <c:pt idx="12">
                  <c:v>Oils and fats</c:v>
                </c:pt>
              </c:strCache>
            </c:strRef>
          </c:cat>
          <c:val>
            <c:numRef>
              <c:f>Sheet2!$D$20:$D$32</c:f>
              <c:numCache>
                <c:formatCode>General</c:formatCode>
                <c:ptCount val="13"/>
                <c:pt idx="0">
                  <c:v>28</c:v>
                </c:pt>
                <c:pt idx="1">
                  <c:v>19.700000000000017</c:v>
                </c:pt>
                <c:pt idx="2">
                  <c:v>13.5</c:v>
                </c:pt>
                <c:pt idx="3">
                  <c:v>11</c:v>
                </c:pt>
                <c:pt idx="4">
                  <c:v>8.7000000000000171</c:v>
                </c:pt>
                <c:pt idx="5">
                  <c:v>7.1999999999999886</c:v>
                </c:pt>
                <c:pt idx="6">
                  <c:v>5.8000000000000114</c:v>
                </c:pt>
                <c:pt idx="7">
                  <c:v>5.3000000000000114</c:v>
                </c:pt>
                <c:pt idx="8">
                  <c:v>4.5999999999999943</c:v>
                </c:pt>
                <c:pt idx="9">
                  <c:v>1.5999999999999943</c:v>
                </c:pt>
                <c:pt idx="10">
                  <c:v>-7.6999999999999886</c:v>
                </c:pt>
                <c:pt idx="11">
                  <c:v>-19.5</c:v>
                </c:pt>
                <c:pt idx="12">
                  <c:v>-27.5</c:v>
                </c:pt>
              </c:numCache>
            </c:numRef>
          </c:val>
          <c:extLst>
            <c:ext xmlns:c16="http://schemas.microsoft.com/office/drawing/2014/chart" uri="{C3380CC4-5D6E-409C-BE32-E72D297353CC}">
              <c16:uniqueId val="{0000001A-5227-8F4A-94D9-89B5483C8D44}"/>
            </c:ext>
          </c:extLst>
        </c:ser>
        <c:dLbls>
          <c:showLegendKey val="0"/>
          <c:showVal val="0"/>
          <c:showCatName val="0"/>
          <c:showSerName val="0"/>
          <c:showPercent val="0"/>
          <c:showBubbleSize val="0"/>
        </c:dLbls>
        <c:gapWidth val="219"/>
        <c:overlap val="-27"/>
        <c:axId val="805036351"/>
        <c:axId val="805038143"/>
      </c:barChart>
      <c:catAx>
        <c:axId val="80503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05038143"/>
        <c:crosses val="autoZero"/>
        <c:auto val="1"/>
        <c:lblAlgn val="ctr"/>
        <c:lblOffset val="100"/>
        <c:noMultiLvlLbl val="0"/>
      </c:catAx>
      <c:valAx>
        <c:axId val="805038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036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6">
                    <a:lumMod val="50000"/>
                  </a:schemeClr>
                </a:solidFill>
              </a:rPr>
              <a:t>Top Food Items Driving Inflation (Jun-22 to May-23)</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strRef>
              <c:f>Sheet2!$D$19</c:f>
              <c:strCache>
                <c:ptCount val="1"/>
                <c:pt idx="0">
                  <c:v>Absolute Change</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Sheet2!$A$20:$A$24</c:f>
              <c:strCache>
                <c:ptCount val="5"/>
                <c:pt idx="0">
                  <c:v>Spices</c:v>
                </c:pt>
                <c:pt idx="1">
                  <c:v>Cereals and products</c:v>
                </c:pt>
                <c:pt idx="2">
                  <c:v>Milk and products</c:v>
                </c:pt>
                <c:pt idx="3">
                  <c:v>Prepared meals, snacks, sweets etc.</c:v>
                </c:pt>
                <c:pt idx="4">
                  <c:v>Pulses and products</c:v>
                </c:pt>
              </c:strCache>
            </c:strRef>
          </c:cat>
          <c:val>
            <c:numRef>
              <c:f>Sheet2!$D$20:$D$24</c:f>
              <c:numCache>
                <c:formatCode>General</c:formatCode>
                <c:ptCount val="5"/>
                <c:pt idx="0">
                  <c:v>28</c:v>
                </c:pt>
                <c:pt idx="1">
                  <c:v>19.700000000000017</c:v>
                </c:pt>
                <c:pt idx="2">
                  <c:v>13.5</c:v>
                </c:pt>
                <c:pt idx="3">
                  <c:v>11</c:v>
                </c:pt>
                <c:pt idx="4">
                  <c:v>8.7000000000000171</c:v>
                </c:pt>
              </c:numCache>
            </c:numRef>
          </c:val>
          <c:extLst>
            <c:ext xmlns:c16="http://schemas.microsoft.com/office/drawing/2014/chart" uri="{C3380CC4-5D6E-409C-BE32-E72D297353CC}">
              <c16:uniqueId val="{00000000-943D-1349-9336-9975CFE1FFB4}"/>
            </c:ext>
          </c:extLst>
        </c:ser>
        <c:dLbls>
          <c:showLegendKey val="0"/>
          <c:showVal val="0"/>
          <c:showCatName val="0"/>
          <c:showSerName val="0"/>
          <c:showPercent val="0"/>
          <c:showBubbleSize val="0"/>
        </c:dLbls>
        <c:gapWidth val="219"/>
        <c:overlap val="-27"/>
        <c:axId val="1652673151"/>
        <c:axId val="728062079"/>
      </c:barChart>
      <c:catAx>
        <c:axId val="165267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8062079"/>
        <c:crosses val="autoZero"/>
        <c:auto val="1"/>
        <c:lblAlgn val="ctr"/>
        <c:lblOffset val="100"/>
        <c:noMultiLvlLbl val="0"/>
      </c:catAx>
      <c:valAx>
        <c:axId val="72806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673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6">
                    <a:lumMod val="50000"/>
                  </a:schemeClr>
                </a:solidFill>
              </a:rPr>
              <a:t>YoY CPI Inflation Trend (Rural + Urban): Pre-COVID vs COVID</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Sheet8!$G$1:$G$76</c:f>
              <c:strCache>
                <c:ptCount val="76"/>
                <c:pt idx="0">
                  <c:v>COVID_Flag</c:v>
                </c:pt>
                <c:pt idx="1">
                  <c:v>Pre-COVID</c:v>
                </c:pt>
                <c:pt idx="2">
                  <c:v>Pre-COVID</c:v>
                </c:pt>
                <c:pt idx="3">
                  <c:v>Pre-COVID</c:v>
                </c:pt>
                <c:pt idx="4">
                  <c:v>Pre-COVID</c:v>
                </c:pt>
                <c:pt idx="5">
                  <c:v>Pre-COVID</c:v>
                </c:pt>
                <c:pt idx="6">
                  <c:v>Pre-COVID</c:v>
                </c:pt>
                <c:pt idx="7">
                  <c:v>Pre-COVID</c:v>
                </c:pt>
                <c:pt idx="8">
                  <c:v>Pre-COVID</c:v>
                </c:pt>
                <c:pt idx="9">
                  <c:v>Pre-COVID</c:v>
                </c:pt>
                <c:pt idx="10">
                  <c:v>Pre-COVID</c:v>
                </c:pt>
                <c:pt idx="11">
                  <c:v>Pre-COVID</c:v>
                </c:pt>
                <c:pt idx="12">
                  <c:v>Pre-COVID</c:v>
                </c:pt>
                <c:pt idx="13">
                  <c:v>Pre-COVID</c:v>
                </c:pt>
                <c:pt idx="14">
                  <c:v>Pre-COVID</c:v>
                </c:pt>
                <c:pt idx="15">
                  <c:v>Pre-COVID</c:v>
                </c:pt>
                <c:pt idx="16">
                  <c:v>Pre-COVID</c:v>
                </c:pt>
                <c:pt idx="17">
                  <c:v>Pre-COVID</c:v>
                </c:pt>
                <c:pt idx="18">
                  <c:v>Pre-COVID</c:v>
                </c:pt>
                <c:pt idx="19">
                  <c:v>Pre-COVID</c:v>
                </c:pt>
                <c:pt idx="20">
                  <c:v>Pre-COVID</c:v>
                </c:pt>
                <c:pt idx="21">
                  <c:v>Pre-COVID</c:v>
                </c:pt>
                <c:pt idx="22">
                  <c:v>Pre-COVID</c:v>
                </c:pt>
                <c:pt idx="23">
                  <c:v>Pre-COVID</c:v>
                </c:pt>
                <c:pt idx="24">
                  <c:v>Pre-COVID</c:v>
                </c:pt>
                <c:pt idx="25">
                  <c:v>Pre-COVID</c:v>
                </c:pt>
                <c:pt idx="26">
                  <c:v>Pre-COVID</c:v>
                </c:pt>
                <c:pt idx="27">
                  <c:v>Pre-COVID</c:v>
                </c:pt>
                <c:pt idx="28">
                  <c:v>Pre-COVID</c:v>
                </c:pt>
                <c:pt idx="29">
                  <c:v>Pre-COVID</c:v>
                </c:pt>
                <c:pt idx="30">
                  <c:v>Pre-COVID</c:v>
                </c:pt>
                <c:pt idx="31">
                  <c:v>Pre-COVID</c:v>
                </c:pt>
                <c:pt idx="32">
                  <c:v>Pre-COVID</c:v>
                </c:pt>
                <c:pt idx="33">
                  <c:v>Pre-COVID</c:v>
                </c:pt>
                <c:pt idx="34">
                  <c:v>Pre-COVID</c:v>
                </c:pt>
                <c:pt idx="35">
                  <c:v>Pre-COVID</c:v>
                </c:pt>
                <c:pt idx="36">
                  <c:v>Pre-COVID</c:v>
                </c:pt>
                <c:pt idx="37">
                  <c:v>Pre-COVID</c:v>
                </c:pt>
                <c:pt idx="38">
                  <c:v>COVID</c:v>
                </c:pt>
                <c:pt idx="39">
                  <c:v>COVID</c:v>
                </c:pt>
                <c:pt idx="40">
                  <c:v>COVID</c:v>
                </c:pt>
                <c:pt idx="41">
                  <c:v>COVID</c:v>
                </c:pt>
                <c:pt idx="42">
                  <c:v>COVID</c:v>
                </c:pt>
                <c:pt idx="43">
                  <c:v>COVID</c:v>
                </c:pt>
                <c:pt idx="44">
                  <c:v>COVID</c:v>
                </c:pt>
                <c:pt idx="45">
                  <c:v>COVID</c:v>
                </c:pt>
                <c:pt idx="46">
                  <c:v>COVID</c:v>
                </c:pt>
                <c:pt idx="47">
                  <c:v>COVID</c:v>
                </c:pt>
                <c:pt idx="48">
                  <c:v>COVID</c:v>
                </c:pt>
                <c:pt idx="49">
                  <c:v>COVID</c:v>
                </c:pt>
                <c:pt idx="50">
                  <c:v>COVID</c:v>
                </c:pt>
                <c:pt idx="51">
                  <c:v>COVID</c:v>
                </c:pt>
                <c:pt idx="52">
                  <c:v>COVID</c:v>
                </c:pt>
                <c:pt idx="53">
                  <c:v>COVID</c:v>
                </c:pt>
                <c:pt idx="54">
                  <c:v>COVID</c:v>
                </c:pt>
                <c:pt idx="55">
                  <c:v>COVID</c:v>
                </c:pt>
                <c:pt idx="56">
                  <c:v>COVID</c:v>
                </c:pt>
                <c:pt idx="57">
                  <c:v>COVID</c:v>
                </c:pt>
                <c:pt idx="58">
                  <c:v>COVID</c:v>
                </c:pt>
                <c:pt idx="59">
                  <c:v>COVID</c:v>
                </c:pt>
                <c:pt idx="60">
                  <c:v>COVID</c:v>
                </c:pt>
                <c:pt idx="61">
                  <c:v>COVID</c:v>
                </c:pt>
                <c:pt idx="62">
                  <c:v>COVID</c:v>
                </c:pt>
                <c:pt idx="63">
                  <c:v>Post-COVID</c:v>
                </c:pt>
                <c:pt idx="64">
                  <c:v>Post-COVID</c:v>
                </c:pt>
                <c:pt idx="65">
                  <c:v>Post-COVID</c:v>
                </c:pt>
                <c:pt idx="66">
                  <c:v>Post-COVID</c:v>
                </c:pt>
                <c:pt idx="67">
                  <c:v>Post-COVID</c:v>
                </c:pt>
                <c:pt idx="68">
                  <c:v>Post-COVID</c:v>
                </c:pt>
                <c:pt idx="69">
                  <c:v>Post-COVID</c:v>
                </c:pt>
                <c:pt idx="70">
                  <c:v>Post-COVID</c:v>
                </c:pt>
                <c:pt idx="71">
                  <c:v>Post-COVID</c:v>
                </c:pt>
                <c:pt idx="72">
                  <c:v>Post-COVID</c:v>
                </c:pt>
                <c:pt idx="73">
                  <c:v>Post-COVID</c:v>
                </c:pt>
                <c:pt idx="74">
                  <c:v>Post-COVID</c:v>
                </c:pt>
                <c:pt idx="75">
                  <c:v>Post-COVID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38"/>
              <c:layout>
                <c:manualLayout>
                  <c:x val="-2.1775556594800984E-3"/>
                  <c:y val="-1.774699768310849E-2"/>
                </c:manualLayout>
              </c:layout>
              <c:tx>
                <c:rich>
                  <a:bodyPr/>
                  <a:lstStyle/>
                  <a:p>
                    <a:r>
                      <a:rPr lang="en-US" sz="900" b="0" i="0" u="none" strike="noStrike" baseline="0"/>
                      <a:t>COVID Onset (Mar’20)</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3EBE-094F-A3C7-94C6F811D3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Sheet8!$A$2:$A$77</c:f>
              <c:numCache>
                <c:formatCode>mmm\-yy</c:formatCode>
                <c:ptCount val="76"/>
                <c:pt idx="0">
                  <c:v>42736</c:v>
                </c:pt>
                <c:pt idx="1">
                  <c:v>42767</c:v>
                </c:pt>
                <c:pt idx="2">
                  <c:v>42795</c:v>
                </c:pt>
                <c:pt idx="3">
                  <c:v>42826</c:v>
                </c:pt>
                <c:pt idx="4">
                  <c:v>42856</c:v>
                </c:pt>
                <c:pt idx="5">
                  <c:v>42887</c:v>
                </c:pt>
                <c:pt idx="6">
                  <c:v>42917</c:v>
                </c:pt>
                <c:pt idx="7">
                  <c:v>42948</c:v>
                </c:pt>
                <c:pt idx="8">
                  <c:v>42979</c:v>
                </c:pt>
                <c:pt idx="9">
                  <c:v>43009</c:v>
                </c:pt>
                <c:pt idx="10">
                  <c:v>43040</c:v>
                </c:pt>
                <c:pt idx="11">
                  <c:v>43070</c:v>
                </c:pt>
                <c:pt idx="12">
                  <c:v>43101</c:v>
                </c:pt>
                <c:pt idx="13">
                  <c:v>43132</c:v>
                </c:pt>
                <c:pt idx="14">
                  <c:v>43160</c:v>
                </c:pt>
                <c:pt idx="15">
                  <c:v>43191</c:v>
                </c:pt>
                <c:pt idx="16">
                  <c:v>43221</c:v>
                </c:pt>
                <c:pt idx="17">
                  <c:v>43252</c:v>
                </c:pt>
                <c:pt idx="18">
                  <c:v>43282</c:v>
                </c:pt>
                <c:pt idx="19">
                  <c:v>43313</c:v>
                </c:pt>
                <c:pt idx="20">
                  <c:v>43344</c:v>
                </c:pt>
                <c:pt idx="21">
                  <c:v>43374</c:v>
                </c:pt>
                <c:pt idx="22">
                  <c:v>43405</c:v>
                </c:pt>
                <c:pt idx="23">
                  <c:v>43435</c:v>
                </c:pt>
                <c:pt idx="24">
                  <c:v>43466</c:v>
                </c:pt>
                <c:pt idx="25">
                  <c:v>43497</c:v>
                </c:pt>
                <c:pt idx="26">
                  <c:v>43525</c:v>
                </c:pt>
                <c:pt idx="27">
                  <c:v>43586</c:v>
                </c:pt>
                <c:pt idx="28">
                  <c:v>43617</c:v>
                </c:pt>
                <c:pt idx="29">
                  <c:v>43647</c:v>
                </c:pt>
                <c:pt idx="30">
                  <c:v>43678</c:v>
                </c:pt>
                <c:pt idx="31">
                  <c:v>43709</c:v>
                </c:pt>
                <c:pt idx="32">
                  <c:v>43739</c:v>
                </c:pt>
                <c:pt idx="33">
                  <c:v>43770</c:v>
                </c:pt>
                <c:pt idx="34">
                  <c:v>43800</c:v>
                </c:pt>
                <c:pt idx="35">
                  <c:v>43831</c:v>
                </c:pt>
                <c:pt idx="36">
                  <c:v>43862</c:v>
                </c:pt>
                <c:pt idx="37">
                  <c:v>43891</c:v>
                </c:pt>
                <c:pt idx="38">
                  <c:v>43922</c:v>
                </c:pt>
                <c:pt idx="39">
                  <c:v>43952</c:v>
                </c:pt>
                <c:pt idx="40">
                  <c:v>43983</c:v>
                </c:pt>
                <c:pt idx="41">
                  <c:v>44013</c:v>
                </c:pt>
                <c:pt idx="42">
                  <c:v>44044</c:v>
                </c:pt>
                <c:pt idx="43">
                  <c:v>44075</c:v>
                </c:pt>
                <c:pt idx="44">
                  <c:v>44105</c:v>
                </c:pt>
                <c:pt idx="45">
                  <c:v>44136</c:v>
                </c:pt>
                <c:pt idx="46">
                  <c:v>44166</c:v>
                </c:pt>
                <c:pt idx="47">
                  <c:v>44197</c:v>
                </c:pt>
                <c:pt idx="48">
                  <c:v>44228</c:v>
                </c:pt>
                <c:pt idx="49">
                  <c:v>44256</c:v>
                </c:pt>
                <c:pt idx="50">
                  <c:v>44287</c:v>
                </c:pt>
                <c:pt idx="51">
                  <c:v>44317</c:v>
                </c:pt>
                <c:pt idx="52">
                  <c:v>44348</c:v>
                </c:pt>
                <c:pt idx="53">
                  <c:v>44378</c:v>
                </c:pt>
                <c:pt idx="54">
                  <c:v>44409</c:v>
                </c:pt>
                <c:pt idx="55">
                  <c:v>44440</c:v>
                </c:pt>
                <c:pt idx="56">
                  <c:v>44470</c:v>
                </c:pt>
                <c:pt idx="57">
                  <c:v>44501</c:v>
                </c:pt>
                <c:pt idx="58">
                  <c:v>44531</c:v>
                </c:pt>
                <c:pt idx="59">
                  <c:v>44562</c:v>
                </c:pt>
                <c:pt idx="60">
                  <c:v>44593</c:v>
                </c:pt>
                <c:pt idx="61">
                  <c:v>44621</c:v>
                </c:pt>
                <c:pt idx="62">
                  <c:v>44652</c:v>
                </c:pt>
                <c:pt idx="63">
                  <c:v>44682</c:v>
                </c:pt>
                <c:pt idx="64">
                  <c:v>44713</c:v>
                </c:pt>
                <c:pt idx="65">
                  <c:v>44743</c:v>
                </c:pt>
                <c:pt idx="66">
                  <c:v>44774</c:v>
                </c:pt>
                <c:pt idx="67">
                  <c:v>44805</c:v>
                </c:pt>
                <c:pt idx="68">
                  <c:v>44835</c:v>
                </c:pt>
                <c:pt idx="69">
                  <c:v>44866</c:v>
                </c:pt>
                <c:pt idx="70">
                  <c:v>44896</c:v>
                </c:pt>
                <c:pt idx="71">
                  <c:v>44927</c:v>
                </c:pt>
                <c:pt idx="72">
                  <c:v>44958</c:v>
                </c:pt>
                <c:pt idx="73">
                  <c:v>44986</c:v>
                </c:pt>
                <c:pt idx="74">
                  <c:v>45017</c:v>
                </c:pt>
                <c:pt idx="75">
                  <c:v>45047</c:v>
                </c:pt>
              </c:numCache>
            </c:numRef>
          </c:cat>
          <c:val>
            <c:numRef>
              <c:f>Sheet8!$F$2:$F$77</c:f>
              <c:numCache>
                <c:formatCode>0.0%</c:formatCode>
                <c:ptCount val="76"/>
                <c:pt idx="0">
                  <c:v>3.1670625494853555E-2</c:v>
                </c:pt>
                <c:pt idx="1">
                  <c:v>3.6507936507936378E-2</c:v>
                </c:pt>
                <c:pt idx="2">
                  <c:v>3.8888888888888973E-2</c:v>
                </c:pt>
                <c:pt idx="3">
                  <c:v>2.9850746268656803E-2</c:v>
                </c:pt>
                <c:pt idx="4">
                  <c:v>2.1772939346812015E-2</c:v>
                </c:pt>
                <c:pt idx="5">
                  <c:v>1.4604150653343639E-2</c:v>
                </c:pt>
                <c:pt idx="6">
                  <c:v>2.3646071700991644E-2</c:v>
                </c:pt>
                <c:pt idx="7">
                  <c:v>3.2799389778794819E-2</c:v>
                </c:pt>
                <c:pt idx="8">
                  <c:v>3.2849503437738514E-2</c:v>
                </c:pt>
                <c:pt idx="9">
                  <c:v>3.5768645357686424E-2</c:v>
                </c:pt>
                <c:pt idx="10">
                  <c:v>4.8780487804878092E-2</c:v>
                </c:pt>
                <c:pt idx="11">
                  <c:v>5.2147239263803602E-2</c:v>
                </c:pt>
                <c:pt idx="12">
                  <c:v>5.0652340752110447E-2</c:v>
                </c:pt>
                <c:pt idx="13">
                  <c:v>4.4410413476263511E-2</c:v>
                </c:pt>
                <c:pt idx="14">
                  <c:v>4.2780748663101553E-2</c:v>
                </c:pt>
                <c:pt idx="15">
                  <c:v>4.5766590389016093E-2</c:v>
                </c:pt>
                <c:pt idx="16">
                  <c:v>4.8706240487062402E-2</c:v>
                </c:pt>
                <c:pt idx="17">
                  <c:v>4.924242424242431E-2</c:v>
                </c:pt>
                <c:pt idx="18">
                  <c:v>4.1728763040238537E-2</c:v>
                </c:pt>
                <c:pt idx="19">
                  <c:v>3.692762186115206E-2</c:v>
                </c:pt>
                <c:pt idx="20">
                  <c:v>3.6982248520710082E-2</c:v>
                </c:pt>
                <c:pt idx="21">
                  <c:v>3.4533431300514561E-2</c:v>
                </c:pt>
                <c:pt idx="22">
                  <c:v>2.3255813953488413E-2</c:v>
                </c:pt>
                <c:pt idx="23">
                  <c:v>2.1137026239067103E-2</c:v>
                </c:pt>
                <c:pt idx="24">
                  <c:v>1.9722425127830512E-2</c:v>
                </c:pt>
                <c:pt idx="25">
                  <c:v>2.5659824046920798E-2</c:v>
                </c:pt>
                <c:pt idx="26">
                  <c:v>2.8571428571428692E-2</c:v>
                </c:pt>
                <c:pt idx="27">
                  <c:v>3.0478955007256836E-2</c:v>
                </c:pt>
                <c:pt idx="28">
                  <c:v>3.1768953068592065E-2</c:v>
                </c:pt>
                <c:pt idx="29">
                  <c:v>3.1473533619456262E-2</c:v>
                </c:pt>
                <c:pt idx="30">
                  <c:v>3.2763532763532721E-2</c:v>
                </c:pt>
                <c:pt idx="31">
                  <c:v>3.9942938659058624E-2</c:v>
                </c:pt>
                <c:pt idx="32">
                  <c:v>4.5454545454545192E-2</c:v>
                </c:pt>
                <c:pt idx="33">
                  <c:v>5.5397727272727071E-2</c:v>
                </c:pt>
                <c:pt idx="34">
                  <c:v>7.3518915060670986E-2</c:v>
                </c:pt>
                <c:pt idx="35">
                  <c:v>7.5931232091690504E-2</c:v>
                </c:pt>
                <c:pt idx="36">
                  <c:v>6.5761258041458159E-2</c:v>
                </c:pt>
                <c:pt idx="37">
                  <c:v>5.8404558404558271E-2</c:v>
                </c:pt>
                <c:pt idx="38">
                  <c:v>#N/A</c:v>
                </c:pt>
                <c:pt idx="39">
                  <c:v>6.6901408450704247E-2</c:v>
                </c:pt>
                <c:pt idx="40">
                  <c:v>6.2281315605318355E-2</c:v>
                </c:pt>
                <c:pt idx="41">
                  <c:v>5.2704576976421835E-2</c:v>
                </c:pt>
                <c:pt idx="42">
                  <c:v>6.1379310344827687E-2</c:v>
                </c:pt>
                <c:pt idx="43">
                  <c:v>6.104252400548682E-2</c:v>
                </c:pt>
                <c:pt idx="44">
                  <c:v>6.2500000000000222E-2</c:v>
                </c:pt>
                <c:pt idx="45">
                  <c:v>6.5948855989232946E-2</c:v>
                </c:pt>
                <c:pt idx="46">
                  <c:v>5.6515957446808596E-2</c:v>
                </c:pt>
                <c:pt idx="47">
                  <c:v>4.7270306258322403E-2</c:v>
                </c:pt>
                <c:pt idx="48">
                  <c:v>5.0301810865191143E-2</c:v>
                </c:pt>
                <c:pt idx="49">
                  <c:v>5.5181695827725585E-2</c:v>
                </c:pt>
                <c:pt idx="50">
                  <c:v>2.9354207436399271E-2</c:v>
                </c:pt>
                <c:pt idx="51">
                  <c:v>5.8745874587458724E-2</c:v>
                </c:pt>
                <c:pt idx="52">
                  <c:v>6.2582345191040778E-2</c:v>
                </c:pt>
                <c:pt idx="53">
                  <c:v>7.0487483530961681E-2</c:v>
                </c:pt>
                <c:pt idx="54">
                  <c:v>6.0428849902534054E-2</c:v>
                </c:pt>
                <c:pt idx="55">
                  <c:v>5.4945054945054972E-2</c:v>
                </c:pt>
                <c:pt idx="56">
                  <c:v>5.8184143222506313E-2</c:v>
                </c:pt>
                <c:pt idx="57">
                  <c:v>5.2398989898989834E-2</c:v>
                </c:pt>
                <c:pt idx="58">
                  <c:v>4.5940843297671341E-2</c:v>
                </c:pt>
                <c:pt idx="59">
                  <c:v>5.3401144310235127E-2</c:v>
                </c:pt>
                <c:pt idx="60">
                  <c:v>6.0664112388250313E-2</c:v>
                </c:pt>
                <c:pt idx="61">
                  <c:v>6.9515306122448939E-2</c:v>
                </c:pt>
                <c:pt idx="62">
                  <c:v>7.7946768060836336E-2</c:v>
                </c:pt>
                <c:pt idx="63">
                  <c:v>7.0448877805486143E-2</c:v>
                </c:pt>
                <c:pt idx="64">
                  <c:v>7.0055796652200852E-2</c:v>
                </c:pt>
                <c:pt idx="65">
                  <c:v>6.7076923076923034E-2</c:v>
                </c:pt>
                <c:pt idx="66">
                  <c:v>6.8014705882353033E-2</c:v>
                </c:pt>
                <c:pt idx="67">
                  <c:v>7.4142156862745168E-2</c:v>
                </c:pt>
                <c:pt idx="68">
                  <c:v>6.7673716012084606E-2</c:v>
                </c:pt>
                <c:pt idx="69">
                  <c:v>5.8788242351529796E-2</c:v>
                </c:pt>
                <c:pt idx="70">
                  <c:v>5.7160048134777375E-2</c:v>
                </c:pt>
                <c:pt idx="71">
                  <c:v>6.5178032589016333E-2</c:v>
                </c:pt>
                <c:pt idx="72">
                  <c:v>6.682721252257684E-2</c:v>
                </c:pt>
                <c:pt idx="73">
                  <c:v>5.6648777579010101E-2</c:v>
                </c:pt>
                <c:pt idx="74">
                  <c:v>4.7031158142269325E-2</c:v>
                </c:pt>
                <c:pt idx="75">
                  <c:v>4.3098427489807856E-2</c:v>
                </c:pt>
              </c:numCache>
            </c:numRef>
          </c:val>
          <c:smooth val="0"/>
          <c:extLst>
            <c:ext xmlns:c16="http://schemas.microsoft.com/office/drawing/2014/chart" uri="{C3380CC4-5D6E-409C-BE32-E72D297353CC}">
              <c16:uniqueId val="{00000001-F2D4-574E-A4BA-91DFCCE433A0}"/>
            </c:ext>
          </c:extLst>
        </c:ser>
        <c:dLbls>
          <c:showLegendKey val="0"/>
          <c:showVal val="0"/>
          <c:showCatName val="0"/>
          <c:showSerName val="0"/>
          <c:showPercent val="0"/>
          <c:showBubbleSize val="0"/>
        </c:dLbls>
        <c:marker val="1"/>
        <c:smooth val="0"/>
        <c:axId val="1400383999"/>
        <c:axId val="1400385791"/>
      </c:lineChart>
      <c:dateAx>
        <c:axId val="14003839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Time (Month–Year)</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385791"/>
        <c:crosses val="autoZero"/>
        <c:auto val="1"/>
        <c:lblOffset val="100"/>
        <c:baseTimeUnit val="months"/>
      </c:dateAx>
      <c:valAx>
        <c:axId val="1400385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YoY Inflation (%)</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383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Inflation Impact of COVID Across Key CPI Categories</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Sheet8!$AE$1</c:f>
              <c:strCache>
                <c:ptCount val="1"/>
                <c:pt idx="0">
                  <c:v>Pre-COVID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Sheet8!$AD$2:$AD$5</c:f>
              <c:strCache>
                <c:ptCount val="4"/>
                <c:pt idx="0">
                  <c:v>Overall CPI</c:v>
                </c:pt>
                <c:pt idx="1">
                  <c:v>Food</c:v>
                </c:pt>
                <c:pt idx="2">
                  <c:v>Health</c:v>
                </c:pt>
                <c:pt idx="3">
                  <c:v>Other</c:v>
                </c:pt>
              </c:strCache>
            </c:strRef>
          </c:cat>
          <c:val>
            <c:numRef>
              <c:f>Sheet8!$AE$2:$AE$5</c:f>
              <c:numCache>
                <c:formatCode>0.00%</c:formatCode>
                <c:ptCount val="4"/>
                <c:pt idx="0">
                  <c:v>3.9E-2</c:v>
                </c:pt>
                <c:pt idx="1">
                  <c:v>2.1999999999999999E-2</c:v>
                </c:pt>
                <c:pt idx="2">
                  <c:v>5.8000000000000003E-2</c:v>
                </c:pt>
                <c:pt idx="3">
                  <c:v>4.4999999999999998E-2</c:v>
                </c:pt>
              </c:numCache>
            </c:numRef>
          </c:val>
          <c:extLst>
            <c:ext xmlns:c16="http://schemas.microsoft.com/office/drawing/2014/chart" uri="{C3380CC4-5D6E-409C-BE32-E72D297353CC}">
              <c16:uniqueId val="{00000000-09FD-6341-A6C1-5F5154735159}"/>
            </c:ext>
          </c:extLst>
        </c:ser>
        <c:ser>
          <c:idx val="1"/>
          <c:order val="1"/>
          <c:tx>
            <c:strRef>
              <c:f>Sheet8!$AF$1</c:f>
              <c:strCache>
                <c:ptCount val="1"/>
                <c:pt idx="0">
                  <c:v>COVID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Sheet8!$AD$2:$AD$5</c:f>
              <c:strCache>
                <c:ptCount val="4"/>
                <c:pt idx="0">
                  <c:v>Overall CPI</c:v>
                </c:pt>
                <c:pt idx="1">
                  <c:v>Food</c:v>
                </c:pt>
                <c:pt idx="2">
                  <c:v>Health</c:v>
                </c:pt>
                <c:pt idx="3">
                  <c:v>Other</c:v>
                </c:pt>
              </c:strCache>
            </c:strRef>
          </c:cat>
          <c:val>
            <c:numRef>
              <c:f>Sheet8!$AF$2:$AF$5</c:f>
              <c:numCache>
                <c:formatCode>0.00%</c:formatCode>
                <c:ptCount val="4"/>
                <c:pt idx="0">
                  <c:v>5.7000000000000002E-2</c:v>
                </c:pt>
                <c:pt idx="1">
                  <c:v>7.2999999999999995E-2</c:v>
                </c:pt>
                <c:pt idx="2">
                  <c:v>6.4000000000000001E-2</c:v>
                </c:pt>
                <c:pt idx="3">
                  <c:v>6.0999999999999999E-2</c:v>
                </c:pt>
              </c:numCache>
            </c:numRef>
          </c:val>
          <c:extLst>
            <c:ext xmlns:c16="http://schemas.microsoft.com/office/drawing/2014/chart" uri="{C3380CC4-5D6E-409C-BE32-E72D297353CC}">
              <c16:uniqueId val="{00000001-09FD-6341-A6C1-5F5154735159}"/>
            </c:ext>
          </c:extLst>
        </c:ser>
        <c:dLbls>
          <c:showLegendKey val="0"/>
          <c:showVal val="0"/>
          <c:showCatName val="0"/>
          <c:showSerName val="0"/>
          <c:showPercent val="0"/>
          <c:showBubbleSize val="0"/>
        </c:dLbls>
        <c:gapWidth val="219"/>
        <c:overlap val="-27"/>
        <c:axId val="1353780735"/>
        <c:axId val="1353782975"/>
      </c:barChart>
      <c:catAx>
        <c:axId val="135378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782975"/>
        <c:crosses val="autoZero"/>
        <c:auto val="1"/>
        <c:lblAlgn val="ctr"/>
        <c:lblOffset val="100"/>
        <c:noMultiLvlLbl val="0"/>
      </c:catAx>
      <c:valAx>
        <c:axId val="13537829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780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accent6">
                    <a:lumMod val="50000"/>
                  </a:schemeClr>
                </a:solidFill>
              </a:rPr>
              <a:t>Food Inflation Trend Before and During COVID</a:t>
            </a:r>
            <a:endParaRPr lang="en-US" sz="16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Sheet8!$O$77:$Q$77</c:f>
              <c:strCache>
                <c:ptCount val="1"/>
                <c:pt idx="0">
                  <c:v>177.3 172.1 3.0%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Sheet8!$A$2:$A$77</c:f>
              <c:numCache>
                <c:formatCode>mmm\-yy</c:formatCode>
                <c:ptCount val="76"/>
                <c:pt idx="0">
                  <c:v>42736</c:v>
                </c:pt>
                <c:pt idx="1">
                  <c:v>42767</c:v>
                </c:pt>
                <c:pt idx="2">
                  <c:v>42795</c:v>
                </c:pt>
                <c:pt idx="3">
                  <c:v>42826</c:v>
                </c:pt>
                <c:pt idx="4">
                  <c:v>42856</c:v>
                </c:pt>
                <c:pt idx="5">
                  <c:v>42887</c:v>
                </c:pt>
                <c:pt idx="6">
                  <c:v>42917</c:v>
                </c:pt>
                <c:pt idx="7">
                  <c:v>42948</c:v>
                </c:pt>
                <c:pt idx="8">
                  <c:v>42979</c:v>
                </c:pt>
                <c:pt idx="9">
                  <c:v>43009</c:v>
                </c:pt>
                <c:pt idx="10">
                  <c:v>43040</c:v>
                </c:pt>
                <c:pt idx="11">
                  <c:v>43070</c:v>
                </c:pt>
                <c:pt idx="12">
                  <c:v>43101</c:v>
                </c:pt>
                <c:pt idx="13">
                  <c:v>43132</c:v>
                </c:pt>
                <c:pt idx="14">
                  <c:v>43160</c:v>
                </c:pt>
                <c:pt idx="15">
                  <c:v>43191</c:v>
                </c:pt>
                <c:pt idx="16">
                  <c:v>43221</c:v>
                </c:pt>
                <c:pt idx="17">
                  <c:v>43252</c:v>
                </c:pt>
                <c:pt idx="18">
                  <c:v>43282</c:v>
                </c:pt>
                <c:pt idx="19">
                  <c:v>43313</c:v>
                </c:pt>
                <c:pt idx="20">
                  <c:v>43344</c:v>
                </c:pt>
                <c:pt idx="21">
                  <c:v>43374</c:v>
                </c:pt>
                <c:pt idx="22">
                  <c:v>43405</c:v>
                </c:pt>
                <c:pt idx="23">
                  <c:v>43435</c:v>
                </c:pt>
                <c:pt idx="24">
                  <c:v>43466</c:v>
                </c:pt>
                <c:pt idx="25">
                  <c:v>43497</c:v>
                </c:pt>
                <c:pt idx="26">
                  <c:v>43525</c:v>
                </c:pt>
                <c:pt idx="27">
                  <c:v>43586</c:v>
                </c:pt>
                <c:pt idx="28">
                  <c:v>43617</c:v>
                </c:pt>
                <c:pt idx="29">
                  <c:v>43647</c:v>
                </c:pt>
                <c:pt idx="30">
                  <c:v>43678</c:v>
                </c:pt>
                <c:pt idx="31">
                  <c:v>43709</c:v>
                </c:pt>
                <c:pt idx="32">
                  <c:v>43739</c:v>
                </c:pt>
                <c:pt idx="33">
                  <c:v>43770</c:v>
                </c:pt>
                <c:pt idx="34">
                  <c:v>43800</c:v>
                </c:pt>
                <c:pt idx="35">
                  <c:v>43831</c:v>
                </c:pt>
                <c:pt idx="36">
                  <c:v>43862</c:v>
                </c:pt>
                <c:pt idx="37">
                  <c:v>43891</c:v>
                </c:pt>
                <c:pt idx="38">
                  <c:v>43922</c:v>
                </c:pt>
                <c:pt idx="39">
                  <c:v>43952</c:v>
                </c:pt>
                <c:pt idx="40">
                  <c:v>43983</c:v>
                </c:pt>
                <c:pt idx="41">
                  <c:v>44013</c:v>
                </c:pt>
                <c:pt idx="42">
                  <c:v>44044</c:v>
                </c:pt>
                <c:pt idx="43">
                  <c:v>44075</c:v>
                </c:pt>
                <c:pt idx="44">
                  <c:v>44105</c:v>
                </c:pt>
                <c:pt idx="45">
                  <c:v>44136</c:v>
                </c:pt>
                <c:pt idx="46">
                  <c:v>44166</c:v>
                </c:pt>
                <c:pt idx="47">
                  <c:v>44197</c:v>
                </c:pt>
                <c:pt idx="48">
                  <c:v>44228</c:v>
                </c:pt>
                <c:pt idx="49">
                  <c:v>44256</c:v>
                </c:pt>
                <c:pt idx="50">
                  <c:v>44287</c:v>
                </c:pt>
                <c:pt idx="51">
                  <c:v>44317</c:v>
                </c:pt>
                <c:pt idx="52">
                  <c:v>44348</c:v>
                </c:pt>
                <c:pt idx="53">
                  <c:v>44378</c:v>
                </c:pt>
                <c:pt idx="54">
                  <c:v>44409</c:v>
                </c:pt>
                <c:pt idx="55">
                  <c:v>44440</c:v>
                </c:pt>
                <c:pt idx="56">
                  <c:v>44470</c:v>
                </c:pt>
                <c:pt idx="57">
                  <c:v>44501</c:v>
                </c:pt>
                <c:pt idx="58">
                  <c:v>44531</c:v>
                </c:pt>
                <c:pt idx="59">
                  <c:v>44562</c:v>
                </c:pt>
                <c:pt idx="60">
                  <c:v>44593</c:v>
                </c:pt>
                <c:pt idx="61">
                  <c:v>44621</c:v>
                </c:pt>
                <c:pt idx="62">
                  <c:v>44652</c:v>
                </c:pt>
                <c:pt idx="63">
                  <c:v>44682</c:v>
                </c:pt>
                <c:pt idx="64">
                  <c:v>44713</c:v>
                </c:pt>
                <c:pt idx="65">
                  <c:v>44743</c:v>
                </c:pt>
                <c:pt idx="66">
                  <c:v>44774</c:v>
                </c:pt>
                <c:pt idx="67">
                  <c:v>44805</c:v>
                </c:pt>
                <c:pt idx="68">
                  <c:v>44835</c:v>
                </c:pt>
                <c:pt idx="69">
                  <c:v>44866</c:v>
                </c:pt>
                <c:pt idx="70">
                  <c:v>44896</c:v>
                </c:pt>
                <c:pt idx="71">
                  <c:v>44927</c:v>
                </c:pt>
                <c:pt idx="72">
                  <c:v>44958</c:v>
                </c:pt>
                <c:pt idx="73">
                  <c:v>44986</c:v>
                </c:pt>
                <c:pt idx="74">
                  <c:v>45017</c:v>
                </c:pt>
                <c:pt idx="75">
                  <c:v>45047</c:v>
                </c:pt>
              </c:numCache>
            </c:numRef>
          </c:cat>
          <c:val>
            <c:numRef>
              <c:f>Sheet8!$Q$2:$Q$77</c:f>
              <c:numCache>
                <c:formatCode>0.0%</c:formatCode>
                <c:ptCount val="76"/>
                <c:pt idx="0">
                  <c:v>2.1661112535247124E-2</c:v>
                </c:pt>
                <c:pt idx="1">
                  <c:v>2.6546957757395996E-2</c:v>
                </c:pt>
                <c:pt idx="2">
                  <c:v>2.6142099132910632E-2</c:v>
                </c:pt>
                <c:pt idx="3">
                  <c:v>9.8120420516089966E-3</c:v>
                </c:pt>
                <c:pt idx="4">
                  <c:v>-6.5772989225757958E-3</c:v>
                </c:pt>
                <c:pt idx="5">
                  <c:v>-1.4964897154822064E-2</c:v>
                </c:pt>
                <c:pt idx="6">
                  <c:v>-8.9356270135555731E-3</c:v>
                </c:pt>
                <c:pt idx="7">
                  <c:v>1.9512195121952191E-3</c:v>
                </c:pt>
                <c:pt idx="8">
                  <c:v>2.3969024645073217E-3</c:v>
                </c:pt>
                <c:pt idx="9">
                  <c:v>6.013007731010123E-3</c:v>
                </c:pt>
                <c:pt idx="10">
                  <c:v>2.6113198250908406E-2</c:v>
                </c:pt>
                <c:pt idx="11">
                  <c:v>2.9750420115764918E-2</c:v>
                </c:pt>
                <c:pt idx="12">
                  <c:v>2.9168234851336315E-2</c:v>
                </c:pt>
                <c:pt idx="13">
                  <c:v>2.1078462216069679E-2</c:v>
                </c:pt>
                <c:pt idx="14">
                  <c:v>2.0809685962920921E-2</c:v>
                </c:pt>
                <c:pt idx="15">
                  <c:v>2.1894125812353973E-2</c:v>
                </c:pt>
                <c:pt idx="16">
                  <c:v>2.2573932782647192E-2</c:v>
                </c:pt>
                <c:pt idx="17">
                  <c:v>2.2006877149109125E-2</c:v>
                </c:pt>
                <c:pt idx="18">
                  <c:v>1.4413640824337657E-2</c:v>
                </c:pt>
                <c:pt idx="19">
                  <c:v>8.3982473222979966E-3</c:v>
                </c:pt>
                <c:pt idx="20">
                  <c:v>4.9662783568363809E-3</c:v>
                </c:pt>
                <c:pt idx="21">
                  <c:v>-1.8907050500121428E-3</c:v>
                </c:pt>
                <c:pt idx="22">
                  <c:v>-1.8066142488446017E-2</c:v>
                </c:pt>
                <c:pt idx="23">
                  <c:v>-1.8071925052886129E-2</c:v>
                </c:pt>
                <c:pt idx="24">
                  <c:v>-1.5054549887243278E-2</c:v>
                </c:pt>
                <c:pt idx="25">
                  <c:v>-1.971900419028727E-3</c:v>
                </c:pt>
                <c:pt idx="26">
                  <c:v>3.7064492216456633E-3</c:v>
                </c:pt>
                <c:pt idx="27">
                  <c:v>1.8067460072763119E-2</c:v>
                </c:pt>
                <c:pt idx="28">
                  <c:v>2.2450602557044133E-2</c:v>
                </c:pt>
                <c:pt idx="29">
                  <c:v>2.3520164459761832E-2</c:v>
                </c:pt>
                <c:pt idx="30">
                  <c:v>2.6312613156306522E-2</c:v>
                </c:pt>
                <c:pt idx="31">
                  <c:v>4.3682508693795183E-2</c:v>
                </c:pt>
                <c:pt idx="32">
                  <c:v>6.0800488848151472E-2</c:v>
                </c:pt>
                <c:pt idx="33">
                  <c:v>7.5183374083129584E-2</c:v>
                </c:pt>
                <c:pt idx="34">
                  <c:v>0.10248676597316307</c:v>
                </c:pt>
                <c:pt idx="35">
                  <c:v>0.10575495049504957</c:v>
                </c:pt>
                <c:pt idx="36">
                  <c:v>8.7367251173129101E-2</c:v>
                </c:pt>
                <c:pt idx="37">
                  <c:v>7.4901526341703481E-2</c:v>
                </c:pt>
                <c:pt idx="38">
                  <c:v>#N/A</c:v>
                </c:pt>
                <c:pt idx="39">
                  <c:v>8.9884918231374969E-2</c:v>
                </c:pt>
                <c:pt idx="40">
                  <c:v>8.4599736747636906E-2</c:v>
                </c:pt>
                <c:pt idx="41">
                  <c:v>7.0888468809073929E-2</c:v>
                </c:pt>
                <c:pt idx="42">
                  <c:v>8.0912619075620182E-2</c:v>
                </c:pt>
                <c:pt idx="43">
                  <c:v>8.0844098906880477E-2</c:v>
                </c:pt>
                <c:pt idx="44">
                  <c:v>8.7096774193548554E-2</c:v>
                </c:pt>
                <c:pt idx="45">
                  <c:v>9.7725980670835613E-2</c:v>
                </c:pt>
                <c:pt idx="46">
                  <c:v>8.5199039696275847E-2</c:v>
                </c:pt>
                <c:pt idx="47">
                  <c:v>7.1968213106497106E-2</c:v>
                </c:pt>
                <c:pt idx="48">
                  <c:v>6.8877406166600527E-2</c:v>
                </c:pt>
                <c:pt idx="49">
                  <c:v>7.7984540509590569E-2</c:v>
                </c:pt>
                <c:pt idx="50">
                  <c:v>5.289032507526182E-2</c:v>
                </c:pt>
                <c:pt idx="51">
                  <c:v>8.091586084250299E-2</c:v>
                </c:pt>
                <c:pt idx="52">
                  <c:v>8.7433804060017509E-2</c:v>
                </c:pt>
                <c:pt idx="53">
                  <c:v>9.3887908208296567E-2</c:v>
                </c:pt>
                <c:pt idx="54">
                  <c:v>7.6052660211076289E-2</c:v>
                </c:pt>
                <c:pt idx="55">
                  <c:v>6.9767441860465115E-2</c:v>
                </c:pt>
                <c:pt idx="56">
                  <c:v>6.390419669351427E-2</c:v>
                </c:pt>
                <c:pt idx="57">
                  <c:v>4.8423015174271007E-2</c:v>
                </c:pt>
                <c:pt idx="58">
                  <c:v>3.5499305448371661E-2</c:v>
                </c:pt>
                <c:pt idx="59">
                  <c:v>4.2965283215870634E-2</c:v>
                </c:pt>
                <c:pt idx="60">
                  <c:v>5.9817254568635916E-2</c:v>
                </c:pt>
                <c:pt idx="61">
                  <c:v>7.069634036224591E-2</c:v>
                </c:pt>
                <c:pt idx="62">
                  <c:v>7.2084360736582656E-2</c:v>
                </c:pt>
                <c:pt idx="63">
                  <c:v>6.2005141388174874E-2</c:v>
                </c:pt>
                <c:pt idx="64">
                  <c:v>5.8692233551463406E-2</c:v>
                </c:pt>
                <c:pt idx="65">
                  <c:v>5.461422087745825E-2</c:v>
                </c:pt>
                <c:pt idx="66">
                  <c:v>5.8088978766430668E-2</c:v>
                </c:pt>
                <c:pt idx="67">
                  <c:v>6.3245702730030232E-2</c:v>
                </c:pt>
                <c:pt idx="68">
                  <c:v>5.4736527542583902E-2</c:v>
                </c:pt>
                <c:pt idx="69">
                  <c:v>4.6482908516103552E-2</c:v>
                </c:pt>
                <c:pt idx="70">
                  <c:v>4.7100909226412316E-2</c:v>
                </c:pt>
                <c:pt idx="71">
                  <c:v>5.9165081589748862E-2</c:v>
                </c:pt>
                <c:pt idx="72">
                  <c:v>5.3684210526315508E-2</c:v>
                </c:pt>
                <c:pt idx="73">
                  <c:v>4.286139497966044E-2</c:v>
                </c:pt>
                <c:pt idx="74">
                  <c:v>3.3374113041350642E-2</c:v>
                </c:pt>
                <c:pt idx="75">
                  <c:v>3.0112316034082126E-2</c:v>
                </c:pt>
              </c:numCache>
            </c:numRef>
          </c:val>
          <c:smooth val="0"/>
          <c:extLst>
            <c:ext xmlns:c16="http://schemas.microsoft.com/office/drawing/2014/chart" uri="{C3380CC4-5D6E-409C-BE32-E72D297353CC}">
              <c16:uniqueId val="{00000000-1435-4840-9A14-2EAF269C8E6A}"/>
            </c:ext>
          </c:extLst>
        </c:ser>
        <c:dLbls>
          <c:showLegendKey val="0"/>
          <c:showVal val="0"/>
          <c:showCatName val="0"/>
          <c:showSerName val="0"/>
          <c:showPercent val="0"/>
          <c:showBubbleSize val="0"/>
        </c:dLbls>
        <c:marker val="1"/>
        <c:smooth val="0"/>
        <c:axId val="1352888127"/>
        <c:axId val="1352890815"/>
      </c:lineChart>
      <c:dateAx>
        <c:axId val="1352888127"/>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52890815"/>
        <c:crosses val="autoZero"/>
        <c:auto val="1"/>
        <c:lblOffset val="100"/>
        <c:baseTimeUnit val="months"/>
      </c:dateAx>
      <c:valAx>
        <c:axId val="13528908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888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Healthcare and Other Services Inflation During COVID</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v>Health YoY Inflation%</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Sheet8!$A$2:$A$77</c:f>
              <c:numCache>
                <c:formatCode>mmm\-yy</c:formatCode>
                <c:ptCount val="76"/>
                <c:pt idx="0">
                  <c:v>42736</c:v>
                </c:pt>
                <c:pt idx="1">
                  <c:v>42767</c:v>
                </c:pt>
                <c:pt idx="2">
                  <c:v>42795</c:v>
                </c:pt>
                <c:pt idx="3">
                  <c:v>42826</c:v>
                </c:pt>
                <c:pt idx="4">
                  <c:v>42856</c:v>
                </c:pt>
                <c:pt idx="5">
                  <c:v>42887</c:v>
                </c:pt>
                <c:pt idx="6">
                  <c:v>42917</c:v>
                </c:pt>
                <c:pt idx="7">
                  <c:v>42948</c:v>
                </c:pt>
                <c:pt idx="8">
                  <c:v>42979</c:v>
                </c:pt>
                <c:pt idx="9">
                  <c:v>43009</c:v>
                </c:pt>
                <c:pt idx="10">
                  <c:v>43040</c:v>
                </c:pt>
                <c:pt idx="11">
                  <c:v>43070</c:v>
                </c:pt>
                <c:pt idx="12">
                  <c:v>43101</c:v>
                </c:pt>
                <c:pt idx="13">
                  <c:v>43132</c:v>
                </c:pt>
                <c:pt idx="14">
                  <c:v>43160</c:v>
                </c:pt>
                <c:pt idx="15">
                  <c:v>43191</c:v>
                </c:pt>
                <c:pt idx="16">
                  <c:v>43221</c:v>
                </c:pt>
                <c:pt idx="17">
                  <c:v>43252</c:v>
                </c:pt>
                <c:pt idx="18">
                  <c:v>43282</c:v>
                </c:pt>
                <c:pt idx="19">
                  <c:v>43313</c:v>
                </c:pt>
                <c:pt idx="20">
                  <c:v>43344</c:v>
                </c:pt>
                <c:pt idx="21">
                  <c:v>43374</c:v>
                </c:pt>
                <c:pt idx="22">
                  <c:v>43405</c:v>
                </c:pt>
                <c:pt idx="23">
                  <c:v>43435</c:v>
                </c:pt>
                <c:pt idx="24">
                  <c:v>43466</c:v>
                </c:pt>
                <c:pt idx="25">
                  <c:v>43497</c:v>
                </c:pt>
                <c:pt idx="26">
                  <c:v>43525</c:v>
                </c:pt>
                <c:pt idx="27">
                  <c:v>43586</c:v>
                </c:pt>
                <c:pt idx="28">
                  <c:v>43617</c:v>
                </c:pt>
                <c:pt idx="29">
                  <c:v>43647</c:v>
                </c:pt>
                <c:pt idx="30">
                  <c:v>43678</c:v>
                </c:pt>
                <c:pt idx="31">
                  <c:v>43709</c:v>
                </c:pt>
                <c:pt idx="32">
                  <c:v>43739</c:v>
                </c:pt>
                <c:pt idx="33">
                  <c:v>43770</c:v>
                </c:pt>
                <c:pt idx="34">
                  <c:v>43800</c:v>
                </c:pt>
                <c:pt idx="35">
                  <c:v>43831</c:v>
                </c:pt>
                <c:pt idx="36">
                  <c:v>43862</c:v>
                </c:pt>
                <c:pt idx="37">
                  <c:v>43891</c:v>
                </c:pt>
                <c:pt idx="38">
                  <c:v>43922</c:v>
                </c:pt>
                <c:pt idx="39">
                  <c:v>43952</c:v>
                </c:pt>
                <c:pt idx="40">
                  <c:v>43983</c:v>
                </c:pt>
                <c:pt idx="41">
                  <c:v>44013</c:v>
                </c:pt>
                <c:pt idx="42">
                  <c:v>44044</c:v>
                </c:pt>
                <c:pt idx="43">
                  <c:v>44075</c:v>
                </c:pt>
                <c:pt idx="44">
                  <c:v>44105</c:v>
                </c:pt>
                <c:pt idx="45">
                  <c:v>44136</c:v>
                </c:pt>
                <c:pt idx="46">
                  <c:v>44166</c:v>
                </c:pt>
                <c:pt idx="47">
                  <c:v>44197</c:v>
                </c:pt>
                <c:pt idx="48">
                  <c:v>44228</c:v>
                </c:pt>
                <c:pt idx="49">
                  <c:v>44256</c:v>
                </c:pt>
                <c:pt idx="50">
                  <c:v>44287</c:v>
                </c:pt>
                <c:pt idx="51">
                  <c:v>44317</c:v>
                </c:pt>
                <c:pt idx="52">
                  <c:v>44348</c:v>
                </c:pt>
                <c:pt idx="53">
                  <c:v>44378</c:v>
                </c:pt>
                <c:pt idx="54">
                  <c:v>44409</c:v>
                </c:pt>
                <c:pt idx="55">
                  <c:v>44440</c:v>
                </c:pt>
                <c:pt idx="56">
                  <c:v>44470</c:v>
                </c:pt>
                <c:pt idx="57">
                  <c:v>44501</c:v>
                </c:pt>
                <c:pt idx="58">
                  <c:v>44531</c:v>
                </c:pt>
                <c:pt idx="59">
                  <c:v>44562</c:v>
                </c:pt>
                <c:pt idx="60">
                  <c:v>44593</c:v>
                </c:pt>
                <c:pt idx="61">
                  <c:v>44621</c:v>
                </c:pt>
                <c:pt idx="62">
                  <c:v>44652</c:v>
                </c:pt>
                <c:pt idx="63">
                  <c:v>44682</c:v>
                </c:pt>
                <c:pt idx="64">
                  <c:v>44713</c:v>
                </c:pt>
                <c:pt idx="65">
                  <c:v>44743</c:v>
                </c:pt>
                <c:pt idx="66">
                  <c:v>44774</c:v>
                </c:pt>
                <c:pt idx="67">
                  <c:v>44805</c:v>
                </c:pt>
                <c:pt idx="68">
                  <c:v>44835</c:v>
                </c:pt>
                <c:pt idx="69">
                  <c:v>44866</c:v>
                </c:pt>
                <c:pt idx="70">
                  <c:v>44896</c:v>
                </c:pt>
                <c:pt idx="71">
                  <c:v>44927</c:v>
                </c:pt>
                <c:pt idx="72">
                  <c:v>44958</c:v>
                </c:pt>
                <c:pt idx="73">
                  <c:v>44986</c:v>
                </c:pt>
                <c:pt idx="74">
                  <c:v>45017</c:v>
                </c:pt>
                <c:pt idx="75">
                  <c:v>45047</c:v>
                </c:pt>
              </c:numCache>
            </c:numRef>
          </c:cat>
          <c:val>
            <c:numRef>
              <c:f>Sheet8!$V$2:$V$77</c:f>
              <c:numCache>
                <c:formatCode>0.0%</c:formatCode>
                <c:ptCount val="76"/>
                <c:pt idx="0">
                  <c:v>4.1803278688524542E-2</c:v>
                </c:pt>
                <c:pt idx="1">
                  <c:v>4.0000000000000049E-2</c:v>
                </c:pt>
                <c:pt idx="2">
                  <c:v>3.9869812855980402E-2</c:v>
                </c:pt>
                <c:pt idx="3">
                  <c:v>3.9772727272727203E-2</c:v>
                </c:pt>
                <c:pt idx="4">
                  <c:v>3.7995149555375932E-2</c:v>
                </c:pt>
                <c:pt idx="5">
                  <c:v>3.5455278001611648E-2</c:v>
                </c:pt>
                <c:pt idx="6">
                  <c:v>3.9357429718875549E-2</c:v>
                </c:pt>
                <c:pt idx="7">
                  <c:v>4.3269230769230699E-2</c:v>
                </c:pt>
                <c:pt idx="8">
                  <c:v>4.1467304625199271E-2</c:v>
                </c:pt>
                <c:pt idx="9">
                  <c:v>4.1237113402061994E-2</c:v>
                </c:pt>
                <c:pt idx="10">
                  <c:v>4.9050632911392313E-2</c:v>
                </c:pt>
                <c:pt idx="11">
                  <c:v>4.8857368006304087E-2</c:v>
                </c:pt>
                <c:pt idx="12">
                  <c:v>4.8780487804878182E-2</c:v>
                </c:pt>
                <c:pt idx="13">
                  <c:v>5.0235478806907423E-2</c:v>
                </c:pt>
                <c:pt idx="14">
                  <c:v>5.0860719874804491E-2</c:v>
                </c:pt>
                <c:pt idx="15">
                  <c:v>5.5425448868071776E-2</c:v>
                </c:pt>
                <c:pt idx="16">
                  <c:v>5.9190031152647926E-2</c:v>
                </c:pt>
                <c:pt idx="17">
                  <c:v>5.992217898832676E-2</c:v>
                </c:pt>
                <c:pt idx="18">
                  <c:v>5.8732612055641377E-2</c:v>
                </c:pt>
                <c:pt idx="19">
                  <c:v>5.7603686635944708E-2</c:v>
                </c:pt>
                <c:pt idx="20">
                  <c:v>5.9724349157733628E-2</c:v>
                </c:pt>
                <c:pt idx="21">
                  <c:v>8.2254379284082121E-2</c:v>
                </c:pt>
                <c:pt idx="22">
                  <c:v>7.1644042232277536E-2</c:v>
                </c:pt>
                <c:pt idx="23">
                  <c:v>8.865514650638627E-2</c:v>
                </c:pt>
                <c:pt idx="24">
                  <c:v>8.8522130532633025E-2</c:v>
                </c:pt>
                <c:pt idx="25">
                  <c:v>8.8191330343796573E-2</c:v>
                </c:pt>
                <c:pt idx="26">
                  <c:v>8.8607594936708681E-2</c:v>
                </c:pt>
                <c:pt idx="27">
                  <c:v>8.014705882352946E-2</c:v>
                </c:pt>
                <c:pt idx="28">
                  <c:v>8.2232011747430375E-2</c:v>
                </c:pt>
                <c:pt idx="29">
                  <c:v>7.9562043795620485E-2</c:v>
                </c:pt>
                <c:pt idx="30">
                  <c:v>7.843137254901969E-2</c:v>
                </c:pt>
                <c:pt idx="31">
                  <c:v>7.6589595375722505E-2</c:v>
                </c:pt>
                <c:pt idx="32">
                  <c:v>5.1372273047149974E-2</c:v>
                </c:pt>
                <c:pt idx="33">
                  <c:v>5.4890921885995862E-2</c:v>
                </c:pt>
                <c:pt idx="34">
                  <c:v>3.7957211870255345E-2</c:v>
                </c:pt>
                <c:pt idx="35">
                  <c:v>4.2039972432804926E-2</c:v>
                </c:pt>
                <c:pt idx="36">
                  <c:v>4.1895604395604358E-2</c:v>
                </c:pt>
                <c:pt idx="37">
                  <c:v>4.1723666210670474E-2</c:v>
                </c:pt>
                <c:pt idx="38">
                  <c:v>#N/A</c:v>
                </c:pt>
                <c:pt idx="39">
                  <c:v>4.3907420013614626E-2</c:v>
                </c:pt>
                <c:pt idx="40">
                  <c:v>4.7489823609226593E-2</c:v>
                </c:pt>
                <c:pt idx="41">
                  <c:v>4.3948613928329952E-2</c:v>
                </c:pt>
                <c:pt idx="42">
                  <c:v>4.3771043771043773E-2</c:v>
                </c:pt>
                <c:pt idx="43">
                  <c:v>4.4295302013422778E-2</c:v>
                </c:pt>
                <c:pt idx="44">
                  <c:v>4.6184738955823326E-2</c:v>
                </c:pt>
                <c:pt idx="45">
                  <c:v>4.8699132755169995E-2</c:v>
                </c:pt>
                <c:pt idx="46">
                  <c:v>5.2526595744680889E-2</c:v>
                </c:pt>
                <c:pt idx="47">
                  <c:v>5.3571428571428728E-2</c:v>
                </c:pt>
                <c:pt idx="48">
                  <c:v>6.3282794990112218E-2</c:v>
                </c:pt>
                <c:pt idx="49">
                  <c:v>6.1720288903479817E-2</c:v>
                </c:pt>
                <c:pt idx="50">
                  <c:v>7.6974120769741361E-2</c:v>
                </c:pt>
                <c:pt idx="51">
                  <c:v>8.1186827518748075E-2</c:v>
                </c:pt>
                <c:pt idx="52">
                  <c:v>7.7072538860103665E-2</c:v>
                </c:pt>
                <c:pt idx="53">
                  <c:v>8.1606217616580268E-2</c:v>
                </c:pt>
                <c:pt idx="54">
                  <c:v>8.6451612903225838E-2</c:v>
                </c:pt>
                <c:pt idx="55">
                  <c:v>8.2262210796915244E-2</c:v>
                </c:pt>
                <c:pt idx="56">
                  <c:v>8.189379398592439E-2</c:v>
                </c:pt>
                <c:pt idx="57">
                  <c:v>8.0788804071246931E-2</c:v>
                </c:pt>
                <c:pt idx="58">
                  <c:v>7.7700568540745307E-2</c:v>
                </c:pt>
                <c:pt idx="59">
                  <c:v>7.5957313245448799E-2</c:v>
                </c:pt>
                <c:pt idx="60">
                  <c:v>6.7575945443273264E-2</c:v>
                </c:pt>
                <c:pt idx="61">
                  <c:v>6.9882498453927105E-2</c:v>
                </c:pt>
                <c:pt idx="62">
                  <c:v>7.2088724584103439E-2</c:v>
                </c:pt>
                <c:pt idx="63">
                  <c:v>5.4282267792521106E-2</c:v>
                </c:pt>
                <c:pt idx="64">
                  <c:v>5.4720384846662619E-2</c:v>
                </c:pt>
                <c:pt idx="65">
                  <c:v>5.4491017964071825E-2</c:v>
                </c:pt>
                <c:pt idx="66">
                  <c:v>4.9881235154394334E-2</c:v>
                </c:pt>
                <c:pt idx="67">
                  <c:v>5.5819477434679368E-2</c:v>
                </c:pt>
                <c:pt idx="68">
                  <c:v>5.6771141336487252E-2</c:v>
                </c:pt>
                <c:pt idx="69">
                  <c:v>5.8269570335491495E-2</c:v>
                </c:pt>
                <c:pt idx="70">
                  <c:v>6.1547479484173509E-2</c:v>
                </c:pt>
                <c:pt idx="71">
                  <c:v>6.3593932322053709E-2</c:v>
                </c:pt>
                <c:pt idx="72">
                  <c:v>7.0847851335656312E-2</c:v>
                </c:pt>
                <c:pt idx="73">
                  <c:v>6.589595375722547E-2</c:v>
                </c:pt>
                <c:pt idx="74">
                  <c:v>6.3218390804597707E-2</c:v>
                </c:pt>
                <c:pt idx="75">
                  <c:v>6.2356979405034194E-2</c:v>
                </c:pt>
              </c:numCache>
            </c:numRef>
          </c:val>
          <c:smooth val="0"/>
          <c:extLst>
            <c:ext xmlns:c16="http://schemas.microsoft.com/office/drawing/2014/chart" uri="{C3380CC4-5D6E-409C-BE32-E72D297353CC}">
              <c16:uniqueId val="{00000003-916D-6B47-B8EF-93A1A389FC13}"/>
            </c:ext>
          </c:extLst>
        </c:ser>
        <c:ser>
          <c:idx val="1"/>
          <c:order val="1"/>
          <c:tx>
            <c:v>Other YoY Inflation %</c:v>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Sheet8!$A$2:$A$77</c:f>
              <c:numCache>
                <c:formatCode>mmm\-yy</c:formatCode>
                <c:ptCount val="76"/>
                <c:pt idx="0">
                  <c:v>42736</c:v>
                </c:pt>
                <c:pt idx="1">
                  <c:v>42767</c:v>
                </c:pt>
                <c:pt idx="2">
                  <c:v>42795</c:v>
                </c:pt>
                <c:pt idx="3">
                  <c:v>42826</c:v>
                </c:pt>
                <c:pt idx="4">
                  <c:v>42856</c:v>
                </c:pt>
                <c:pt idx="5">
                  <c:v>42887</c:v>
                </c:pt>
                <c:pt idx="6">
                  <c:v>42917</c:v>
                </c:pt>
                <c:pt idx="7">
                  <c:v>42948</c:v>
                </c:pt>
                <c:pt idx="8">
                  <c:v>42979</c:v>
                </c:pt>
                <c:pt idx="9">
                  <c:v>43009</c:v>
                </c:pt>
                <c:pt idx="10">
                  <c:v>43040</c:v>
                </c:pt>
                <c:pt idx="11">
                  <c:v>43070</c:v>
                </c:pt>
                <c:pt idx="12">
                  <c:v>43101</c:v>
                </c:pt>
                <c:pt idx="13">
                  <c:v>43132</c:v>
                </c:pt>
                <c:pt idx="14">
                  <c:v>43160</c:v>
                </c:pt>
                <c:pt idx="15">
                  <c:v>43191</c:v>
                </c:pt>
                <c:pt idx="16">
                  <c:v>43221</c:v>
                </c:pt>
                <c:pt idx="17">
                  <c:v>43252</c:v>
                </c:pt>
                <c:pt idx="18">
                  <c:v>43282</c:v>
                </c:pt>
                <c:pt idx="19">
                  <c:v>43313</c:v>
                </c:pt>
                <c:pt idx="20">
                  <c:v>43344</c:v>
                </c:pt>
                <c:pt idx="21">
                  <c:v>43374</c:v>
                </c:pt>
                <c:pt idx="22">
                  <c:v>43405</c:v>
                </c:pt>
                <c:pt idx="23">
                  <c:v>43435</c:v>
                </c:pt>
                <c:pt idx="24">
                  <c:v>43466</c:v>
                </c:pt>
                <c:pt idx="25">
                  <c:v>43497</c:v>
                </c:pt>
                <c:pt idx="26">
                  <c:v>43525</c:v>
                </c:pt>
                <c:pt idx="27">
                  <c:v>43586</c:v>
                </c:pt>
                <c:pt idx="28">
                  <c:v>43617</c:v>
                </c:pt>
                <c:pt idx="29">
                  <c:v>43647</c:v>
                </c:pt>
                <c:pt idx="30">
                  <c:v>43678</c:v>
                </c:pt>
                <c:pt idx="31">
                  <c:v>43709</c:v>
                </c:pt>
                <c:pt idx="32">
                  <c:v>43739</c:v>
                </c:pt>
                <c:pt idx="33">
                  <c:v>43770</c:v>
                </c:pt>
                <c:pt idx="34">
                  <c:v>43800</c:v>
                </c:pt>
                <c:pt idx="35">
                  <c:v>43831</c:v>
                </c:pt>
                <c:pt idx="36">
                  <c:v>43862</c:v>
                </c:pt>
                <c:pt idx="37">
                  <c:v>43891</c:v>
                </c:pt>
                <c:pt idx="38">
                  <c:v>43922</c:v>
                </c:pt>
                <c:pt idx="39">
                  <c:v>43952</c:v>
                </c:pt>
                <c:pt idx="40">
                  <c:v>43983</c:v>
                </c:pt>
                <c:pt idx="41">
                  <c:v>44013</c:v>
                </c:pt>
                <c:pt idx="42">
                  <c:v>44044</c:v>
                </c:pt>
                <c:pt idx="43">
                  <c:v>44075</c:v>
                </c:pt>
                <c:pt idx="44">
                  <c:v>44105</c:v>
                </c:pt>
                <c:pt idx="45">
                  <c:v>44136</c:v>
                </c:pt>
                <c:pt idx="46">
                  <c:v>44166</c:v>
                </c:pt>
                <c:pt idx="47">
                  <c:v>44197</c:v>
                </c:pt>
                <c:pt idx="48">
                  <c:v>44228</c:v>
                </c:pt>
                <c:pt idx="49">
                  <c:v>44256</c:v>
                </c:pt>
                <c:pt idx="50">
                  <c:v>44287</c:v>
                </c:pt>
                <c:pt idx="51">
                  <c:v>44317</c:v>
                </c:pt>
                <c:pt idx="52">
                  <c:v>44348</c:v>
                </c:pt>
                <c:pt idx="53">
                  <c:v>44378</c:v>
                </c:pt>
                <c:pt idx="54">
                  <c:v>44409</c:v>
                </c:pt>
                <c:pt idx="55">
                  <c:v>44440</c:v>
                </c:pt>
                <c:pt idx="56">
                  <c:v>44470</c:v>
                </c:pt>
                <c:pt idx="57">
                  <c:v>44501</c:v>
                </c:pt>
                <c:pt idx="58">
                  <c:v>44531</c:v>
                </c:pt>
                <c:pt idx="59">
                  <c:v>44562</c:v>
                </c:pt>
                <c:pt idx="60">
                  <c:v>44593</c:v>
                </c:pt>
                <c:pt idx="61">
                  <c:v>44621</c:v>
                </c:pt>
                <c:pt idx="62">
                  <c:v>44652</c:v>
                </c:pt>
                <c:pt idx="63">
                  <c:v>44682</c:v>
                </c:pt>
                <c:pt idx="64">
                  <c:v>44713</c:v>
                </c:pt>
                <c:pt idx="65">
                  <c:v>44743</c:v>
                </c:pt>
                <c:pt idx="66">
                  <c:v>44774</c:v>
                </c:pt>
                <c:pt idx="67">
                  <c:v>44805</c:v>
                </c:pt>
                <c:pt idx="68">
                  <c:v>44835</c:v>
                </c:pt>
                <c:pt idx="69">
                  <c:v>44866</c:v>
                </c:pt>
                <c:pt idx="70">
                  <c:v>44896</c:v>
                </c:pt>
                <c:pt idx="71">
                  <c:v>44927</c:v>
                </c:pt>
                <c:pt idx="72">
                  <c:v>44958</c:v>
                </c:pt>
                <c:pt idx="73">
                  <c:v>44986</c:v>
                </c:pt>
                <c:pt idx="74">
                  <c:v>45017</c:v>
                </c:pt>
                <c:pt idx="75">
                  <c:v>45047</c:v>
                </c:pt>
              </c:numCache>
            </c:numRef>
          </c:cat>
          <c:val>
            <c:numRef>
              <c:f>Sheet8!$AA$2:$AA$77</c:f>
              <c:numCache>
                <c:formatCode>0.0%</c:formatCode>
                <c:ptCount val="76"/>
                <c:pt idx="0">
                  <c:v>4.7931314223904911E-2</c:v>
                </c:pt>
                <c:pt idx="1">
                  <c:v>4.586415601883001E-2</c:v>
                </c:pt>
                <c:pt idx="2">
                  <c:v>4.745603436702913E-2</c:v>
                </c:pt>
                <c:pt idx="3">
                  <c:v>4.5378600548018205E-2</c:v>
                </c:pt>
                <c:pt idx="4">
                  <c:v>4.2575838211814522E-2</c:v>
                </c:pt>
                <c:pt idx="5">
                  <c:v>3.8581166037985691E-2</c:v>
                </c:pt>
                <c:pt idx="6">
                  <c:v>3.9607222881244179E-2</c:v>
                </c:pt>
                <c:pt idx="7">
                  <c:v>4.3412583738342253E-2</c:v>
                </c:pt>
                <c:pt idx="8">
                  <c:v>4.4268619629896137E-2</c:v>
                </c:pt>
                <c:pt idx="9">
                  <c:v>4.380654820022143E-2</c:v>
                </c:pt>
                <c:pt idx="10">
                  <c:v>4.8734587929915585E-2</c:v>
                </c:pt>
                <c:pt idx="11">
                  <c:v>4.8071946169772221E-2</c:v>
                </c:pt>
                <c:pt idx="12">
                  <c:v>4.8448487194374272E-2</c:v>
                </c:pt>
                <c:pt idx="13">
                  <c:v>4.745370370370397E-2</c:v>
                </c:pt>
                <c:pt idx="14">
                  <c:v>4.8381928868952408E-2</c:v>
                </c:pt>
                <c:pt idx="15">
                  <c:v>5.2486894259046624E-2</c:v>
                </c:pt>
                <c:pt idx="16">
                  <c:v>5.6087289433384292E-2</c:v>
                </c:pt>
                <c:pt idx="17">
                  <c:v>5.9003440805402908E-2</c:v>
                </c:pt>
                <c:pt idx="18">
                  <c:v>5.75594294770208E-2</c:v>
                </c:pt>
                <c:pt idx="19">
                  <c:v>5.4950588531503794E-2</c:v>
                </c:pt>
                <c:pt idx="20">
                  <c:v>5.5228553537883696E-2</c:v>
                </c:pt>
                <c:pt idx="21">
                  <c:v>6.2796208530805558E-2</c:v>
                </c:pt>
                <c:pt idx="22">
                  <c:v>5.4328321267248292E-2</c:v>
                </c:pt>
                <c:pt idx="23">
                  <c:v>5.4139144391628931E-2</c:v>
                </c:pt>
                <c:pt idx="24">
                  <c:v>4.8670932808269986E-2</c:v>
                </c:pt>
                <c:pt idx="25">
                  <c:v>4.837323511356615E-2</c:v>
                </c:pt>
                <c:pt idx="26">
                  <c:v>4.6088019559902181E-2</c:v>
                </c:pt>
                <c:pt idx="27">
                  <c:v>3.824542323726688E-2</c:v>
                </c:pt>
                <c:pt idx="28">
                  <c:v>3.688327316486173E-2</c:v>
                </c:pt>
                <c:pt idx="29">
                  <c:v>3.6324402085955845E-2</c:v>
                </c:pt>
                <c:pt idx="30">
                  <c:v>3.5262529832935846E-2</c:v>
                </c:pt>
                <c:pt idx="31">
                  <c:v>3.2518395442677192E-2</c:v>
                </c:pt>
                <c:pt idx="32">
                  <c:v>2.3822097048641615E-2</c:v>
                </c:pt>
                <c:pt idx="33">
                  <c:v>2.74664006103645E-2</c:v>
                </c:pt>
                <c:pt idx="34">
                  <c:v>3.0510658233778618E-2</c:v>
                </c:pt>
                <c:pt idx="35">
                  <c:v>3.7317373701813136E-2</c:v>
                </c:pt>
                <c:pt idx="36">
                  <c:v>3.8821876097903982E-2</c:v>
                </c:pt>
                <c:pt idx="37">
                  <c:v>4.0317868411826371E-2</c:v>
                </c:pt>
                <c:pt idx="38">
                  <c:v>#N/A</c:v>
                </c:pt>
                <c:pt idx="39">
                  <c:v>4.9607864202835833E-2</c:v>
                </c:pt>
                <c:pt idx="40">
                  <c:v>5.1935240526896145E-2</c:v>
                </c:pt>
                <c:pt idx="41">
                  <c:v>4.8527965758574668E-2</c:v>
                </c:pt>
                <c:pt idx="42">
                  <c:v>5.0948072157224016E-2</c:v>
                </c:pt>
                <c:pt idx="43">
                  <c:v>5.3678160919540217E-2</c:v>
                </c:pt>
                <c:pt idx="44">
                  <c:v>5.2209295661642514E-2</c:v>
                </c:pt>
                <c:pt idx="45">
                  <c:v>5.2036328325812745E-2</c:v>
                </c:pt>
                <c:pt idx="46">
                  <c:v>5.0690458600897902E-2</c:v>
                </c:pt>
                <c:pt idx="47">
                  <c:v>5.1473499632332012E-2</c:v>
                </c:pt>
                <c:pt idx="48">
                  <c:v>5.8903105800123881E-2</c:v>
                </c:pt>
                <c:pt idx="49">
                  <c:v>5.886317681419917E-2</c:v>
                </c:pt>
                <c:pt idx="50">
                  <c:v>5.2163521663007466E-2</c:v>
                </c:pt>
                <c:pt idx="51">
                  <c:v>6.8613151138292694E-2</c:v>
                </c:pt>
                <c:pt idx="52">
                  <c:v>6.4706531332744968E-2</c:v>
                </c:pt>
                <c:pt idx="53">
                  <c:v>7.1657105030891372E-2</c:v>
                </c:pt>
                <c:pt idx="54">
                  <c:v>7.4307650123389218E-2</c:v>
                </c:pt>
                <c:pt idx="55">
                  <c:v>6.8615686702301837E-2</c:v>
                </c:pt>
                <c:pt idx="56">
                  <c:v>7.3366013071895386E-2</c:v>
                </c:pt>
                <c:pt idx="57">
                  <c:v>7.4438049733955791E-2</c:v>
                </c:pt>
                <c:pt idx="58">
                  <c:v>7.4584888311968953E-2</c:v>
                </c:pt>
                <c:pt idx="59">
                  <c:v>7.3807090214643101E-2</c:v>
                </c:pt>
                <c:pt idx="60">
                  <c:v>6.8668157138294661E-2</c:v>
                </c:pt>
                <c:pt idx="61">
                  <c:v>7.3360916613621929E-2</c:v>
                </c:pt>
                <c:pt idx="62">
                  <c:v>8.1246698362387529E-2</c:v>
                </c:pt>
                <c:pt idx="63">
                  <c:v>6.838227664210865E-2</c:v>
                </c:pt>
                <c:pt idx="64">
                  <c:v>7.1395264494067759E-2</c:v>
                </c:pt>
                <c:pt idx="65">
                  <c:v>7.1704329026612543E-2</c:v>
                </c:pt>
                <c:pt idx="66">
                  <c:v>6.7483409903011826E-2</c:v>
                </c:pt>
                <c:pt idx="67">
                  <c:v>7.2580645161290105E-2</c:v>
                </c:pt>
                <c:pt idx="68">
                  <c:v>7.129446389607777E-2</c:v>
                </c:pt>
                <c:pt idx="69">
                  <c:v>7.1655970488655463E-2</c:v>
                </c:pt>
                <c:pt idx="70">
                  <c:v>7.2428024964767523E-2</c:v>
                </c:pt>
                <c:pt idx="71">
                  <c:v>7.2341065076899941E-2</c:v>
                </c:pt>
                <c:pt idx="72">
                  <c:v>7.3321378760709377E-2</c:v>
                </c:pt>
                <c:pt idx="73">
                  <c:v>6.473931307141087E-2</c:v>
                </c:pt>
                <c:pt idx="74">
                  <c:v>5.7406683603674138E-2</c:v>
                </c:pt>
                <c:pt idx="75">
                  <c:v>5.4729992229992308E-2</c:v>
                </c:pt>
              </c:numCache>
            </c:numRef>
          </c:val>
          <c:smooth val="0"/>
          <c:extLst>
            <c:ext xmlns:c16="http://schemas.microsoft.com/office/drawing/2014/chart" uri="{C3380CC4-5D6E-409C-BE32-E72D297353CC}">
              <c16:uniqueId val="{00000004-916D-6B47-B8EF-93A1A389FC13}"/>
            </c:ext>
          </c:extLst>
        </c:ser>
        <c:dLbls>
          <c:showLegendKey val="0"/>
          <c:showVal val="0"/>
          <c:showCatName val="0"/>
          <c:showSerName val="0"/>
          <c:showPercent val="0"/>
          <c:showBubbleSize val="0"/>
        </c:dLbls>
        <c:marker val="1"/>
        <c:smooth val="0"/>
        <c:axId val="1349182655"/>
        <c:axId val="1355760511"/>
      </c:lineChart>
      <c:dateAx>
        <c:axId val="1349182655"/>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760511"/>
        <c:crosses val="autoZero"/>
        <c:auto val="1"/>
        <c:lblOffset val="100"/>
        <c:baseTimeUnit val="months"/>
      </c:dateAx>
      <c:valAx>
        <c:axId val="135576051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18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6">
                    <a:lumMod val="50000"/>
                  </a:schemeClr>
                </a:solidFill>
              </a:rPr>
              <a:t>YoY CPI Inflation Trend (Rural + Urban): Pre-COVID vs Post-COVID</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Sheet8!$G$1:$G$76</c:f>
              <c:strCache>
                <c:ptCount val="76"/>
                <c:pt idx="0">
                  <c:v>COVID_Flag</c:v>
                </c:pt>
                <c:pt idx="1">
                  <c:v>Pre-COVID</c:v>
                </c:pt>
                <c:pt idx="2">
                  <c:v>Pre-COVID</c:v>
                </c:pt>
                <c:pt idx="3">
                  <c:v>Pre-COVID</c:v>
                </c:pt>
                <c:pt idx="4">
                  <c:v>Pre-COVID</c:v>
                </c:pt>
                <c:pt idx="5">
                  <c:v>Pre-COVID</c:v>
                </c:pt>
                <c:pt idx="6">
                  <c:v>Pre-COVID</c:v>
                </c:pt>
                <c:pt idx="7">
                  <c:v>Pre-COVID</c:v>
                </c:pt>
                <c:pt idx="8">
                  <c:v>Pre-COVID</c:v>
                </c:pt>
                <c:pt idx="9">
                  <c:v>Pre-COVID</c:v>
                </c:pt>
                <c:pt idx="10">
                  <c:v>Pre-COVID</c:v>
                </c:pt>
                <c:pt idx="11">
                  <c:v>Pre-COVID</c:v>
                </c:pt>
                <c:pt idx="12">
                  <c:v>Pre-COVID</c:v>
                </c:pt>
                <c:pt idx="13">
                  <c:v>Pre-COVID</c:v>
                </c:pt>
                <c:pt idx="14">
                  <c:v>Pre-COVID</c:v>
                </c:pt>
                <c:pt idx="15">
                  <c:v>Pre-COVID</c:v>
                </c:pt>
                <c:pt idx="16">
                  <c:v>Pre-COVID</c:v>
                </c:pt>
                <c:pt idx="17">
                  <c:v>Pre-COVID</c:v>
                </c:pt>
                <c:pt idx="18">
                  <c:v>Pre-COVID</c:v>
                </c:pt>
                <c:pt idx="19">
                  <c:v>Pre-COVID</c:v>
                </c:pt>
                <c:pt idx="20">
                  <c:v>Pre-COVID</c:v>
                </c:pt>
                <c:pt idx="21">
                  <c:v>Pre-COVID</c:v>
                </c:pt>
                <c:pt idx="22">
                  <c:v>Pre-COVID</c:v>
                </c:pt>
                <c:pt idx="23">
                  <c:v>Pre-COVID</c:v>
                </c:pt>
                <c:pt idx="24">
                  <c:v>Pre-COVID</c:v>
                </c:pt>
                <c:pt idx="25">
                  <c:v>Pre-COVID</c:v>
                </c:pt>
                <c:pt idx="26">
                  <c:v>Pre-COVID</c:v>
                </c:pt>
                <c:pt idx="27">
                  <c:v>Pre-COVID</c:v>
                </c:pt>
                <c:pt idx="28">
                  <c:v>Pre-COVID</c:v>
                </c:pt>
                <c:pt idx="29">
                  <c:v>Pre-COVID</c:v>
                </c:pt>
                <c:pt idx="30">
                  <c:v>Pre-COVID</c:v>
                </c:pt>
                <c:pt idx="31">
                  <c:v>Pre-COVID</c:v>
                </c:pt>
                <c:pt idx="32">
                  <c:v>Pre-COVID</c:v>
                </c:pt>
                <c:pt idx="33">
                  <c:v>Pre-COVID</c:v>
                </c:pt>
                <c:pt idx="34">
                  <c:v>Pre-COVID</c:v>
                </c:pt>
                <c:pt idx="35">
                  <c:v>Pre-COVID</c:v>
                </c:pt>
                <c:pt idx="36">
                  <c:v>Pre-COVID</c:v>
                </c:pt>
                <c:pt idx="37">
                  <c:v>Pre-COVID</c:v>
                </c:pt>
                <c:pt idx="38">
                  <c:v>COVID</c:v>
                </c:pt>
                <c:pt idx="39">
                  <c:v>COVID</c:v>
                </c:pt>
                <c:pt idx="40">
                  <c:v>COVID</c:v>
                </c:pt>
                <c:pt idx="41">
                  <c:v>COVID</c:v>
                </c:pt>
                <c:pt idx="42">
                  <c:v>COVID</c:v>
                </c:pt>
                <c:pt idx="43">
                  <c:v>COVID</c:v>
                </c:pt>
                <c:pt idx="44">
                  <c:v>COVID</c:v>
                </c:pt>
                <c:pt idx="45">
                  <c:v>COVID</c:v>
                </c:pt>
                <c:pt idx="46">
                  <c:v>COVID</c:v>
                </c:pt>
                <c:pt idx="47">
                  <c:v>COVID</c:v>
                </c:pt>
                <c:pt idx="48">
                  <c:v>COVID</c:v>
                </c:pt>
                <c:pt idx="49">
                  <c:v>COVID</c:v>
                </c:pt>
                <c:pt idx="50">
                  <c:v>COVID</c:v>
                </c:pt>
                <c:pt idx="51">
                  <c:v>COVID</c:v>
                </c:pt>
                <c:pt idx="52">
                  <c:v>COVID</c:v>
                </c:pt>
                <c:pt idx="53">
                  <c:v>COVID</c:v>
                </c:pt>
                <c:pt idx="54">
                  <c:v>COVID</c:v>
                </c:pt>
                <c:pt idx="55">
                  <c:v>COVID</c:v>
                </c:pt>
                <c:pt idx="56">
                  <c:v>COVID</c:v>
                </c:pt>
                <c:pt idx="57">
                  <c:v>COVID</c:v>
                </c:pt>
                <c:pt idx="58">
                  <c:v>COVID</c:v>
                </c:pt>
                <c:pt idx="59">
                  <c:v>COVID</c:v>
                </c:pt>
                <c:pt idx="60">
                  <c:v>COVID</c:v>
                </c:pt>
                <c:pt idx="61">
                  <c:v>COVID</c:v>
                </c:pt>
                <c:pt idx="62">
                  <c:v>COVID</c:v>
                </c:pt>
                <c:pt idx="63">
                  <c:v>Post-COVID</c:v>
                </c:pt>
                <c:pt idx="64">
                  <c:v>Post-COVID</c:v>
                </c:pt>
                <c:pt idx="65">
                  <c:v>Post-COVID</c:v>
                </c:pt>
                <c:pt idx="66">
                  <c:v>Post-COVID</c:v>
                </c:pt>
                <c:pt idx="67">
                  <c:v>Post-COVID</c:v>
                </c:pt>
                <c:pt idx="68">
                  <c:v>Post-COVID</c:v>
                </c:pt>
                <c:pt idx="69">
                  <c:v>Post-COVID</c:v>
                </c:pt>
                <c:pt idx="70">
                  <c:v>Post-COVID</c:v>
                </c:pt>
                <c:pt idx="71">
                  <c:v>Post-COVID</c:v>
                </c:pt>
                <c:pt idx="72">
                  <c:v>Post-COVID</c:v>
                </c:pt>
                <c:pt idx="73">
                  <c:v>Post-COVID</c:v>
                </c:pt>
                <c:pt idx="74">
                  <c:v>Post-COVID</c:v>
                </c:pt>
                <c:pt idx="75">
                  <c:v>Post-COVID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38"/>
              <c:layout>
                <c:manualLayout>
                  <c:x val="-2.1775556594800984E-3"/>
                  <c:y val="-1.774699768310849E-2"/>
                </c:manualLayout>
              </c:layout>
              <c:tx>
                <c:rich>
                  <a:bodyPr/>
                  <a:lstStyle/>
                  <a:p>
                    <a:r>
                      <a:rPr lang="en-US" sz="900" b="0" i="0" u="none" strike="noStrike" baseline="0"/>
                      <a:t>COVID Onset (Mar’20)</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558-EC46-ACF7-5A3B3BC98E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Sheet8!$A$2:$A$77</c:f>
              <c:numCache>
                <c:formatCode>mmm\-yy</c:formatCode>
                <c:ptCount val="76"/>
                <c:pt idx="0">
                  <c:v>42736</c:v>
                </c:pt>
                <c:pt idx="1">
                  <c:v>42767</c:v>
                </c:pt>
                <c:pt idx="2">
                  <c:v>42795</c:v>
                </c:pt>
                <c:pt idx="3">
                  <c:v>42826</c:v>
                </c:pt>
                <c:pt idx="4">
                  <c:v>42856</c:v>
                </c:pt>
                <c:pt idx="5">
                  <c:v>42887</c:v>
                </c:pt>
                <c:pt idx="6">
                  <c:v>42917</c:v>
                </c:pt>
                <c:pt idx="7">
                  <c:v>42948</c:v>
                </c:pt>
                <c:pt idx="8">
                  <c:v>42979</c:v>
                </c:pt>
                <c:pt idx="9">
                  <c:v>43009</c:v>
                </c:pt>
                <c:pt idx="10">
                  <c:v>43040</c:v>
                </c:pt>
                <c:pt idx="11">
                  <c:v>43070</c:v>
                </c:pt>
                <c:pt idx="12">
                  <c:v>43101</c:v>
                </c:pt>
                <c:pt idx="13">
                  <c:v>43132</c:v>
                </c:pt>
                <c:pt idx="14">
                  <c:v>43160</c:v>
                </c:pt>
                <c:pt idx="15">
                  <c:v>43191</c:v>
                </c:pt>
                <c:pt idx="16">
                  <c:v>43221</c:v>
                </c:pt>
                <c:pt idx="17">
                  <c:v>43252</c:v>
                </c:pt>
                <c:pt idx="18">
                  <c:v>43282</c:v>
                </c:pt>
                <c:pt idx="19">
                  <c:v>43313</c:v>
                </c:pt>
                <c:pt idx="20">
                  <c:v>43344</c:v>
                </c:pt>
                <c:pt idx="21">
                  <c:v>43374</c:v>
                </c:pt>
                <c:pt idx="22">
                  <c:v>43405</c:v>
                </c:pt>
                <c:pt idx="23">
                  <c:v>43435</c:v>
                </c:pt>
                <c:pt idx="24">
                  <c:v>43466</c:v>
                </c:pt>
                <c:pt idx="25">
                  <c:v>43497</c:v>
                </c:pt>
                <c:pt idx="26">
                  <c:v>43525</c:v>
                </c:pt>
                <c:pt idx="27">
                  <c:v>43586</c:v>
                </c:pt>
                <c:pt idx="28">
                  <c:v>43617</c:v>
                </c:pt>
                <c:pt idx="29">
                  <c:v>43647</c:v>
                </c:pt>
                <c:pt idx="30">
                  <c:v>43678</c:v>
                </c:pt>
                <c:pt idx="31">
                  <c:v>43709</c:v>
                </c:pt>
                <c:pt idx="32">
                  <c:v>43739</c:v>
                </c:pt>
                <c:pt idx="33">
                  <c:v>43770</c:v>
                </c:pt>
                <c:pt idx="34">
                  <c:v>43800</c:v>
                </c:pt>
                <c:pt idx="35">
                  <c:v>43831</c:v>
                </c:pt>
                <c:pt idx="36">
                  <c:v>43862</c:v>
                </c:pt>
                <c:pt idx="37">
                  <c:v>43891</c:v>
                </c:pt>
                <c:pt idx="38">
                  <c:v>43922</c:v>
                </c:pt>
                <c:pt idx="39">
                  <c:v>43952</c:v>
                </c:pt>
                <c:pt idx="40">
                  <c:v>43983</c:v>
                </c:pt>
                <c:pt idx="41">
                  <c:v>44013</c:v>
                </c:pt>
                <c:pt idx="42">
                  <c:v>44044</c:v>
                </c:pt>
                <c:pt idx="43">
                  <c:v>44075</c:v>
                </c:pt>
                <c:pt idx="44">
                  <c:v>44105</c:v>
                </c:pt>
                <c:pt idx="45">
                  <c:v>44136</c:v>
                </c:pt>
                <c:pt idx="46">
                  <c:v>44166</c:v>
                </c:pt>
                <c:pt idx="47">
                  <c:v>44197</c:v>
                </c:pt>
                <c:pt idx="48">
                  <c:v>44228</c:v>
                </c:pt>
                <c:pt idx="49">
                  <c:v>44256</c:v>
                </c:pt>
                <c:pt idx="50">
                  <c:v>44287</c:v>
                </c:pt>
                <c:pt idx="51">
                  <c:v>44317</c:v>
                </c:pt>
                <c:pt idx="52">
                  <c:v>44348</c:v>
                </c:pt>
                <c:pt idx="53">
                  <c:v>44378</c:v>
                </c:pt>
                <c:pt idx="54">
                  <c:v>44409</c:v>
                </c:pt>
                <c:pt idx="55">
                  <c:v>44440</c:v>
                </c:pt>
                <c:pt idx="56">
                  <c:v>44470</c:v>
                </c:pt>
                <c:pt idx="57">
                  <c:v>44501</c:v>
                </c:pt>
                <c:pt idx="58">
                  <c:v>44531</c:v>
                </c:pt>
                <c:pt idx="59">
                  <c:v>44562</c:v>
                </c:pt>
                <c:pt idx="60">
                  <c:v>44593</c:v>
                </c:pt>
                <c:pt idx="61">
                  <c:v>44621</c:v>
                </c:pt>
                <c:pt idx="62">
                  <c:v>44652</c:v>
                </c:pt>
                <c:pt idx="63">
                  <c:v>44682</c:v>
                </c:pt>
                <c:pt idx="64">
                  <c:v>44713</c:v>
                </c:pt>
                <c:pt idx="65">
                  <c:v>44743</c:v>
                </c:pt>
                <c:pt idx="66">
                  <c:v>44774</c:v>
                </c:pt>
                <c:pt idx="67">
                  <c:v>44805</c:v>
                </c:pt>
                <c:pt idx="68">
                  <c:v>44835</c:v>
                </c:pt>
                <c:pt idx="69">
                  <c:v>44866</c:v>
                </c:pt>
                <c:pt idx="70">
                  <c:v>44896</c:v>
                </c:pt>
                <c:pt idx="71">
                  <c:v>44927</c:v>
                </c:pt>
                <c:pt idx="72">
                  <c:v>44958</c:v>
                </c:pt>
                <c:pt idx="73">
                  <c:v>44986</c:v>
                </c:pt>
                <c:pt idx="74">
                  <c:v>45017</c:v>
                </c:pt>
                <c:pt idx="75">
                  <c:v>45047</c:v>
                </c:pt>
              </c:numCache>
            </c:numRef>
          </c:cat>
          <c:val>
            <c:numRef>
              <c:f>Sheet8!$F$2:$F$77</c:f>
              <c:numCache>
                <c:formatCode>0.0%</c:formatCode>
                <c:ptCount val="76"/>
                <c:pt idx="0">
                  <c:v>3.1670625494853555E-2</c:v>
                </c:pt>
                <c:pt idx="1">
                  <c:v>3.6507936507936378E-2</c:v>
                </c:pt>
                <c:pt idx="2">
                  <c:v>3.8888888888888973E-2</c:v>
                </c:pt>
                <c:pt idx="3">
                  <c:v>2.9850746268656803E-2</c:v>
                </c:pt>
                <c:pt idx="4">
                  <c:v>2.1772939346812015E-2</c:v>
                </c:pt>
                <c:pt idx="5">
                  <c:v>1.4604150653343639E-2</c:v>
                </c:pt>
                <c:pt idx="6">
                  <c:v>2.3646071700991644E-2</c:v>
                </c:pt>
                <c:pt idx="7">
                  <c:v>3.2799389778794819E-2</c:v>
                </c:pt>
                <c:pt idx="8">
                  <c:v>3.2849503437738514E-2</c:v>
                </c:pt>
                <c:pt idx="9">
                  <c:v>3.5768645357686424E-2</c:v>
                </c:pt>
                <c:pt idx="10">
                  <c:v>4.8780487804878092E-2</c:v>
                </c:pt>
                <c:pt idx="11">
                  <c:v>5.2147239263803602E-2</c:v>
                </c:pt>
                <c:pt idx="12">
                  <c:v>5.0652340752110447E-2</c:v>
                </c:pt>
                <c:pt idx="13">
                  <c:v>4.4410413476263511E-2</c:v>
                </c:pt>
                <c:pt idx="14">
                  <c:v>4.2780748663101553E-2</c:v>
                </c:pt>
                <c:pt idx="15">
                  <c:v>4.5766590389016093E-2</c:v>
                </c:pt>
                <c:pt idx="16">
                  <c:v>4.8706240487062402E-2</c:v>
                </c:pt>
                <c:pt idx="17">
                  <c:v>4.924242424242431E-2</c:v>
                </c:pt>
                <c:pt idx="18">
                  <c:v>4.1728763040238537E-2</c:v>
                </c:pt>
                <c:pt idx="19">
                  <c:v>3.692762186115206E-2</c:v>
                </c:pt>
                <c:pt idx="20">
                  <c:v>3.6982248520710082E-2</c:v>
                </c:pt>
                <c:pt idx="21">
                  <c:v>3.4533431300514561E-2</c:v>
                </c:pt>
                <c:pt idx="22">
                  <c:v>2.3255813953488413E-2</c:v>
                </c:pt>
                <c:pt idx="23">
                  <c:v>2.1137026239067103E-2</c:v>
                </c:pt>
                <c:pt idx="24">
                  <c:v>1.9722425127830512E-2</c:v>
                </c:pt>
                <c:pt idx="25">
                  <c:v>2.5659824046920798E-2</c:v>
                </c:pt>
                <c:pt idx="26">
                  <c:v>2.8571428571428692E-2</c:v>
                </c:pt>
                <c:pt idx="27">
                  <c:v>3.0478955007256836E-2</c:v>
                </c:pt>
                <c:pt idx="28">
                  <c:v>3.1768953068592065E-2</c:v>
                </c:pt>
                <c:pt idx="29">
                  <c:v>3.1473533619456262E-2</c:v>
                </c:pt>
                <c:pt idx="30">
                  <c:v>3.2763532763532721E-2</c:v>
                </c:pt>
                <c:pt idx="31">
                  <c:v>3.9942938659058624E-2</c:v>
                </c:pt>
                <c:pt idx="32">
                  <c:v>4.5454545454545192E-2</c:v>
                </c:pt>
                <c:pt idx="33">
                  <c:v>5.5397727272727071E-2</c:v>
                </c:pt>
                <c:pt idx="34">
                  <c:v>7.3518915060670986E-2</c:v>
                </c:pt>
                <c:pt idx="35">
                  <c:v>7.5931232091690504E-2</c:v>
                </c:pt>
                <c:pt idx="36">
                  <c:v>6.5761258041458159E-2</c:v>
                </c:pt>
                <c:pt idx="37">
                  <c:v>5.8404558404558271E-2</c:v>
                </c:pt>
                <c:pt idx="38">
                  <c:v>#N/A</c:v>
                </c:pt>
                <c:pt idx="39">
                  <c:v>6.6901408450704247E-2</c:v>
                </c:pt>
                <c:pt idx="40">
                  <c:v>6.2281315605318355E-2</c:v>
                </c:pt>
                <c:pt idx="41">
                  <c:v>5.2704576976421835E-2</c:v>
                </c:pt>
                <c:pt idx="42">
                  <c:v>6.1379310344827687E-2</c:v>
                </c:pt>
                <c:pt idx="43">
                  <c:v>6.104252400548682E-2</c:v>
                </c:pt>
                <c:pt idx="44">
                  <c:v>6.2500000000000222E-2</c:v>
                </c:pt>
                <c:pt idx="45">
                  <c:v>6.5948855989232946E-2</c:v>
                </c:pt>
                <c:pt idx="46">
                  <c:v>5.6515957446808596E-2</c:v>
                </c:pt>
                <c:pt idx="47">
                  <c:v>4.7270306258322403E-2</c:v>
                </c:pt>
                <c:pt idx="48">
                  <c:v>5.0301810865191143E-2</c:v>
                </c:pt>
                <c:pt idx="49">
                  <c:v>5.5181695827725585E-2</c:v>
                </c:pt>
                <c:pt idx="50">
                  <c:v>2.9354207436399271E-2</c:v>
                </c:pt>
                <c:pt idx="51">
                  <c:v>5.8745874587458724E-2</c:v>
                </c:pt>
                <c:pt idx="52">
                  <c:v>6.2582345191040778E-2</c:v>
                </c:pt>
                <c:pt idx="53">
                  <c:v>7.0487483530961681E-2</c:v>
                </c:pt>
                <c:pt idx="54">
                  <c:v>6.0428849902534054E-2</c:v>
                </c:pt>
                <c:pt idx="55">
                  <c:v>5.4945054945054972E-2</c:v>
                </c:pt>
                <c:pt idx="56">
                  <c:v>5.8184143222506313E-2</c:v>
                </c:pt>
                <c:pt idx="57">
                  <c:v>5.2398989898989834E-2</c:v>
                </c:pt>
                <c:pt idx="58">
                  <c:v>4.5940843297671341E-2</c:v>
                </c:pt>
                <c:pt idx="59">
                  <c:v>5.3401144310235127E-2</c:v>
                </c:pt>
                <c:pt idx="60">
                  <c:v>6.0664112388250313E-2</c:v>
                </c:pt>
                <c:pt idx="61">
                  <c:v>6.9515306122448939E-2</c:v>
                </c:pt>
                <c:pt idx="62">
                  <c:v>7.7946768060836336E-2</c:v>
                </c:pt>
                <c:pt idx="63">
                  <c:v>7.0448877805486143E-2</c:v>
                </c:pt>
                <c:pt idx="64">
                  <c:v>7.0055796652200852E-2</c:v>
                </c:pt>
                <c:pt idx="65">
                  <c:v>6.7076923076923034E-2</c:v>
                </c:pt>
                <c:pt idx="66">
                  <c:v>6.8014705882353033E-2</c:v>
                </c:pt>
                <c:pt idx="67">
                  <c:v>7.4142156862745168E-2</c:v>
                </c:pt>
                <c:pt idx="68">
                  <c:v>6.7673716012084606E-2</c:v>
                </c:pt>
                <c:pt idx="69">
                  <c:v>5.8788242351529796E-2</c:v>
                </c:pt>
                <c:pt idx="70">
                  <c:v>5.7160048134777375E-2</c:v>
                </c:pt>
                <c:pt idx="71">
                  <c:v>6.5178032589016333E-2</c:v>
                </c:pt>
                <c:pt idx="72">
                  <c:v>6.682721252257684E-2</c:v>
                </c:pt>
                <c:pt idx="73">
                  <c:v>5.6648777579010101E-2</c:v>
                </c:pt>
                <c:pt idx="74">
                  <c:v>4.7031158142269325E-2</c:v>
                </c:pt>
                <c:pt idx="75">
                  <c:v>4.3098427489807856E-2</c:v>
                </c:pt>
              </c:numCache>
            </c:numRef>
          </c:val>
          <c:smooth val="0"/>
          <c:extLst>
            <c:ext xmlns:c16="http://schemas.microsoft.com/office/drawing/2014/chart" uri="{C3380CC4-5D6E-409C-BE32-E72D297353CC}">
              <c16:uniqueId val="{00000001-A558-EC46-ACF7-5A3B3BC98E10}"/>
            </c:ext>
          </c:extLst>
        </c:ser>
        <c:dLbls>
          <c:showLegendKey val="0"/>
          <c:showVal val="0"/>
          <c:showCatName val="0"/>
          <c:showSerName val="0"/>
          <c:showPercent val="0"/>
          <c:showBubbleSize val="0"/>
        </c:dLbls>
        <c:marker val="1"/>
        <c:smooth val="0"/>
        <c:axId val="1400383999"/>
        <c:axId val="1400385791"/>
      </c:lineChart>
      <c:dateAx>
        <c:axId val="14003839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Time (Month–Year)</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385791"/>
        <c:crosses val="autoZero"/>
        <c:auto val="1"/>
        <c:lblOffset val="100"/>
        <c:baseTimeUnit val="months"/>
      </c:dateAx>
      <c:valAx>
        <c:axId val="1400385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YoY Inflation (%)</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383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Inflation Impact of COVID Across Key CPI Categories</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Sheet8!$AE$1</c:f>
              <c:strCache>
                <c:ptCount val="1"/>
                <c:pt idx="0">
                  <c:v>Pre-COVID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Sheet8!$AD$2:$AD$5</c:f>
              <c:strCache>
                <c:ptCount val="4"/>
                <c:pt idx="0">
                  <c:v>Overall CPI</c:v>
                </c:pt>
                <c:pt idx="1">
                  <c:v>Food</c:v>
                </c:pt>
                <c:pt idx="2">
                  <c:v>Health</c:v>
                </c:pt>
                <c:pt idx="3">
                  <c:v>Other</c:v>
                </c:pt>
              </c:strCache>
            </c:strRef>
          </c:cat>
          <c:val>
            <c:numRef>
              <c:f>Sheet8!$AE$2:$AE$5</c:f>
              <c:numCache>
                <c:formatCode>0.00%</c:formatCode>
                <c:ptCount val="4"/>
                <c:pt idx="0">
                  <c:v>3.9E-2</c:v>
                </c:pt>
                <c:pt idx="1">
                  <c:v>2.1999999999999999E-2</c:v>
                </c:pt>
                <c:pt idx="2">
                  <c:v>5.8000000000000003E-2</c:v>
                </c:pt>
                <c:pt idx="3">
                  <c:v>4.4999999999999998E-2</c:v>
                </c:pt>
              </c:numCache>
            </c:numRef>
          </c:val>
          <c:extLst>
            <c:ext xmlns:c16="http://schemas.microsoft.com/office/drawing/2014/chart" uri="{C3380CC4-5D6E-409C-BE32-E72D297353CC}">
              <c16:uniqueId val="{00000000-1E18-BF47-B5FA-B79809B582FC}"/>
            </c:ext>
          </c:extLst>
        </c:ser>
        <c:ser>
          <c:idx val="1"/>
          <c:order val="1"/>
          <c:tx>
            <c:strRef>
              <c:f>Sheet8!$AF$1</c:f>
              <c:strCache>
                <c:ptCount val="1"/>
                <c:pt idx="0">
                  <c:v>COVID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Sheet8!$AD$2:$AD$5</c:f>
              <c:strCache>
                <c:ptCount val="4"/>
                <c:pt idx="0">
                  <c:v>Overall CPI</c:v>
                </c:pt>
                <c:pt idx="1">
                  <c:v>Food</c:v>
                </c:pt>
                <c:pt idx="2">
                  <c:v>Health</c:v>
                </c:pt>
                <c:pt idx="3">
                  <c:v>Other</c:v>
                </c:pt>
              </c:strCache>
            </c:strRef>
          </c:cat>
          <c:val>
            <c:numRef>
              <c:f>Sheet8!$AF$2:$AF$5</c:f>
              <c:numCache>
                <c:formatCode>0.00%</c:formatCode>
                <c:ptCount val="4"/>
                <c:pt idx="0">
                  <c:v>5.7000000000000002E-2</c:v>
                </c:pt>
                <c:pt idx="1">
                  <c:v>7.2999999999999995E-2</c:v>
                </c:pt>
                <c:pt idx="2">
                  <c:v>6.4000000000000001E-2</c:v>
                </c:pt>
                <c:pt idx="3">
                  <c:v>6.0999999999999999E-2</c:v>
                </c:pt>
              </c:numCache>
            </c:numRef>
          </c:val>
          <c:extLst>
            <c:ext xmlns:c16="http://schemas.microsoft.com/office/drawing/2014/chart" uri="{C3380CC4-5D6E-409C-BE32-E72D297353CC}">
              <c16:uniqueId val="{00000001-1E18-BF47-B5FA-B79809B582FC}"/>
            </c:ext>
          </c:extLst>
        </c:ser>
        <c:dLbls>
          <c:showLegendKey val="0"/>
          <c:showVal val="0"/>
          <c:showCatName val="0"/>
          <c:showSerName val="0"/>
          <c:showPercent val="0"/>
          <c:showBubbleSize val="0"/>
        </c:dLbls>
        <c:gapWidth val="219"/>
        <c:overlap val="-27"/>
        <c:axId val="1353780735"/>
        <c:axId val="1353782975"/>
      </c:barChart>
      <c:catAx>
        <c:axId val="135378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782975"/>
        <c:crosses val="autoZero"/>
        <c:auto val="1"/>
        <c:lblAlgn val="ctr"/>
        <c:lblOffset val="100"/>
        <c:noMultiLvlLbl val="0"/>
      </c:catAx>
      <c:valAx>
        <c:axId val="13537829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780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Imported Crude Oil Price – MoM Change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Sheet4!$C$1</c:f>
              <c:strCache>
                <c:ptCount val="1"/>
                <c:pt idx="0">
                  <c:v>Fuel MoM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1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A56-DA45-8289-CE68C63B3C30}"/>
                </c:ext>
              </c:extLst>
            </c:dLbl>
            <c:dLbl>
              <c:idx val="1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A56-DA45-8289-CE68C63B3C3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Sheet4!$A$2:$A$30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Sheet4!$B$1:$B$30</c:f>
              <c:numCache>
                <c:formatCode>0.0%</c:formatCode>
                <c:ptCount val="30"/>
                <c:pt idx="0" formatCode="General">
                  <c:v>0</c:v>
                </c:pt>
                <c:pt idx="1">
                  <c:v>0.15686274509803921</c:v>
                </c:pt>
                <c:pt idx="2">
                  <c:v>6.7796610169491525E-2</c:v>
                </c:pt>
                <c:pt idx="3">
                  <c:v>-1.5873015873015872E-2</c:v>
                </c:pt>
                <c:pt idx="4">
                  <c:v>6.4516129032258063E-2</c:v>
                </c:pt>
                <c:pt idx="5">
                  <c:v>9.0909090909090912E-2</c:v>
                </c:pt>
                <c:pt idx="6">
                  <c:v>2.7777777777777776E-2</c:v>
                </c:pt>
                <c:pt idx="7">
                  <c:v>-6.7567567567567571E-2</c:v>
                </c:pt>
                <c:pt idx="8">
                  <c:v>4.3478260869565216E-2</c:v>
                </c:pt>
                <c:pt idx="9">
                  <c:v>0.1388888888888889</c:v>
                </c:pt>
                <c:pt idx="10">
                  <c:v>-3.6585365853658534E-2</c:v>
                </c:pt>
                <c:pt idx="11">
                  <c:v>-6.3291139240506333E-2</c:v>
                </c:pt>
                <c:pt idx="12">
                  <c:v>0.13513513513513514</c:v>
                </c:pt>
                <c:pt idx="13">
                  <c:v>0.14285714285714285</c:v>
                </c:pt>
                <c:pt idx="14">
                  <c:v>0.22916666666666666</c:v>
                </c:pt>
                <c:pt idx="15">
                  <c:v>-0.11016949152542373</c:v>
                </c:pt>
                <c:pt idx="16">
                  <c:v>7.6190476190476197E-2</c:v>
                </c:pt>
                <c:pt idx="17">
                  <c:v>3.5398230088495575E-2</c:v>
                </c:pt>
                <c:pt idx="18">
                  <c:v>-0.10256410256410256</c:v>
                </c:pt>
                <c:pt idx="19">
                  <c:v>-7.6190476190476197E-2</c:v>
                </c:pt>
                <c:pt idx="20">
                  <c:v>-7.2164948453608241E-2</c:v>
                </c:pt>
                <c:pt idx="21">
                  <c:v>3.3333333333333333E-2</c:v>
                </c:pt>
                <c:pt idx="22">
                  <c:v>-5.3763440860215055E-2</c:v>
                </c:pt>
                <c:pt idx="23">
                  <c:v>-6.8181818181818177E-2</c:v>
                </c:pt>
                <c:pt idx="24">
                  <c:v>3.6585365853658534E-2</c:v>
                </c:pt>
                <c:pt idx="25">
                  <c:v>-2.3529411764705882E-2</c:v>
                </c:pt>
                <c:pt idx="26">
                  <c:v>-4.8192771084337352E-2</c:v>
                </c:pt>
                <c:pt idx="27">
                  <c:v>6.3291139240506333E-2</c:v>
                </c:pt>
                <c:pt idx="28">
                  <c:v>-9.5238095238095233E-2</c:v>
                </c:pt>
              </c:numCache>
            </c:numRef>
          </c:val>
          <c:smooth val="0"/>
          <c:extLst>
            <c:ext xmlns:c16="http://schemas.microsoft.com/office/drawing/2014/chart" uri="{C3380CC4-5D6E-409C-BE32-E72D297353CC}">
              <c16:uniqueId val="{00000003-4A56-DA45-8289-CE68C63B3C30}"/>
            </c:ext>
          </c:extLst>
        </c:ser>
        <c:dLbls>
          <c:showLegendKey val="0"/>
          <c:showVal val="0"/>
          <c:showCatName val="0"/>
          <c:showSerName val="0"/>
          <c:showPercent val="0"/>
          <c:showBubbleSize val="0"/>
        </c:dLbls>
        <c:marker val="1"/>
        <c:smooth val="0"/>
        <c:axId val="1282627711"/>
        <c:axId val="1259339071"/>
      </c:lineChart>
      <c:dateAx>
        <c:axId val="128262771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339071"/>
        <c:crosses val="autoZero"/>
        <c:auto val="1"/>
        <c:lblOffset val="100"/>
        <c:baseTimeUnit val="months"/>
      </c:dateAx>
      <c:valAx>
        <c:axId val="12593390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62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accent6">
                    <a:lumMod val="50000"/>
                  </a:schemeClr>
                </a:solidFill>
              </a:rPr>
              <a:t>Oil Price Change vs Transport Inflation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Sheet4!$B$1</c:f>
              <c:strCache>
                <c:ptCount val="1"/>
                <c:pt idx="0">
                  <c:v>Oil MoM %</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yVal>
            <c:numRef>
              <c:f>Sheet4!$B$2:$B$29</c:f>
              <c:numCache>
                <c:formatCode>0.0%</c:formatCode>
                <c:ptCount val="28"/>
                <c:pt idx="0">
                  <c:v>0.15686274509803921</c:v>
                </c:pt>
                <c:pt idx="1">
                  <c:v>6.7796610169491525E-2</c:v>
                </c:pt>
                <c:pt idx="2">
                  <c:v>-1.5873015873015872E-2</c:v>
                </c:pt>
                <c:pt idx="3">
                  <c:v>6.4516129032258063E-2</c:v>
                </c:pt>
                <c:pt idx="4">
                  <c:v>9.0909090909090912E-2</c:v>
                </c:pt>
                <c:pt idx="5">
                  <c:v>2.7777777777777776E-2</c:v>
                </c:pt>
                <c:pt idx="6">
                  <c:v>-6.7567567567567571E-2</c:v>
                </c:pt>
                <c:pt idx="7">
                  <c:v>4.3478260869565216E-2</c:v>
                </c:pt>
                <c:pt idx="8">
                  <c:v>0.1388888888888889</c:v>
                </c:pt>
                <c:pt idx="9">
                  <c:v>-3.6585365853658534E-2</c:v>
                </c:pt>
                <c:pt idx="10">
                  <c:v>-6.3291139240506333E-2</c:v>
                </c:pt>
                <c:pt idx="11">
                  <c:v>0.13513513513513514</c:v>
                </c:pt>
                <c:pt idx="12">
                  <c:v>0.14285714285714285</c:v>
                </c:pt>
                <c:pt idx="13">
                  <c:v>0.22916666666666666</c:v>
                </c:pt>
                <c:pt idx="14">
                  <c:v>-0.11016949152542373</c:v>
                </c:pt>
                <c:pt idx="15">
                  <c:v>7.6190476190476197E-2</c:v>
                </c:pt>
                <c:pt idx="16">
                  <c:v>3.5398230088495575E-2</c:v>
                </c:pt>
                <c:pt idx="17">
                  <c:v>-0.10256410256410256</c:v>
                </c:pt>
                <c:pt idx="18">
                  <c:v>-7.6190476190476197E-2</c:v>
                </c:pt>
                <c:pt idx="19">
                  <c:v>-7.2164948453608241E-2</c:v>
                </c:pt>
                <c:pt idx="20">
                  <c:v>3.3333333333333333E-2</c:v>
                </c:pt>
                <c:pt idx="21">
                  <c:v>-5.3763440860215055E-2</c:v>
                </c:pt>
                <c:pt idx="22">
                  <c:v>-6.8181818181818177E-2</c:v>
                </c:pt>
                <c:pt idx="23">
                  <c:v>3.6585365853658534E-2</c:v>
                </c:pt>
                <c:pt idx="24">
                  <c:v>-2.3529411764705882E-2</c:v>
                </c:pt>
                <c:pt idx="25">
                  <c:v>-4.8192771084337352E-2</c:v>
                </c:pt>
                <c:pt idx="26">
                  <c:v>6.3291139240506333E-2</c:v>
                </c:pt>
                <c:pt idx="27">
                  <c:v>-9.5238095238095233E-2</c:v>
                </c:pt>
              </c:numCache>
            </c:numRef>
          </c:yVal>
          <c:smooth val="0"/>
          <c:extLst>
            <c:ext xmlns:c16="http://schemas.microsoft.com/office/drawing/2014/chart" uri="{C3380CC4-5D6E-409C-BE32-E72D297353CC}">
              <c16:uniqueId val="{00000000-15F6-0149-BD43-89DE429A15F4}"/>
            </c:ext>
          </c:extLst>
        </c:ser>
        <c:ser>
          <c:idx val="1"/>
          <c:order val="1"/>
          <c:tx>
            <c:strRef>
              <c:f>Sheet4!$D$1</c:f>
              <c:strCache>
                <c:ptCount val="1"/>
                <c:pt idx="0">
                  <c:v>Transport MoM %</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yVal>
            <c:numRef>
              <c:f>Sheet4!$D$2:$D$30</c:f>
              <c:numCache>
                <c:formatCode>0.0%</c:formatCode>
                <c:ptCount val="29"/>
                <c:pt idx="0">
                  <c:v>8.5287846481877545E-3</c:v>
                </c:pt>
                <c:pt idx="1">
                  <c:v>2.2551092318534097E-2</c:v>
                </c:pt>
                <c:pt idx="2">
                  <c:v>7.5809786354238068E-3</c:v>
                </c:pt>
                <c:pt idx="3">
                  <c:v>2.7359781121751416E-3</c:v>
                </c:pt>
                <c:pt idx="4">
                  <c:v>1.568894952251031E-2</c:v>
                </c:pt>
                <c:pt idx="5">
                  <c:v>1.2088650100738636E-2</c:v>
                </c:pt>
                <c:pt idx="6">
                  <c:v>1.5925680159256841E-2</c:v>
                </c:pt>
                <c:pt idx="7">
                  <c:v>5.8785107772697954E-3</c:v>
                </c:pt>
                <c:pt idx="8">
                  <c:v>0</c:v>
                </c:pt>
                <c:pt idx="9">
                  <c:v>1.1038961038960965E-2</c:v>
                </c:pt>
                <c:pt idx="10">
                  <c:v>-5.7803468208091026E-3</c:v>
                </c:pt>
                <c:pt idx="11">
                  <c:v>5.8139534883719455E-3</c:v>
                </c:pt>
                <c:pt idx="12">
                  <c:v>5.1380860629416276E-3</c:v>
                </c:pt>
                <c:pt idx="13">
                  <c:v>2.5559105431310269E-3</c:v>
                </c:pt>
                <c:pt idx="14">
                  <c:v>6.3734862970044612E-3</c:v>
                </c:pt>
                <c:pt idx="15">
                  <c:v>2.9765674477517344E-2</c:v>
                </c:pt>
                <c:pt idx="16">
                  <c:v>2.4600246002460377E-3</c:v>
                </c:pt>
                <c:pt idx="17">
                  <c:v>-1.1656441717791446E-2</c:v>
                </c:pt>
                <c:pt idx="18">
                  <c:v>3.1036623215394167E-3</c:v>
                </c:pt>
                <c:pt idx="19">
                  <c:v>1.8564356435644268E-3</c:v>
                </c:pt>
                <c:pt idx="20">
                  <c:v>2.470660901791264E-3</c:v>
                </c:pt>
                <c:pt idx="21">
                  <c:v>3.6968576709796321E-3</c:v>
                </c:pt>
                <c:pt idx="22">
                  <c:v>6.1387354205030267E-4</c:v>
                </c:pt>
                <c:pt idx="23">
                  <c:v>2.4539877300613845E-3</c:v>
                </c:pt>
                <c:pt idx="24">
                  <c:v>1.2239902080782657E-3</c:v>
                </c:pt>
                <c:pt idx="25">
                  <c:v>3.6674816625916523E-3</c:v>
                </c:pt>
                <c:pt idx="26">
                  <c:v>0</c:v>
                </c:pt>
                <c:pt idx="27">
                  <c:v>1.8270401948843567E-3</c:v>
                </c:pt>
                <c:pt idx="28">
                  <c:v>1.8237082066869992E-3</c:v>
                </c:pt>
              </c:numCache>
            </c:numRef>
          </c:yVal>
          <c:smooth val="0"/>
          <c:extLst>
            <c:ext xmlns:c16="http://schemas.microsoft.com/office/drawing/2014/chart" uri="{C3380CC4-5D6E-409C-BE32-E72D297353CC}">
              <c16:uniqueId val="{00000001-15F6-0149-BD43-89DE429A15F4}"/>
            </c:ext>
          </c:extLst>
        </c:ser>
        <c:dLbls>
          <c:showLegendKey val="0"/>
          <c:showVal val="0"/>
          <c:showCatName val="0"/>
          <c:showSerName val="0"/>
          <c:showPercent val="0"/>
          <c:showBubbleSize val="0"/>
        </c:dLbls>
        <c:axId val="1237726335"/>
        <c:axId val="1251317887"/>
      </c:scatterChart>
      <c:valAx>
        <c:axId val="1237726335"/>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317887"/>
        <c:crosses val="autoZero"/>
        <c:crossBetween val="midCat"/>
      </c:valAx>
      <c:valAx>
        <c:axId val="12513178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72633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accent6">
                    <a:lumMod val="50000"/>
                  </a:schemeClr>
                </a:solidFill>
              </a:rPr>
              <a:t>Oil Price Change vs Food Inflation (Weak Relationship)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Sheet4!$B$1</c:f>
              <c:strCache>
                <c:ptCount val="1"/>
                <c:pt idx="0">
                  <c:v>Oil MoM %</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yVal>
            <c:numRef>
              <c:f>Sheet4!$B$2:$B$29</c:f>
              <c:numCache>
                <c:formatCode>0.0%</c:formatCode>
                <c:ptCount val="28"/>
                <c:pt idx="0">
                  <c:v>0.15686274509803921</c:v>
                </c:pt>
                <c:pt idx="1">
                  <c:v>6.7796610169491525E-2</c:v>
                </c:pt>
                <c:pt idx="2">
                  <c:v>-1.5873015873015872E-2</c:v>
                </c:pt>
                <c:pt idx="3">
                  <c:v>6.4516129032258063E-2</c:v>
                </c:pt>
                <c:pt idx="4">
                  <c:v>9.0909090909090912E-2</c:v>
                </c:pt>
                <c:pt idx="5">
                  <c:v>2.7777777777777776E-2</c:v>
                </c:pt>
                <c:pt idx="6">
                  <c:v>-6.7567567567567571E-2</c:v>
                </c:pt>
                <c:pt idx="7">
                  <c:v>4.3478260869565216E-2</c:v>
                </c:pt>
                <c:pt idx="8">
                  <c:v>0.1388888888888889</c:v>
                </c:pt>
                <c:pt idx="9">
                  <c:v>-3.6585365853658534E-2</c:v>
                </c:pt>
                <c:pt idx="10">
                  <c:v>-6.3291139240506333E-2</c:v>
                </c:pt>
                <c:pt idx="11">
                  <c:v>0.13513513513513514</c:v>
                </c:pt>
                <c:pt idx="12">
                  <c:v>0.14285714285714285</c:v>
                </c:pt>
                <c:pt idx="13">
                  <c:v>0.22916666666666666</c:v>
                </c:pt>
                <c:pt idx="14">
                  <c:v>-0.11016949152542373</c:v>
                </c:pt>
                <c:pt idx="15">
                  <c:v>7.6190476190476197E-2</c:v>
                </c:pt>
                <c:pt idx="16">
                  <c:v>3.5398230088495575E-2</c:v>
                </c:pt>
                <c:pt idx="17">
                  <c:v>-0.10256410256410256</c:v>
                </c:pt>
                <c:pt idx="18">
                  <c:v>-7.6190476190476197E-2</c:v>
                </c:pt>
                <c:pt idx="19">
                  <c:v>-7.2164948453608241E-2</c:v>
                </c:pt>
                <c:pt idx="20">
                  <c:v>3.3333333333333333E-2</c:v>
                </c:pt>
                <c:pt idx="21">
                  <c:v>-5.3763440860215055E-2</c:v>
                </c:pt>
                <c:pt idx="22">
                  <c:v>-6.8181818181818177E-2</c:v>
                </c:pt>
                <c:pt idx="23">
                  <c:v>3.6585365853658534E-2</c:v>
                </c:pt>
                <c:pt idx="24">
                  <c:v>-2.3529411764705882E-2</c:v>
                </c:pt>
                <c:pt idx="25">
                  <c:v>-4.8192771084337352E-2</c:v>
                </c:pt>
                <c:pt idx="26">
                  <c:v>6.3291139240506333E-2</c:v>
                </c:pt>
                <c:pt idx="27">
                  <c:v>-9.5238095238095233E-2</c:v>
                </c:pt>
              </c:numCache>
            </c:numRef>
          </c:yVal>
          <c:smooth val="0"/>
          <c:extLst>
            <c:ext xmlns:c16="http://schemas.microsoft.com/office/drawing/2014/chart" uri="{C3380CC4-5D6E-409C-BE32-E72D297353CC}">
              <c16:uniqueId val="{00000000-3CC5-0549-A901-EFBFF9A8C9E5}"/>
            </c:ext>
          </c:extLst>
        </c:ser>
        <c:ser>
          <c:idx val="1"/>
          <c:order val="1"/>
          <c:tx>
            <c:strRef>
              <c:f>Sheet4!$E$1</c:f>
              <c:strCache>
                <c:ptCount val="1"/>
                <c:pt idx="0">
                  <c:v>Food MoM %</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yVal>
            <c:numRef>
              <c:f>Sheet4!$E$2:$E$30</c:f>
              <c:numCache>
                <c:formatCode>0.0%</c:formatCode>
                <c:ptCount val="29"/>
                <c:pt idx="0">
                  <c:v>7.1968213106497106E-2</c:v>
                </c:pt>
                <c:pt idx="1">
                  <c:v>6.8877406166600527E-2</c:v>
                </c:pt>
                <c:pt idx="2">
                  <c:v>7.7984540509590569E-2</c:v>
                </c:pt>
                <c:pt idx="3">
                  <c:v>5.289032507526182E-2</c:v>
                </c:pt>
                <c:pt idx="4">
                  <c:v>8.091586084250299E-2</c:v>
                </c:pt>
                <c:pt idx="5">
                  <c:v>8.7433804060017509E-2</c:v>
                </c:pt>
                <c:pt idx="6">
                  <c:v>9.3887908208296567E-2</c:v>
                </c:pt>
                <c:pt idx="7">
                  <c:v>7.6052660211076289E-2</c:v>
                </c:pt>
                <c:pt idx="8">
                  <c:v>6.9767441860465115E-2</c:v>
                </c:pt>
                <c:pt idx="9">
                  <c:v>6.390419669351427E-2</c:v>
                </c:pt>
                <c:pt idx="10">
                  <c:v>4.8423015174271007E-2</c:v>
                </c:pt>
                <c:pt idx="11">
                  <c:v>3.5499305448371661E-2</c:v>
                </c:pt>
                <c:pt idx="12">
                  <c:v>4.2965283215870634E-2</c:v>
                </c:pt>
                <c:pt idx="13">
                  <c:v>5.9817254568635916E-2</c:v>
                </c:pt>
                <c:pt idx="14">
                  <c:v>7.069634036224591E-2</c:v>
                </c:pt>
                <c:pt idx="15">
                  <c:v>7.2084360736582656E-2</c:v>
                </c:pt>
                <c:pt idx="16">
                  <c:v>6.2005141388174874E-2</c:v>
                </c:pt>
                <c:pt idx="17">
                  <c:v>5.8692233551463406E-2</c:v>
                </c:pt>
                <c:pt idx="18">
                  <c:v>5.461422087745825E-2</c:v>
                </c:pt>
                <c:pt idx="19">
                  <c:v>5.8088978766430668E-2</c:v>
                </c:pt>
                <c:pt idx="20">
                  <c:v>6.3245702730030232E-2</c:v>
                </c:pt>
                <c:pt idx="21">
                  <c:v>5.4736527542583902E-2</c:v>
                </c:pt>
                <c:pt idx="22">
                  <c:v>4.6482908516103552E-2</c:v>
                </c:pt>
                <c:pt idx="23">
                  <c:v>4.7100909226412316E-2</c:v>
                </c:pt>
                <c:pt idx="24">
                  <c:v>5.9165081589748862E-2</c:v>
                </c:pt>
                <c:pt idx="25">
                  <c:v>5.3684210526315508E-2</c:v>
                </c:pt>
                <c:pt idx="26">
                  <c:v>4.286139497966044E-2</c:v>
                </c:pt>
                <c:pt idx="27">
                  <c:v>3.3374113041350642E-2</c:v>
                </c:pt>
                <c:pt idx="28">
                  <c:v>3.0112316034082126E-2</c:v>
                </c:pt>
              </c:numCache>
            </c:numRef>
          </c:yVal>
          <c:smooth val="0"/>
          <c:extLst>
            <c:ext xmlns:c16="http://schemas.microsoft.com/office/drawing/2014/chart" uri="{C3380CC4-5D6E-409C-BE32-E72D297353CC}">
              <c16:uniqueId val="{00000001-3CC5-0549-A901-EFBFF9A8C9E5}"/>
            </c:ext>
          </c:extLst>
        </c:ser>
        <c:dLbls>
          <c:showLegendKey val="0"/>
          <c:showVal val="0"/>
          <c:showCatName val="0"/>
          <c:showSerName val="0"/>
          <c:showPercent val="0"/>
          <c:showBubbleSize val="0"/>
        </c:dLbls>
        <c:axId val="1237899391"/>
        <c:axId val="1237901183"/>
      </c:scatterChart>
      <c:valAx>
        <c:axId val="123789939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901183"/>
        <c:crosses val="autoZero"/>
        <c:crossBetween val="midCat"/>
      </c:valAx>
      <c:valAx>
        <c:axId val="12379011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8993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Relationship Between Oil Price Change and Fuel Inflation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Sheet4!$C$1</c:f>
              <c:strCache>
                <c:ptCount val="1"/>
                <c:pt idx="0">
                  <c:v>Fuel MoM %</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Sheet4!$B$2:$B$30</c:f>
              <c:numCache>
                <c:formatCode>0.0%</c:formatCode>
                <c:ptCount val="29"/>
                <c:pt idx="0">
                  <c:v>0.15686274509803921</c:v>
                </c:pt>
                <c:pt idx="1">
                  <c:v>6.7796610169491525E-2</c:v>
                </c:pt>
                <c:pt idx="2">
                  <c:v>-1.5873015873015872E-2</c:v>
                </c:pt>
                <c:pt idx="3">
                  <c:v>6.4516129032258063E-2</c:v>
                </c:pt>
                <c:pt idx="4">
                  <c:v>9.0909090909090912E-2</c:v>
                </c:pt>
                <c:pt idx="5">
                  <c:v>2.7777777777777776E-2</c:v>
                </c:pt>
                <c:pt idx="6">
                  <c:v>-6.7567567567567571E-2</c:v>
                </c:pt>
                <c:pt idx="7">
                  <c:v>4.3478260869565216E-2</c:v>
                </c:pt>
                <c:pt idx="8">
                  <c:v>0.1388888888888889</c:v>
                </c:pt>
                <c:pt idx="9">
                  <c:v>-3.6585365853658534E-2</c:v>
                </c:pt>
                <c:pt idx="10">
                  <c:v>-6.3291139240506333E-2</c:v>
                </c:pt>
                <c:pt idx="11">
                  <c:v>0.13513513513513514</c:v>
                </c:pt>
                <c:pt idx="12">
                  <c:v>0.14285714285714285</c:v>
                </c:pt>
                <c:pt idx="13">
                  <c:v>0.22916666666666666</c:v>
                </c:pt>
                <c:pt idx="14">
                  <c:v>-0.11016949152542373</c:v>
                </c:pt>
                <c:pt idx="15">
                  <c:v>7.6190476190476197E-2</c:v>
                </c:pt>
                <c:pt idx="16">
                  <c:v>3.5398230088495575E-2</c:v>
                </c:pt>
                <c:pt idx="17">
                  <c:v>-0.10256410256410256</c:v>
                </c:pt>
                <c:pt idx="18">
                  <c:v>-7.6190476190476197E-2</c:v>
                </c:pt>
                <c:pt idx="19">
                  <c:v>-7.2164948453608241E-2</c:v>
                </c:pt>
                <c:pt idx="20">
                  <c:v>3.3333333333333333E-2</c:v>
                </c:pt>
                <c:pt idx="21">
                  <c:v>-5.3763440860215055E-2</c:v>
                </c:pt>
                <c:pt idx="22">
                  <c:v>-6.8181818181818177E-2</c:v>
                </c:pt>
                <c:pt idx="23">
                  <c:v>3.6585365853658534E-2</c:v>
                </c:pt>
                <c:pt idx="24">
                  <c:v>-2.3529411764705882E-2</c:v>
                </c:pt>
                <c:pt idx="25">
                  <c:v>-4.8192771084337352E-2</c:v>
                </c:pt>
                <c:pt idx="26">
                  <c:v>6.3291139240506333E-2</c:v>
                </c:pt>
                <c:pt idx="27">
                  <c:v>-9.5238095238095233E-2</c:v>
                </c:pt>
              </c:numCache>
            </c:numRef>
          </c:xVal>
          <c:yVal>
            <c:numRef>
              <c:f>Sheet4!$C$2:$C$30</c:f>
              <c:numCache>
                <c:formatCode>0.0%</c:formatCode>
                <c:ptCount val="29"/>
                <c:pt idx="0">
                  <c:v>2.2821576763485556E-2</c:v>
                </c:pt>
                <c:pt idx="1">
                  <c:v>3.0425963488843813E-2</c:v>
                </c:pt>
                <c:pt idx="2">
                  <c:v>2.0341207349081326E-2</c:v>
                </c:pt>
                <c:pt idx="3">
                  <c:v>6.4308681672022071E-4</c:v>
                </c:pt>
                <c:pt idx="4">
                  <c:v>2.4421593830334265E-2</c:v>
                </c:pt>
                <c:pt idx="5">
                  <c:v>2.5094102885822186E-3</c:v>
                </c:pt>
                <c:pt idx="6">
                  <c:v>5.6320400500624356E-3</c:v>
                </c:pt>
                <c:pt idx="7">
                  <c:v>1.1823273179838244E-2</c:v>
                </c:pt>
                <c:pt idx="8">
                  <c:v>0</c:v>
                </c:pt>
                <c:pt idx="9">
                  <c:v>9.8400984009839754E-3</c:v>
                </c:pt>
                <c:pt idx="10">
                  <c:v>-1.8270401948841837E-3</c:v>
                </c:pt>
                <c:pt idx="11">
                  <c:v>1.2202562538132314E-3</c:v>
                </c:pt>
                <c:pt idx="12">
                  <c:v>6.0938452163311586E-4</c:v>
                </c:pt>
                <c:pt idx="13">
                  <c:v>9.1352009744214372E-3</c:v>
                </c:pt>
                <c:pt idx="14">
                  <c:v>9.0525045262522634E-3</c:v>
                </c:pt>
                <c:pt idx="15">
                  <c:v>2.9904306220095697E-2</c:v>
                </c:pt>
                <c:pt idx="16">
                  <c:v>1.3937282229965191E-2</c:v>
                </c:pt>
                <c:pt idx="17">
                  <c:v>8.0183276059565042E-3</c:v>
                </c:pt>
                <c:pt idx="18">
                  <c:v>2.0454545454545423E-2</c:v>
                </c:pt>
                <c:pt idx="19">
                  <c:v>-4.4543429844097048E-3</c:v>
                </c:pt>
                <c:pt idx="20">
                  <c:v>3.9149888143176093E-3</c:v>
                </c:pt>
                <c:pt idx="21">
                  <c:v>5.5710306406685237E-3</c:v>
                </c:pt>
                <c:pt idx="22">
                  <c:v>4.4321329639889825E-3</c:v>
                </c:pt>
                <c:pt idx="23">
                  <c:v>3.8610038610037982E-3</c:v>
                </c:pt>
                <c:pt idx="24">
                  <c:v>0</c:v>
                </c:pt>
                <c:pt idx="25">
                  <c:v>5.4945054945051823E-4</c:v>
                </c:pt>
                <c:pt idx="26">
                  <c:v>-1.0982976386600144E-3</c:v>
                </c:pt>
                <c:pt idx="27">
                  <c:v>-1.0995052226499013E-3</c:v>
                </c:pt>
                <c:pt idx="28">
                  <c:v>6.0539350577876877E-3</c:v>
                </c:pt>
              </c:numCache>
            </c:numRef>
          </c:yVal>
          <c:smooth val="0"/>
          <c:extLst>
            <c:ext xmlns:c16="http://schemas.microsoft.com/office/drawing/2014/chart" uri="{C3380CC4-5D6E-409C-BE32-E72D297353CC}">
              <c16:uniqueId val="{00000000-D2E4-B34A-B711-7B53B50DB63A}"/>
            </c:ext>
          </c:extLst>
        </c:ser>
        <c:dLbls>
          <c:showLegendKey val="0"/>
          <c:showVal val="0"/>
          <c:showCatName val="0"/>
          <c:showSerName val="0"/>
          <c:showPercent val="0"/>
          <c:showBubbleSize val="0"/>
        </c:dLbls>
        <c:axId val="1252889407"/>
        <c:axId val="1252890303"/>
      </c:scatterChart>
      <c:valAx>
        <c:axId val="125288940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890303"/>
        <c:crosses val="autoZero"/>
        <c:crossBetween val="midCat"/>
      </c:valAx>
      <c:valAx>
        <c:axId val="12528903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8894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Oil Price Volatility vs Inflation Components (MoM)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Sheet4!$B$1</c:f>
              <c:strCache>
                <c:ptCount val="1"/>
                <c:pt idx="0">
                  <c:v>Oil MoM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Sheet4!$A$2:$A$30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Sheet4!$B$2:$B$30</c:f>
              <c:numCache>
                <c:formatCode>0.0%</c:formatCode>
                <c:ptCount val="29"/>
                <c:pt idx="0">
                  <c:v>0.15686274509803921</c:v>
                </c:pt>
                <c:pt idx="1">
                  <c:v>6.7796610169491525E-2</c:v>
                </c:pt>
                <c:pt idx="2">
                  <c:v>-1.5873015873015872E-2</c:v>
                </c:pt>
                <c:pt idx="3">
                  <c:v>6.4516129032258063E-2</c:v>
                </c:pt>
                <c:pt idx="4">
                  <c:v>9.0909090909090912E-2</c:v>
                </c:pt>
                <c:pt idx="5">
                  <c:v>2.7777777777777776E-2</c:v>
                </c:pt>
                <c:pt idx="6">
                  <c:v>-6.7567567567567571E-2</c:v>
                </c:pt>
                <c:pt idx="7">
                  <c:v>4.3478260869565216E-2</c:v>
                </c:pt>
                <c:pt idx="8">
                  <c:v>0.1388888888888889</c:v>
                </c:pt>
                <c:pt idx="9">
                  <c:v>-3.6585365853658534E-2</c:v>
                </c:pt>
                <c:pt idx="10">
                  <c:v>-6.3291139240506333E-2</c:v>
                </c:pt>
                <c:pt idx="11">
                  <c:v>0.13513513513513514</c:v>
                </c:pt>
                <c:pt idx="12">
                  <c:v>0.14285714285714285</c:v>
                </c:pt>
                <c:pt idx="13">
                  <c:v>0.22916666666666666</c:v>
                </c:pt>
                <c:pt idx="14">
                  <c:v>-0.11016949152542373</c:v>
                </c:pt>
                <c:pt idx="15">
                  <c:v>7.6190476190476197E-2</c:v>
                </c:pt>
                <c:pt idx="16">
                  <c:v>3.5398230088495575E-2</c:v>
                </c:pt>
                <c:pt idx="17">
                  <c:v>-0.10256410256410256</c:v>
                </c:pt>
                <c:pt idx="18">
                  <c:v>-7.6190476190476197E-2</c:v>
                </c:pt>
                <c:pt idx="19">
                  <c:v>-7.2164948453608241E-2</c:v>
                </c:pt>
                <c:pt idx="20">
                  <c:v>3.3333333333333333E-2</c:v>
                </c:pt>
                <c:pt idx="21">
                  <c:v>-5.3763440860215055E-2</c:v>
                </c:pt>
                <c:pt idx="22">
                  <c:v>-6.8181818181818177E-2</c:v>
                </c:pt>
                <c:pt idx="23">
                  <c:v>3.6585365853658534E-2</c:v>
                </c:pt>
                <c:pt idx="24">
                  <c:v>-2.3529411764705882E-2</c:v>
                </c:pt>
                <c:pt idx="25">
                  <c:v>-4.8192771084337352E-2</c:v>
                </c:pt>
                <c:pt idx="26">
                  <c:v>6.3291139240506333E-2</c:v>
                </c:pt>
                <c:pt idx="27">
                  <c:v>-9.5238095238095233E-2</c:v>
                </c:pt>
              </c:numCache>
            </c:numRef>
          </c:val>
          <c:smooth val="0"/>
          <c:extLst>
            <c:ext xmlns:c16="http://schemas.microsoft.com/office/drawing/2014/chart" uri="{C3380CC4-5D6E-409C-BE32-E72D297353CC}">
              <c16:uniqueId val="{00000000-0B68-6545-B5D7-6FBA52F4B37E}"/>
            </c:ext>
          </c:extLst>
        </c:ser>
        <c:ser>
          <c:idx val="1"/>
          <c:order val="1"/>
          <c:tx>
            <c:strRef>
              <c:f>Sheet4!$C$1</c:f>
              <c:strCache>
                <c:ptCount val="1"/>
                <c:pt idx="0">
                  <c:v>Fuel MoM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Sheet4!$A$2:$A$30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Sheet4!$C$2:$C$30</c:f>
              <c:numCache>
                <c:formatCode>0.0%</c:formatCode>
                <c:ptCount val="29"/>
                <c:pt idx="0">
                  <c:v>2.2821576763485556E-2</c:v>
                </c:pt>
                <c:pt idx="1">
                  <c:v>3.0425963488843813E-2</c:v>
                </c:pt>
                <c:pt idx="2">
                  <c:v>2.0341207349081326E-2</c:v>
                </c:pt>
                <c:pt idx="3">
                  <c:v>6.4308681672022071E-4</c:v>
                </c:pt>
                <c:pt idx="4">
                  <c:v>2.4421593830334265E-2</c:v>
                </c:pt>
                <c:pt idx="5">
                  <c:v>2.5094102885822186E-3</c:v>
                </c:pt>
                <c:pt idx="6">
                  <c:v>5.6320400500624356E-3</c:v>
                </c:pt>
                <c:pt idx="7">
                  <c:v>1.1823273179838244E-2</c:v>
                </c:pt>
                <c:pt idx="8">
                  <c:v>0</c:v>
                </c:pt>
                <c:pt idx="9">
                  <c:v>9.8400984009839754E-3</c:v>
                </c:pt>
                <c:pt idx="10">
                  <c:v>-1.8270401948841837E-3</c:v>
                </c:pt>
                <c:pt idx="11">
                  <c:v>1.2202562538132314E-3</c:v>
                </c:pt>
                <c:pt idx="12">
                  <c:v>6.0938452163311586E-4</c:v>
                </c:pt>
                <c:pt idx="13">
                  <c:v>9.1352009744214372E-3</c:v>
                </c:pt>
                <c:pt idx="14">
                  <c:v>9.0525045262522634E-3</c:v>
                </c:pt>
                <c:pt idx="15">
                  <c:v>2.9904306220095697E-2</c:v>
                </c:pt>
                <c:pt idx="16">
                  <c:v>1.3937282229965191E-2</c:v>
                </c:pt>
                <c:pt idx="17">
                  <c:v>8.0183276059565042E-3</c:v>
                </c:pt>
                <c:pt idx="18">
                  <c:v>2.0454545454545423E-2</c:v>
                </c:pt>
                <c:pt idx="19">
                  <c:v>-4.4543429844097048E-3</c:v>
                </c:pt>
                <c:pt idx="20">
                  <c:v>3.9149888143176093E-3</c:v>
                </c:pt>
                <c:pt idx="21">
                  <c:v>5.5710306406685237E-3</c:v>
                </c:pt>
                <c:pt idx="22">
                  <c:v>4.4321329639889825E-3</c:v>
                </c:pt>
                <c:pt idx="23">
                  <c:v>3.8610038610037982E-3</c:v>
                </c:pt>
                <c:pt idx="24">
                  <c:v>0</c:v>
                </c:pt>
                <c:pt idx="25">
                  <c:v>5.4945054945051823E-4</c:v>
                </c:pt>
                <c:pt idx="26">
                  <c:v>-1.0982976386600144E-3</c:v>
                </c:pt>
                <c:pt idx="27">
                  <c:v>-1.0995052226499013E-3</c:v>
                </c:pt>
                <c:pt idx="28">
                  <c:v>6.0539350577876877E-3</c:v>
                </c:pt>
              </c:numCache>
            </c:numRef>
          </c:val>
          <c:smooth val="0"/>
          <c:extLst>
            <c:ext xmlns:c16="http://schemas.microsoft.com/office/drawing/2014/chart" uri="{C3380CC4-5D6E-409C-BE32-E72D297353CC}">
              <c16:uniqueId val="{00000001-0B68-6545-B5D7-6FBA52F4B37E}"/>
            </c:ext>
          </c:extLst>
        </c:ser>
        <c:ser>
          <c:idx val="2"/>
          <c:order val="2"/>
          <c:tx>
            <c:strRef>
              <c:f>Sheet4!$D$1</c:f>
              <c:strCache>
                <c:ptCount val="1"/>
                <c:pt idx="0">
                  <c:v>Transport MoM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Sheet4!$A$2:$A$30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Sheet4!$D$2:$D$30</c:f>
              <c:numCache>
                <c:formatCode>0.0%</c:formatCode>
                <c:ptCount val="29"/>
                <c:pt idx="0">
                  <c:v>8.5287846481877545E-3</c:v>
                </c:pt>
                <c:pt idx="1">
                  <c:v>2.2551092318534097E-2</c:v>
                </c:pt>
                <c:pt idx="2">
                  <c:v>7.5809786354238068E-3</c:v>
                </c:pt>
                <c:pt idx="3">
                  <c:v>2.7359781121751416E-3</c:v>
                </c:pt>
                <c:pt idx="4">
                  <c:v>1.568894952251031E-2</c:v>
                </c:pt>
                <c:pt idx="5">
                  <c:v>1.2088650100738636E-2</c:v>
                </c:pt>
                <c:pt idx="6">
                  <c:v>1.5925680159256841E-2</c:v>
                </c:pt>
                <c:pt idx="7">
                  <c:v>5.8785107772697954E-3</c:v>
                </c:pt>
                <c:pt idx="8">
                  <c:v>0</c:v>
                </c:pt>
                <c:pt idx="9">
                  <c:v>1.1038961038960965E-2</c:v>
                </c:pt>
                <c:pt idx="10">
                  <c:v>-5.7803468208091026E-3</c:v>
                </c:pt>
                <c:pt idx="11">
                  <c:v>5.8139534883719455E-3</c:v>
                </c:pt>
                <c:pt idx="12">
                  <c:v>5.1380860629416276E-3</c:v>
                </c:pt>
                <c:pt idx="13">
                  <c:v>2.5559105431310269E-3</c:v>
                </c:pt>
                <c:pt idx="14">
                  <c:v>6.3734862970044612E-3</c:v>
                </c:pt>
                <c:pt idx="15">
                  <c:v>2.9765674477517344E-2</c:v>
                </c:pt>
                <c:pt idx="16">
                  <c:v>2.4600246002460377E-3</c:v>
                </c:pt>
                <c:pt idx="17">
                  <c:v>-1.1656441717791446E-2</c:v>
                </c:pt>
                <c:pt idx="18">
                  <c:v>3.1036623215394167E-3</c:v>
                </c:pt>
                <c:pt idx="19">
                  <c:v>1.8564356435644268E-3</c:v>
                </c:pt>
                <c:pt idx="20">
                  <c:v>2.470660901791264E-3</c:v>
                </c:pt>
                <c:pt idx="21">
                  <c:v>3.6968576709796321E-3</c:v>
                </c:pt>
                <c:pt idx="22">
                  <c:v>6.1387354205030267E-4</c:v>
                </c:pt>
                <c:pt idx="23">
                  <c:v>2.4539877300613845E-3</c:v>
                </c:pt>
                <c:pt idx="24">
                  <c:v>1.2239902080782657E-3</c:v>
                </c:pt>
                <c:pt idx="25">
                  <c:v>3.6674816625916523E-3</c:v>
                </c:pt>
                <c:pt idx="26">
                  <c:v>0</c:v>
                </c:pt>
                <c:pt idx="27">
                  <c:v>1.8270401948843567E-3</c:v>
                </c:pt>
                <c:pt idx="28">
                  <c:v>1.8237082066869992E-3</c:v>
                </c:pt>
              </c:numCache>
            </c:numRef>
          </c:val>
          <c:smooth val="0"/>
          <c:extLst>
            <c:ext xmlns:c16="http://schemas.microsoft.com/office/drawing/2014/chart" uri="{C3380CC4-5D6E-409C-BE32-E72D297353CC}">
              <c16:uniqueId val="{00000002-0B68-6545-B5D7-6FBA52F4B37E}"/>
            </c:ext>
          </c:extLst>
        </c:ser>
        <c:ser>
          <c:idx val="3"/>
          <c:order val="3"/>
          <c:tx>
            <c:strRef>
              <c:f>Sheet4!$E$1</c:f>
              <c:strCache>
                <c:ptCount val="1"/>
                <c:pt idx="0">
                  <c:v>Food MoM %</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Sheet4!$A$2:$A$30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Sheet4!$E$2:$E$30</c:f>
              <c:numCache>
                <c:formatCode>0.0%</c:formatCode>
                <c:ptCount val="29"/>
                <c:pt idx="0">
                  <c:v>7.1968213106497106E-2</c:v>
                </c:pt>
                <c:pt idx="1">
                  <c:v>6.8877406166600527E-2</c:v>
                </c:pt>
                <c:pt idx="2">
                  <c:v>7.7984540509590569E-2</c:v>
                </c:pt>
                <c:pt idx="3">
                  <c:v>5.289032507526182E-2</c:v>
                </c:pt>
                <c:pt idx="4">
                  <c:v>8.091586084250299E-2</c:v>
                </c:pt>
                <c:pt idx="5">
                  <c:v>8.7433804060017509E-2</c:v>
                </c:pt>
                <c:pt idx="6">
                  <c:v>9.3887908208296567E-2</c:v>
                </c:pt>
                <c:pt idx="7">
                  <c:v>7.6052660211076289E-2</c:v>
                </c:pt>
                <c:pt idx="8">
                  <c:v>6.9767441860465115E-2</c:v>
                </c:pt>
                <c:pt idx="9">
                  <c:v>6.390419669351427E-2</c:v>
                </c:pt>
                <c:pt idx="10">
                  <c:v>4.8423015174271007E-2</c:v>
                </c:pt>
                <c:pt idx="11">
                  <c:v>3.5499305448371661E-2</c:v>
                </c:pt>
                <c:pt idx="12">
                  <c:v>4.2965283215870634E-2</c:v>
                </c:pt>
                <c:pt idx="13">
                  <c:v>5.9817254568635916E-2</c:v>
                </c:pt>
                <c:pt idx="14">
                  <c:v>7.069634036224591E-2</c:v>
                </c:pt>
                <c:pt idx="15">
                  <c:v>7.2084360736582656E-2</c:v>
                </c:pt>
                <c:pt idx="16">
                  <c:v>6.2005141388174874E-2</c:v>
                </c:pt>
                <c:pt idx="17">
                  <c:v>5.8692233551463406E-2</c:v>
                </c:pt>
                <c:pt idx="18">
                  <c:v>5.461422087745825E-2</c:v>
                </c:pt>
                <c:pt idx="19">
                  <c:v>5.8088978766430668E-2</c:v>
                </c:pt>
                <c:pt idx="20">
                  <c:v>6.3245702730030232E-2</c:v>
                </c:pt>
                <c:pt idx="21">
                  <c:v>5.4736527542583902E-2</c:v>
                </c:pt>
                <c:pt idx="22">
                  <c:v>4.6482908516103552E-2</c:v>
                </c:pt>
                <c:pt idx="23">
                  <c:v>4.7100909226412316E-2</c:v>
                </c:pt>
                <c:pt idx="24">
                  <c:v>5.9165081589748862E-2</c:v>
                </c:pt>
                <c:pt idx="25">
                  <c:v>5.3684210526315508E-2</c:v>
                </c:pt>
                <c:pt idx="26">
                  <c:v>4.286139497966044E-2</c:v>
                </c:pt>
                <c:pt idx="27">
                  <c:v>3.3374113041350642E-2</c:v>
                </c:pt>
                <c:pt idx="28">
                  <c:v>3.0112316034082126E-2</c:v>
                </c:pt>
              </c:numCache>
            </c:numRef>
          </c:val>
          <c:smooth val="0"/>
          <c:extLst>
            <c:ext xmlns:c16="http://schemas.microsoft.com/office/drawing/2014/chart" uri="{C3380CC4-5D6E-409C-BE32-E72D297353CC}">
              <c16:uniqueId val="{00000003-0B68-6545-B5D7-6FBA52F4B37E}"/>
            </c:ext>
          </c:extLst>
        </c:ser>
        <c:ser>
          <c:idx val="4"/>
          <c:order val="4"/>
          <c:tx>
            <c:strRef>
              <c:f>Sheet4!$F$1</c:f>
              <c:strCache>
                <c:ptCount val="1"/>
                <c:pt idx="0">
                  <c:v>CPI MoM %</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Sheet4!$A$2:$A$30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Sheet4!$F$2:$F$30</c:f>
              <c:numCache>
                <c:formatCode>0.0%</c:formatCode>
                <c:ptCount val="29"/>
                <c:pt idx="0">
                  <c:v>-1.006922592825673E-2</c:v>
                </c:pt>
                <c:pt idx="1">
                  <c:v>-4.4500953591863762E-3</c:v>
                </c:pt>
                <c:pt idx="2">
                  <c:v>1.2771392081737999E-3</c:v>
                </c:pt>
                <c:pt idx="3">
                  <c:v>6.3775510204081625E-3</c:v>
                </c:pt>
                <c:pt idx="4">
                  <c:v>1.6476552598225565E-2</c:v>
                </c:pt>
                <c:pt idx="5">
                  <c:v>5.6109725685785893E-3</c:v>
                </c:pt>
                <c:pt idx="6">
                  <c:v>7.439553626782322E-3</c:v>
                </c:pt>
                <c:pt idx="7">
                  <c:v>4.3076923076922381E-3</c:v>
                </c:pt>
                <c:pt idx="8">
                  <c:v>0</c:v>
                </c:pt>
                <c:pt idx="9">
                  <c:v>1.4093137254902032E-2</c:v>
                </c:pt>
                <c:pt idx="10">
                  <c:v>7.2507552870089949E-3</c:v>
                </c:pt>
                <c:pt idx="11">
                  <c:v>-2.999400119976005E-3</c:v>
                </c:pt>
                <c:pt idx="12">
                  <c:v>-3.0084235860409147E-3</c:v>
                </c:pt>
                <c:pt idx="13">
                  <c:v>2.4140012070006378E-3</c:v>
                </c:pt>
                <c:pt idx="14">
                  <c:v>9.6327513546056245E-3</c:v>
                </c:pt>
                <c:pt idx="15">
                  <c:v>1.4311270125223648E-2</c:v>
                </c:pt>
                <c:pt idx="16">
                  <c:v>9.4062316284538178E-3</c:v>
                </c:pt>
                <c:pt idx="17">
                  <c:v>5.2417006406523343E-3</c:v>
                </c:pt>
                <c:pt idx="18">
                  <c:v>4.634994206257308E-3</c:v>
                </c:pt>
                <c:pt idx="19">
                  <c:v>5.1903114186851538E-3</c:v>
                </c:pt>
                <c:pt idx="20">
                  <c:v>5.737234652897303E-3</c:v>
                </c:pt>
                <c:pt idx="21">
                  <c:v>7.9863091842554308E-3</c:v>
                </c:pt>
                <c:pt idx="22">
                  <c:v>-1.1318619128465684E-3</c:v>
                </c:pt>
                <c:pt idx="23">
                  <c:v>-4.5325779036827843E-3</c:v>
                </c:pt>
                <c:pt idx="24">
                  <c:v>4.5532157085942599E-3</c:v>
                </c:pt>
                <c:pt idx="25">
                  <c:v>3.9660056657223148E-3</c:v>
                </c:pt>
                <c:pt idx="26">
                  <c:v>0</c:v>
                </c:pt>
                <c:pt idx="27">
                  <c:v>5.0790067720090613E-3</c:v>
                </c:pt>
                <c:pt idx="28">
                  <c:v>5.614823133071308E-3</c:v>
                </c:pt>
              </c:numCache>
            </c:numRef>
          </c:val>
          <c:smooth val="0"/>
          <c:extLst>
            <c:ext xmlns:c16="http://schemas.microsoft.com/office/drawing/2014/chart" uri="{C3380CC4-5D6E-409C-BE32-E72D297353CC}">
              <c16:uniqueId val="{00000004-0B68-6545-B5D7-6FBA52F4B37E}"/>
            </c:ext>
          </c:extLst>
        </c:ser>
        <c:dLbls>
          <c:showLegendKey val="0"/>
          <c:showVal val="0"/>
          <c:showCatName val="0"/>
          <c:showSerName val="0"/>
          <c:showPercent val="0"/>
          <c:showBubbleSize val="0"/>
        </c:dLbls>
        <c:marker val="1"/>
        <c:smooth val="0"/>
        <c:axId val="1221995007"/>
        <c:axId val="1221998591"/>
      </c:lineChart>
      <c:dateAx>
        <c:axId val="1221995007"/>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998591"/>
        <c:crosses val="autoZero"/>
        <c:auto val="1"/>
        <c:lblOffset val="100"/>
        <c:baseTimeUnit val="months"/>
      </c:dateAx>
      <c:valAx>
        <c:axId val="12219985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9950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Imported Crude Oil Price – MoM Change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Sheet4!$C$1</c:f>
              <c:strCache>
                <c:ptCount val="1"/>
                <c:pt idx="0">
                  <c:v>Fuel MoM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1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40-5442-9805-BC70AA40D532}"/>
                </c:ext>
              </c:extLst>
            </c:dLbl>
            <c:dLbl>
              <c:idx val="1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40-5442-9805-BC70AA40D53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Sheet4!$A$2:$A$30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Sheet4!$B$1:$B$30</c:f>
              <c:numCache>
                <c:formatCode>0.0%</c:formatCode>
                <c:ptCount val="30"/>
                <c:pt idx="0" formatCode="General">
                  <c:v>0</c:v>
                </c:pt>
                <c:pt idx="1">
                  <c:v>0.15686274509803921</c:v>
                </c:pt>
                <c:pt idx="2">
                  <c:v>6.7796610169491525E-2</c:v>
                </c:pt>
                <c:pt idx="3">
                  <c:v>-1.5873015873015872E-2</c:v>
                </c:pt>
                <c:pt idx="4">
                  <c:v>6.4516129032258063E-2</c:v>
                </c:pt>
                <c:pt idx="5">
                  <c:v>9.0909090909090912E-2</c:v>
                </c:pt>
                <c:pt idx="6">
                  <c:v>2.7777777777777776E-2</c:v>
                </c:pt>
                <c:pt idx="7">
                  <c:v>-6.7567567567567571E-2</c:v>
                </c:pt>
                <c:pt idx="8">
                  <c:v>4.3478260869565216E-2</c:v>
                </c:pt>
                <c:pt idx="9">
                  <c:v>0.1388888888888889</c:v>
                </c:pt>
                <c:pt idx="10">
                  <c:v>-3.6585365853658534E-2</c:v>
                </c:pt>
                <c:pt idx="11">
                  <c:v>-6.3291139240506333E-2</c:v>
                </c:pt>
                <c:pt idx="12">
                  <c:v>0.13513513513513514</c:v>
                </c:pt>
                <c:pt idx="13">
                  <c:v>0.14285714285714285</c:v>
                </c:pt>
                <c:pt idx="14">
                  <c:v>0.22916666666666666</c:v>
                </c:pt>
                <c:pt idx="15">
                  <c:v>-0.11016949152542373</c:v>
                </c:pt>
                <c:pt idx="16">
                  <c:v>7.6190476190476197E-2</c:v>
                </c:pt>
                <c:pt idx="17">
                  <c:v>3.5398230088495575E-2</c:v>
                </c:pt>
                <c:pt idx="18">
                  <c:v>-0.10256410256410256</c:v>
                </c:pt>
                <c:pt idx="19">
                  <c:v>-7.6190476190476197E-2</c:v>
                </c:pt>
                <c:pt idx="20">
                  <c:v>-7.2164948453608241E-2</c:v>
                </c:pt>
                <c:pt idx="21">
                  <c:v>3.3333333333333333E-2</c:v>
                </c:pt>
                <c:pt idx="22">
                  <c:v>-5.3763440860215055E-2</c:v>
                </c:pt>
                <c:pt idx="23">
                  <c:v>-6.8181818181818177E-2</c:v>
                </c:pt>
                <c:pt idx="24">
                  <c:v>3.6585365853658534E-2</c:v>
                </c:pt>
                <c:pt idx="25">
                  <c:v>-2.3529411764705882E-2</c:v>
                </c:pt>
                <c:pt idx="26">
                  <c:v>-4.8192771084337352E-2</c:v>
                </c:pt>
                <c:pt idx="27">
                  <c:v>6.3291139240506333E-2</c:v>
                </c:pt>
                <c:pt idx="28">
                  <c:v>-9.5238095238095233E-2</c:v>
                </c:pt>
              </c:numCache>
            </c:numRef>
          </c:val>
          <c:smooth val="0"/>
          <c:extLst>
            <c:ext xmlns:c16="http://schemas.microsoft.com/office/drawing/2014/chart" uri="{C3380CC4-5D6E-409C-BE32-E72D297353CC}">
              <c16:uniqueId val="{00000002-7C40-5442-9805-BC70AA40D532}"/>
            </c:ext>
          </c:extLst>
        </c:ser>
        <c:dLbls>
          <c:showLegendKey val="0"/>
          <c:showVal val="0"/>
          <c:showCatName val="0"/>
          <c:showSerName val="0"/>
          <c:showPercent val="0"/>
          <c:showBubbleSize val="0"/>
        </c:dLbls>
        <c:marker val="1"/>
        <c:smooth val="0"/>
        <c:axId val="1282627711"/>
        <c:axId val="1259339071"/>
      </c:lineChart>
      <c:dateAx>
        <c:axId val="128262771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339071"/>
        <c:crosses val="autoZero"/>
        <c:auto val="1"/>
        <c:lblOffset val="100"/>
        <c:baseTimeUnit val="months"/>
      </c:dateAx>
      <c:valAx>
        <c:axId val="12593390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62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Relationship Between Oil Price Change and Fuel Inflation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Sheet4!$C$1</c:f>
              <c:strCache>
                <c:ptCount val="1"/>
                <c:pt idx="0">
                  <c:v>Fuel MoM %</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Sheet4!$B$2:$B$30</c:f>
              <c:numCache>
                <c:formatCode>0.0%</c:formatCode>
                <c:ptCount val="29"/>
                <c:pt idx="0">
                  <c:v>0.15686274509803921</c:v>
                </c:pt>
                <c:pt idx="1">
                  <c:v>6.7796610169491525E-2</c:v>
                </c:pt>
                <c:pt idx="2">
                  <c:v>-1.5873015873015872E-2</c:v>
                </c:pt>
                <c:pt idx="3">
                  <c:v>6.4516129032258063E-2</c:v>
                </c:pt>
                <c:pt idx="4">
                  <c:v>9.0909090909090912E-2</c:v>
                </c:pt>
                <c:pt idx="5">
                  <c:v>2.7777777777777776E-2</c:v>
                </c:pt>
                <c:pt idx="6">
                  <c:v>-6.7567567567567571E-2</c:v>
                </c:pt>
                <c:pt idx="7">
                  <c:v>4.3478260869565216E-2</c:v>
                </c:pt>
                <c:pt idx="8">
                  <c:v>0.1388888888888889</c:v>
                </c:pt>
                <c:pt idx="9">
                  <c:v>-3.6585365853658534E-2</c:v>
                </c:pt>
                <c:pt idx="10">
                  <c:v>-6.3291139240506333E-2</c:v>
                </c:pt>
                <c:pt idx="11">
                  <c:v>0.13513513513513514</c:v>
                </c:pt>
                <c:pt idx="12">
                  <c:v>0.14285714285714285</c:v>
                </c:pt>
                <c:pt idx="13">
                  <c:v>0.22916666666666666</c:v>
                </c:pt>
                <c:pt idx="14">
                  <c:v>-0.11016949152542373</c:v>
                </c:pt>
                <c:pt idx="15">
                  <c:v>7.6190476190476197E-2</c:v>
                </c:pt>
                <c:pt idx="16">
                  <c:v>3.5398230088495575E-2</c:v>
                </c:pt>
                <c:pt idx="17">
                  <c:v>-0.10256410256410256</c:v>
                </c:pt>
                <c:pt idx="18">
                  <c:v>-7.6190476190476197E-2</c:v>
                </c:pt>
                <c:pt idx="19">
                  <c:v>-7.2164948453608241E-2</c:v>
                </c:pt>
                <c:pt idx="20">
                  <c:v>3.3333333333333333E-2</c:v>
                </c:pt>
                <c:pt idx="21">
                  <c:v>-5.3763440860215055E-2</c:v>
                </c:pt>
                <c:pt idx="22">
                  <c:v>-6.8181818181818177E-2</c:v>
                </c:pt>
                <c:pt idx="23">
                  <c:v>3.6585365853658534E-2</c:v>
                </c:pt>
                <c:pt idx="24">
                  <c:v>-2.3529411764705882E-2</c:v>
                </c:pt>
                <c:pt idx="25">
                  <c:v>-4.8192771084337352E-2</c:v>
                </c:pt>
                <c:pt idx="26">
                  <c:v>6.3291139240506333E-2</c:v>
                </c:pt>
                <c:pt idx="27">
                  <c:v>-9.5238095238095233E-2</c:v>
                </c:pt>
              </c:numCache>
            </c:numRef>
          </c:xVal>
          <c:yVal>
            <c:numRef>
              <c:f>Sheet4!$C$2:$C$30</c:f>
              <c:numCache>
                <c:formatCode>0.0%</c:formatCode>
                <c:ptCount val="29"/>
                <c:pt idx="0">
                  <c:v>2.2821576763485556E-2</c:v>
                </c:pt>
                <c:pt idx="1">
                  <c:v>3.0425963488843813E-2</c:v>
                </c:pt>
                <c:pt idx="2">
                  <c:v>2.0341207349081326E-2</c:v>
                </c:pt>
                <c:pt idx="3">
                  <c:v>6.4308681672022071E-4</c:v>
                </c:pt>
                <c:pt idx="4">
                  <c:v>2.4421593830334265E-2</c:v>
                </c:pt>
                <c:pt idx="5">
                  <c:v>2.5094102885822186E-3</c:v>
                </c:pt>
                <c:pt idx="6">
                  <c:v>5.6320400500624356E-3</c:v>
                </c:pt>
                <c:pt idx="7">
                  <c:v>1.1823273179838244E-2</c:v>
                </c:pt>
                <c:pt idx="8">
                  <c:v>0</c:v>
                </c:pt>
                <c:pt idx="9">
                  <c:v>9.8400984009839754E-3</c:v>
                </c:pt>
                <c:pt idx="10">
                  <c:v>-1.8270401948841837E-3</c:v>
                </c:pt>
                <c:pt idx="11">
                  <c:v>1.2202562538132314E-3</c:v>
                </c:pt>
                <c:pt idx="12">
                  <c:v>6.0938452163311586E-4</c:v>
                </c:pt>
                <c:pt idx="13">
                  <c:v>9.1352009744214372E-3</c:v>
                </c:pt>
                <c:pt idx="14">
                  <c:v>9.0525045262522634E-3</c:v>
                </c:pt>
                <c:pt idx="15">
                  <c:v>2.9904306220095697E-2</c:v>
                </c:pt>
                <c:pt idx="16">
                  <c:v>1.3937282229965191E-2</c:v>
                </c:pt>
                <c:pt idx="17">
                  <c:v>8.0183276059565042E-3</c:v>
                </c:pt>
                <c:pt idx="18">
                  <c:v>2.0454545454545423E-2</c:v>
                </c:pt>
                <c:pt idx="19">
                  <c:v>-4.4543429844097048E-3</c:v>
                </c:pt>
                <c:pt idx="20">
                  <c:v>3.9149888143176093E-3</c:v>
                </c:pt>
                <c:pt idx="21">
                  <c:v>5.5710306406685237E-3</c:v>
                </c:pt>
                <c:pt idx="22">
                  <c:v>4.4321329639889825E-3</c:v>
                </c:pt>
                <c:pt idx="23">
                  <c:v>3.8610038610037982E-3</c:v>
                </c:pt>
                <c:pt idx="24">
                  <c:v>0</c:v>
                </c:pt>
                <c:pt idx="25">
                  <c:v>5.4945054945051823E-4</c:v>
                </c:pt>
                <c:pt idx="26">
                  <c:v>-1.0982976386600144E-3</c:v>
                </c:pt>
                <c:pt idx="27">
                  <c:v>-1.0995052226499013E-3</c:v>
                </c:pt>
                <c:pt idx="28">
                  <c:v>6.0539350577876877E-3</c:v>
                </c:pt>
              </c:numCache>
            </c:numRef>
          </c:yVal>
          <c:smooth val="0"/>
          <c:extLst>
            <c:ext xmlns:c16="http://schemas.microsoft.com/office/drawing/2014/chart" uri="{C3380CC4-5D6E-409C-BE32-E72D297353CC}">
              <c16:uniqueId val="{00000001-C7C5-7249-BE08-39D1661DE835}"/>
            </c:ext>
          </c:extLst>
        </c:ser>
        <c:dLbls>
          <c:showLegendKey val="0"/>
          <c:showVal val="0"/>
          <c:showCatName val="0"/>
          <c:showSerName val="0"/>
          <c:showPercent val="0"/>
          <c:showBubbleSize val="0"/>
        </c:dLbls>
        <c:axId val="1252889407"/>
        <c:axId val="1252890303"/>
      </c:scatterChart>
      <c:valAx>
        <c:axId val="125288940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890303"/>
        <c:crosses val="autoZero"/>
        <c:crossBetween val="midCat"/>
      </c:valAx>
      <c:valAx>
        <c:axId val="12528903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8894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accent6">
                    <a:lumMod val="50000"/>
                  </a:schemeClr>
                </a:solidFill>
              </a:rPr>
              <a:t>Oil Price Change vs Food Inflation (Weak Relationship)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Sheet4!$B$1</c:f>
              <c:strCache>
                <c:ptCount val="1"/>
                <c:pt idx="0">
                  <c:v>Oil MoM %</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yVal>
            <c:numRef>
              <c:f>Sheet4!$B$2:$B$29</c:f>
              <c:numCache>
                <c:formatCode>0.0%</c:formatCode>
                <c:ptCount val="28"/>
                <c:pt idx="0">
                  <c:v>0.15686274509803921</c:v>
                </c:pt>
                <c:pt idx="1">
                  <c:v>6.7796610169491525E-2</c:v>
                </c:pt>
                <c:pt idx="2">
                  <c:v>-1.5873015873015872E-2</c:v>
                </c:pt>
                <c:pt idx="3">
                  <c:v>6.4516129032258063E-2</c:v>
                </c:pt>
                <c:pt idx="4">
                  <c:v>9.0909090909090912E-2</c:v>
                </c:pt>
                <c:pt idx="5">
                  <c:v>2.7777777777777776E-2</c:v>
                </c:pt>
                <c:pt idx="6">
                  <c:v>-6.7567567567567571E-2</c:v>
                </c:pt>
                <c:pt idx="7">
                  <c:v>4.3478260869565216E-2</c:v>
                </c:pt>
                <c:pt idx="8">
                  <c:v>0.1388888888888889</c:v>
                </c:pt>
                <c:pt idx="9">
                  <c:v>-3.6585365853658534E-2</c:v>
                </c:pt>
                <c:pt idx="10">
                  <c:v>-6.3291139240506333E-2</c:v>
                </c:pt>
                <c:pt idx="11">
                  <c:v>0.13513513513513514</c:v>
                </c:pt>
                <c:pt idx="12">
                  <c:v>0.14285714285714285</c:v>
                </c:pt>
                <c:pt idx="13">
                  <c:v>0.22916666666666666</c:v>
                </c:pt>
                <c:pt idx="14">
                  <c:v>-0.11016949152542373</c:v>
                </c:pt>
                <c:pt idx="15">
                  <c:v>7.6190476190476197E-2</c:v>
                </c:pt>
                <c:pt idx="16">
                  <c:v>3.5398230088495575E-2</c:v>
                </c:pt>
                <c:pt idx="17">
                  <c:v>-0.10256410256410256</c:v>
                </c:pt>
                <c:pt idx="18">
                  <c:v>-7.6190476190476197E-2</c:v>
                </c:pt>
                <c:pt idx="19">
                  <c:v>-7.2164948453608241E-2</c:v>
                </c:pt>
                <c:pt idx="20">
                  <c:v>3.3333333333333333E-2</c:v>
                </c:pt>
                <c:pt idx="21">
                  <c:v>-5.3763440860215055E-2</c:v>
                </c:pt>
                <c:pt idx="22">
                  <c:v>-6.8181818181818177E-2</c:v>
                </c:pt>
                <c:pt idx="23">
                  <c:v>3.6585365853658534E-2</c:v>
                </c:pt>
                <c:pt idx="24">
                  <c:v>-2.3529411764705882E-2</c:v>
                </c:pt>
                <c:pt idx="25">
                  <c:v>-4.8192771084337352E-2</c:v>
                </c:pt>
                <c:pt idx="26">
                  <c:v>6.3291139240506333E-2</c:v>
                </c:pt>
                <c:pt idx="27">
                  <c:v>-9.5238095238095233E-2</c:v>
                </c:pt>
              </c:numCache>
            </c:numRef>
          </c:yVal>
          <c:smooth val="0"/>
          <c:extLst>
            <c:ext xmlns:c16="http://schemas.microsoft.com/office/drawing/2014/chart" uri="{C3380CC4-5D6E-409C-BE32-E72D297353CC}">
              <c16:uniqueId val="{00000001-3BB9-FA45-B626-7FA000AEF68D}"/>
            </c:ext>
          </c:extLst>
        </c:ser>
        <c:ser>
          <c:idx val="1"/>
          <c:order val="1"/>
          <c:tx>
            <c:strRef>
              <c:f>Sheet4!$E$1</c:f>
              <c:strCache>
                <c:ptCount val="1"/>
                <c:pt idx="0">
                  <c:v>Food MoM %</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yVal>
            <c:numRef>
              <c:f>Sheet4!$E$2:$E$30</c:f>
              <c:numCache>
                <c:formatCode>0.0%</c:formatCode>
                <c:ptCount val="29"/>
                <c:pt idx="0">
                  <c:v>7.1968213106497106E-2</c:v>
                </c:pt>
                <c:pt idx="1">
                  <c:v>6.8877406166600527E-2</c:v>
                </c:pt>
                <c:pt idx="2">
                  <c:v>7.7984540509590569E-2</c:v>
                </c:pt>
                <c:pt idx="3">
                  <c:v>5.289032507526182E-2</c:v>
                </c:pt>
                <c:pt idx="4">
                  <c:v>8.091586084250299E-2</c:v>
                </c:pt>
                <c:pt idx="5">
                  <c:v>8.7433804060017509E-2</c:v>
                </c:pt>
                <c:pt idx="6">
                  <c:v>9.3887908208296567E-2</c:v>
                </c:pt>
                <c:pt idx="7">
                  <c:v>7.6052660211076289E-2</c:v>
                </c:pt>
                <c:pt idx="8">
                  <c:v>6.9767441860465115E-2</c:v>
                </c:pt>
                <c:pt idx="9">
                  <c:v>6.390419669351427E-2</c:v>
                </c:pt>
                <c:pt idx="10">
                  <c:v>4.8423015174271007E-2</c:v>
                </c:pt>
                <c:pt idx="11">
                  <c:v>3.5499305448371661E-2</c:v>
                </c:pt>
                <c:pt idx="12">
                  <c:v>4.2965283215870634E-2</c:v>
                </c:pt>
                <c:pt idx="13">
                  <c:v>5.9817254568635916E-2</c:v>
                </c:pt>
                <c:pt idx="14">
                  <c:v>7.069634036224591E-2</c:v>
                </c:pt>
                <c:pt idx="15">
                  <c:v>7.2084360736582656E-2</c:v>
                </c:pt>
                <c:pt idx="16">
                  <c:v>6.2005141388174874E-2</c:v>
                </c:pt>
                <c:pt idx="17">
                  <c:v>5.8692233551463406E-2</c:v>
                </c:pt>
                <c:pt idx="18">
                  <c:v>5.461422087745825E-2</c:v>
                </c:pt>
                <c:pt idx="19">
                  <c:v>5.8088978766430668E-2</c:v>
                </c:pt>
                <c:pt idx="20">
                  <c:v>6.3245702730030232E-2</c:v>
                </c:pt>
                <c:pt idx="21">
                  <c:v>5.4736527542583902E-2</c:v>
                </c:pt>
                <c:pt idx="22">
                  <c:v>4.6482908516103552E-2</c:v>
                </c:pt>
                <c:pt idx="23">
                  <c:v>4.7100909226412316E-2</c:v>
                </c:pt>
                <c:pt idx="24">
                  <c:v>5.9165081589748862E-2</c:v>
                </c:pt>
                <c:pt idx="25">
                  <c:v>5.3684210526315508E-2</c:v>
                </c:pt>
                <c:pt idx="26">
                  <c:v>4.286139497966044E-2</c:v>
                </c:pt>
                <c:pt idx="27">
                  <c:v>3.3374113041350642E-2</c:v>
                </c:pt>
                <c:pt idx="28">
                  <c:v>3.0112316034082126E-2</c:v>
                </c:pt>
              </c:numCache>
            </c:numRef>
          </c:yVal>
          <c:smooth val="0"/>
          <c:extLst>
            <c:ext xmlns:c16="http://schemas.microsoft.com/office/drawing/2014/chart" uri="{C3380CC4-5D6E-409C-BE32-E72D297353CC}">
              <c16:uniqueId val="{00000003-3BB9-FA45-B626-7FA000AEF68D}"/>
            </c:ext>
          </c:extLst>
        </c:ser>
        <c:dLbls>
          <c:showLegendKey val="0"/>
          <c:showVal val="0"/>
          <c:showCatName val="0"/>
          <c:showSerName val="0"/>
          <c:showPercent val="0"/>
          <c:showBubbleSize val="0"/>
        </c:dLbls>
        <c:axId val="1237899391"/>
        <c:axId val="1237901183"/>
      </c:scatterChart>
      <c:valAx>
        <c:axId val="123789939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901183"/>
        <c:crosses val="autoZero"/>
        <c:crossBetween val="midCat"/>
      </c:valAx>
      <c:valAx>
        <c:axId val="12379011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8993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accent6">
                    <a:lumMod val="50000"/>
                  </a:schemeClr>
                </a:solidFill>
              </a:rPr>
              <a:t>Oil Price Change vs Transport Inflation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Sheet4!$B$1</c:f>
              <c:strCache>
                <c:ptCount val="1"/>
                <c:pt idx="0">
                  <c:v>Oil MoM %</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yVal>
            <c:numRef>
              <c:f>Sheet4!$B$2:$B$29</c:f>
              <c:numCache>
                <c:formatCode>0.0%</c:formatCode>
                <c:ptCount val="28"/>
                <c:pt idx="0">
                  <c:v>0.15686274509803921</c:v>
                </c:pt>
                <c:pt idx="1">
                  <c:v>6.7796610169491525E-2</c:v>
                </c:pt>
                <c:pt idx="2">
                  <c:v>-1.5873015873015872E-2</c:v>
                </c:pt>
                <c:pt idx="3">
                  <c:v>6.4516129032258063E-2</c:v>
                </c:pt>
                <c:pt idx="4">
                  <c:v>9.0909090909090912E-2</c:v>
                </c:pt>
                <c:pt idx="5">
                  <c:v>2.7777777777777776E-2</c:v>
                </c:pt>
                <c:pt idx="6">
                  <c:v>-6.7567567567567571E-2</c:v>
                </c:pt>
                <c:pt idx="7">
                  <c:v>4.3478260869565216E-2</c:v>
                </c:pt>
                <c:pt idx="8">
                  <c:v>0.1388888888888889</c:v>
                </c:pt>
                <c:pt idx="9">
                  <c:v>-3.6585365853658534E-2</c:v>
                </c:pt>
                <c:pt idx="10">
                  <c:v>-6.3291139240506333E-2</c:v>
                </c:pt>
                <c:pt idx="11">
                  <c:v>0.13513513513513514</c:v>
                </c:pt>
                <c:pt idx="12">
                  <c:v>0.14285714285714285</c:v>
                </c:pt>
                <c:pt idx="13">
                  <c:v>0.22916666666666666</c:v>
                </c:pt>
                <c:pt idx="14">
                  <c:v>-0.11016949152542373</c:v>
                </c:pt>
                <c:pt idx="15">
                  <c:v>7.6190476190476197E-2</c:v>
                </c:pt>
                <c:pt idx="16">
                  <c:v>3.5398230088495575E-2</c:v>
                </c:pt>
                <c:pt idx="17">
                  <c:v>-0.10256410256410256</c:v>
                </c:pt>
                <c:pt idx="18">
                  <c:v>-7.6190476190476197E-2</c:v>
                </c:pt>
                <c:pt idx="19">
                  <c:v>-7.2164948453608241E-2</c:v>
                </c:pt>
                <c:pt idx="20">
                  <c:v>3.3333333333333333E-2</c:v>
                </c:pt>
                <c:pt idx="21">
                  <c:v>-5.3763440860215055E-2</c:v>
                </c:pt>
                <c:pt idx="22">
                  <c:v>-6.8181818181818177E-2</c:v>
                </c:pt>
                <c:pt idx="23">
                  <c:v>3.6585365853658534E-2</c:v>
                </c:pt>
                <c:pt idx="24">
                  <c:v>-2.3529411764705882E-2</c:v>
                </c:pt>
                <c:pt idx="25">
                  <c:v>-4.8192771084337352E-2</c:v>
                </c:pt>
                <c:pt idx="26">
                  <c:v>6.3291139240506333E-2</c:v>
                </c:pt>
                <c:pt idx="27">
                  <c:v>-9.5238095238095233E-2</c:v>
                </c:pt>
              </c:numCache>
            </c:numRef>
          </c:yVal>
          <c:smooth val="0"/>
          <c:extLst>
            <c:ext xmlns:c16="http://schemas.microsoft.com/office/drawing/2014/chart" uri="{C3380CC4-5D6E-409C-BE32-E72D297353CC}">
              <c16:uniqueId val="{00000001-C5C2-494D-804E-160F6F0E1F08}"/>
            </c:ext>
          </c:extLst>
        </c:ser>
        <c:ser>
          <c:idx val="1"/>
          <c:order val="1"/>
          <c:tx>
            <c:strRef>
              <c:f>Sheet4!$D$1</c:f>
              <c:strCache>
                <c:ptCount val="1"/>
                <c:pt idx="0">
                  <c:v>Transport MoM %</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yVal>
            <c:numRef>
              <c:f>Sheet4!$D$2:$D$30</c:f>
              <c:numCache>
                <c:formatCode>0.0%</c:formatCode>
                <c:ptCount val="29"/>
                <c:pt idx="0">
                  <c:v>8.5287846481877545E-3</c:v>
                </c:pt>
                <c:pt idx="1">
                  <c:v>2.2551092318534097E-2</c:v>
                </c:pt>
                <c:pt idx="2">
                  <c:v>7.5809786354238068E-3</c:v>
                </c:pt>
                <c:pt idx="3">
                  <c:v>2.7359781121751416E-3</c:v>
                </c:pt>
                <c:pt idx="4">
                  <c:v>1.568894952251031E-2</c:v>
                </c:pt>
                <c:pt idx="5">
                  <c:v>1.2088650100738636E-2</c:v>
                </c:pt>
                <c:pt idx="6">
                  <c:v>1.5925680159256841E-2</c:v>
                </c:pt>
                <c:pt idx="7">
                  <c:v>5.8785107772697954E-3</c:v>
                </c:pt>
                <c:pt idx="8">
                  <c:v>0</c:v>
                </c:pt>
                <c:pt idx="9">
                  <c:v>1.1038961038960965E-2</c:v>
                </c:pt>
                <c:pt idx="10">
                  <c:v>-5.7803468208091026E-3</c:v>
                </c:pt>
                <c:pt idx="11">
                  <c:v>5.8139534883719455E-3</c:v>
                </c:pt>
                <c:pt idx="12">
                  <c:v>5.1380860629416276E-3</c:v>
                </c:pt>
                <c:pt idx="13">
                  <c:v>2.5559105431310269E-3</c:v>
                </c:pt>
                <c:pt idx="14">
                  <c:v>6.3734862970044612E-3</c:v>
                </c:pt>
                <c:pt idx="15">
                  <c:v>2.9765674477517344E-2</c:v>
                </c:pt>
                <c:pt idx="16">
                  <c:v>2.4600246002460377E-3</c:v>
                </c:pt>
                <c:pt idx="17">
                  <c:v>-1.1656441717791446E-2</c:v>
                </c:pt>
                <c:pt idx="18">
                  <c:v>3.1036623215394167E-3</c:v>
                </c:pt>
                <c:pt idx="19">
                  <c:v>1.8564356435644268E-3</c:v>
                </c:pt>
                <c:pt idx="20">
                  <c:v>2.470660901791264E-3</c:v>
                </c:pt>
                <c:pt idx="21">
                  <c:v>3.6968576709796321E-3</c:v>
                </c:pt>
                <c:pt idx="22">
                  <c:v>6.1387354205030267E-4</c:v>
                </c:pt>
                <c:pt idx="23">
                  <c:v>2.4539877300613845E-3</c:v>
                </c:pt>
                <c:pt idx="24">
                  <c:v>1.2239902080782657E-3</c:v>
                </c:pt>
                <c:pt idx="25">
                  <c:v>3.6674816625916523E-3</c:v>
                </c:pt>
                <c:pt idx="26">
                  <c:v>0</c:v>
                </c:pt>
                <c:pt idx="27">
                  <c:v>1.8270401948843567E-3</c:v>
                </c:pt>
                <c:pt idx="28">
                  <c:v>1.8237082066869992E-3</c:v>
                </c:pt>
              </c:numCache>
            </c:numRef>
          </c:yVal>
          <c:smooth val="0"/>
          <c:extLst>
            <c:ext xmlns:c16="http://schemas.microsoft.com/office/drawing/2014/chart" uri="{C3380CC4-5D6E-409C-BE32-E72D297353CC}">
              <c16:uniqueId val="{00000003-C5C2-494D-804E-160F6F0E1F08}"/>
            </c:ext>
          </c:extLst>
        </c:ser>
        <c:dLbls>
          <c:showLegendKey val="0"/>
          <c:showVal val="0"/>
          <c:showCatName val="0"/>
          <c:showSerName val="0"/>
          <c:showPercent val="0"/>
          <c:showBubbleSize val="0"/>
        </c:dLbls>
        <c:axId val="1237726335"/>
        <c:axId val="1251317887"/>
      </c:scatterChart>
      <c:valAx>
        <c:axId val="1237726335"/>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317887"/>
        <c:crosses val="autoZero"/>
        <c:crossBetween val="midCat"/>
      </c:valAx>
      <c:valAx>
        <c:axId val="12513178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72633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Oil Price Volatility vs Inflation Components (MoM)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Sheet4!$B$1</c:f>
              <c:strCache>
                <c:ptCount val="1"/>
                <c:pt idx="0">
                  <c:v>Oil MoM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Sheet4!$A$2:$A$30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Sheet4!$B$2:$B$30</c:f>
              <c:numCache>
                <c:formatCode>0.0%</c:formatCode>
                <c:ptCount val="29"/>
                <c:pt idx="0">
                  <c:v>0.15686274509803921</c:v>
                </c:pt>
                <c:pt idx="1">
                  <c:v>6.7796610169491525E-2</c:v>
                </c:pt>
                <c:pt idx="2">
                  <c:v>-1.5873015873015872E-2</c:v>
                </c:pt>
                <c:pt idx="3">
                  <c:v>6.4516129032258063E-2</c:v>
                </c:pt>
                <c:pt idx="4">
                  <c:v>9.0909090909090912E-2</c:v>
                </c:pt>
                <c:pt idx="5">
                  <c:v>2.7777777777777776E-2</c:v>
                </c:pt>
                <c:pt idx="6">
                  <c:v>-6.7567567567567571E-2</c:v>
                </c:pt>
                <c:pt idx="7">
                  <c:v>4.3478260869565216E-2</c:v>
                </c:pt>
                <c:pt idx="8">
                  <c:v>0.1388888888888889</c:v>
                </c:pt>
                <c:pt idx="9">
                  <c:v>-3.6585365853658534E-2</c:v>
                </c:pt>
                <c:pt idx="10">
                  <c:v>-6.3291139240506333E-2</c:v>
                </c:pt>
                <c:pt idx="11">
                  <c:v>0.13513513513513514</c:v>
                </c:pt>
                <c:pt idx="12">
                  <c:v>0.14285714285714285</c:v>
                </c:pt>
                <c:pt idx="13">
                  <c:v>0.22916666666666666</c:v>
                </c:pt>
                <c:pt idx="14">
                  <c:v>-0.11016949152542373</c:v>
                </c:pt>
                <c:pt idx="15">
                  <c:v>7.6190476190476197E-2</c:v>
                </c:pt>
                <c:pt idx="16">
                  <c:v>3.5398230088495575E-2</c:v>
                </c:pt>
                <c:pt idx="17">
                  <c:v>-0.10256410256410256</c:v>
                </c:pt>
                <c:pt idx="18">
                  <c:v>-7.6190476190476197E-2</c:v>
                </c:pt>
                <c:pt idx="19">
                  <c:v>-7.2164948453608241E-2</c:v>
                </c:pt>
                <c:pt idx="20">
                  <c:v>3.3333333333333333E-2</c:v>
                </c:pt>
                <c:pt idx="21">
                  <c:v>-5.3763440860215055E-2</c:v>
                </c:pt>
                <c:pt idx="22">
                  <c:v>-6.8181818181818177E-2</c:v>
                </c:pt>
                <c:pt idx="23">
                  <c:v>3.6585365853658534E-2</c:v>
                </c:pt>
                <c:pt idx="24">
                  <c:v>-2.3529411764705882E-2</c:v>
                </c:pt>
                <c:pt idx="25">
                  <c:v>-4.8192771084337352E-2</c:v>
                </c:pt>
                <c:pt idx="26">
                  <c:v>6.3291139240506333E-2</c:v>
                </c:pt>
                <c:pt idx="27">
                  <c:v>-9.5238095238095233E-2</c:v>
                </c:pt>
              </c:numCache>
            </c:numRef>
          </c:val>
          <c:smooth val="0"/>
          <c:extLst>
            <c:ext xmlns:c16="http://schemas.microsoft.com/office/drawing/2014/chart" uri="{C3380CC4-5D6E-409C-BE32-E72D297353CC}">
              <c16:uniqueId val="{00000000-4A63-684E-9527-74B77097DFB6}"/>
            </c:ext>
          </c:extLst>
        </c:ser>
        <c:ser>
          <c:idx val="1"/>
          <c:order val="1"/>
          <c:tx>
            <c:strRef>
              <c:f>Sheet4!$C$1</c:f>
              <c:strCache>
                <c:ptCount val="1"/>
                <c:pt idx="0">
                  <c:v>Fuel MoM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Sheet4!$A$2:$A$30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Sheet4!$C$2:$C$30</c:f>
              <c:numCache>
                <c:formatCode>0.0%</c:formatCode>
                <c:ptCount val="29"/>
                <c:pt idx="0">
                  <c:v>2.2821576763485556E-2</c:v>
                </c:pt>
                <c:pt idx="1">
                  <c:v>3.0425963488843813E-2</c:v>
                </c:pt>
                <c:pt idx="2">
                  <c:v>2.0341207349081326E-2</c:v>
                </c:pt>
                <c:pt idx="3">
                  <c:v>6.4308681672022071E-4</c:v>
                </c:pt>
                <c:pt idx="4">
                  <c:v>2.4421593830334265E-2</c:v>
                </c:pt>
                <c:pt idx="5">
                  <c:v>2.5094102885822186E-3</c:v>
                </c:pt>
                <c:pt idx="6">
                  <c:v>5.6320400500624356E-3</c:v>
                </c:pt>
                <c:pt idx="7">
                  <c:v>1.1823273179838244E-2</c:v>
                </c:pt>
                <c:pt idx="8">
                  <c:v>0</c:v>
                </c:pt>
                <c:pt idx="9">
                  <c:v>9.8400984009839754E-3</c:v>
                </c:pt>
                <c:pt idx="10">
                  <c:v>-1.8270401948841837E-3</c:v>
                </c:pt>
                <c:pt idx="11">
                  <c:v>1.2202562538132314E-3</c:v>
                </c:pt>
                <c:pt idx="12">
                  <c:v>6.0938452163311586E-4</c:v>
                </c:pt>
                <c:pt idx="13">
                  <c:v>9.1352009744214372E-3</c:v>
                </c:pt>
                <c:pt idx="14">
                  <c:v>9.0525045262522634E-3</c:v>
                </c:pt>
                <c:pt idx="15">
                  <c:v>2.9904306220095697E-2</c:v>
                </c:pt>
                <c:pt idx="16">
                  <c:v>1.3937282229965191E-2</c:v>
                </c:pt>
                <c:pt idx="17">
                  <c:v>8.0183276059565042E-3</c:v>
                </c:pt>
                <c:pt idx="18">
                  <c:v>2.0454545454545423E-2</c:v>
                </c:pt>
                <c:pt idx="19">
                  <c:v>-4.4543429844097048E-3</c:v>
                </c:pt>
                <c:pt idx="20">
                  <c:v>3.9149888143176093E-3</c:v>
                </c:pt>
                <c:pt idx="21">
                  <c:v>5.5710306406685237E-3</c:v>
                </c:pt>
                <c:pt idx="22">
                  <c:v>4.4321329639889825E-3</c:v>
                </c:pt>
                <c:pt idx="23">
                  <c:v>3.8610038610037982E-3</c:v>
                </c:pt>
                <c:pt idx="24">
                  <c:v>0</c:v>
                </c:pt>
                <c:pt idx="25">
                  <c:v>5.4945054945051823E-4</c:v>
                </c:pt>
                <c:pt idx="26">
                  <c:v>-1.0982976386600144E-3</c:v>
                </c:pt>
                <c:pt idx="27">
                  <c:v>-1.0995052226499013E-3</c:v>
                </c:pt>
                <c:pt idx="28">
                  <c:v>6.0539350577876877E-3</c:v>
                </c:pt>
              </c:numCache>
            </c:numRef>
          </c:val>
          <c:smooth val="0"/>
          <c:extLst>
            <c:ext xmlns:c16="http://schemas.microsoft.com/office/drawing/2014/chart" uri="{C3380CC4-5D6E-409C-BE32-E72D297353CC}">
              <c16:uniqueId val="{00000001-4A63-684E-9527-74B77097DFB6}"/>
            </c:ext>
          </c:extLst>
        </c:ser>
        <c:ser>
          <c:idx val="2"/>
          <c:order val="2"/>
          <c:tx>
            <c:strRef>
              <c:f>Sheet4!$D$1</c:f>
              <c:strCache>
                <c:ptCount val="1"/>
                <c:pt idx="0">
                  <c:v>Transport MoM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Sheet4!$A$2:$A$30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Sheet4!$D$2:$D$30</c:f>
              <c:numCache>
                <c:formatCode>0.0%</c:formatCode>
                <c:ptCount val="29"/>
                <c:pt idx="0">
                  <c:v>8.5287846481877545E-3</c:v>
                </c:pt>
                <c:pt idx="1">
                  <c:v>2.2551092318534097E-2</c:v>
                </c:pt>
                <c:pt idx="2">
                  <c:v>7.5809786354238068E-3</c:v>
                </c:pt>
                <c:pt idx="3">
                  <c:v>2.7359781121751416E-3</c:v>
                </c:pt>
                <c:pt idx="4">
                  <c:v>1.568894952251031E-2</c:v>
                </c:pt>
                <c:pt idx="5">
                  <c:v>1.2088650100738636E-2</c:v>
                </c:pt>
                <c:pt idx="6">
                  <c:v>1.5925680159256841E-2</c:v>
                </c:pt>
                <c:pt idx="7">
                  <c:v>5.8785107772697954E-3</c:v>
                </c:pt>
                <c:pt idx="8">
                  <c:v>0</c:v>
                </c:pt>
                <c:pt idx="9">
                  <c:v>1.1038961038960965E-2</c:v>
                </c:pt>
                <c:pt idx="10">
                  <c:v>-5.7803468208091026E-3</c:v>
                </c:pt>
                <c:pt idx="11">
                  <c:v>5.8139534883719455E-3</c:v>
                </c:pt>
                <c:pt idx="12">
                  <c:v>5.1380860629416276E-3</c:v>
                </c:pt>
                <c:pt idx="13">
                  <c:v>2.5559105431310269E-3</c:v>
                </c:pt>
                <c:pt idx="14">
                  <c:v>6.3734862970044612E-3</c:v>
                </c:pt>
                <c:pt idx="15">
                  <c:v>2.9765674477517344E-2</c:v>
                </c:pt>
                <c:pt idx="16">
                  <c:v>2.4600246002460377E-3</c:v>
                </c:pt>
                <c:pt idx="17">
                  <c:v>-1.1656441717791446E-2</c:v>
                </c:pt>
                <c:pt idx="18">
                  <c:v>3.1036623215394167E-3</c:v>
                </c:pt>
                <c:pt idx="19">
                  <c:v>1.8564356435644268E-3</c:v>
                </c:pt>
                <c:pt idx="20">
                  <c:v>2.470660901791264E-3</c:v>
                </c:pt>
                <c:pt idx="21">
                  <c:v>3.6968576709796321E-3</c:v>
                </c:pt>
                <c:pt idx="22">
                  <c:v>6.1387354205030267E-4</c:v>
                </c:pt>
                <c:pt idx="23">
                  <c:v>2.4539877300613845E-3</c:v>
                </c:pt>
                <c:pt idx="24">
                  <c:v>1.2239902080782657E-3</c:v>
                </c:pt>
                <c:pt idx="25">
                  <c:v>3.6674816625916523E-3</c:v>
                </c:pt>
                <c:pt idx="26">
                  <c:v>0</c:v>
                </c:pt>
                <c:pt idx="27">
                  <c:v>1.8270401948843567E-3</c:v>
                </c:pt>
                <c:pt idx="28">
                  <c:v>1.8237082066869992E-3</c:v>
                </c:pt>
              </c:numCache>
            </c:numRef>
          </c:val>
          <c:smooth val="0"/>
          <c:extLst>
            <c:ext xmlns:c16="http://schemas.microsoft.com/office/drawing/2014/chart" uri="{C3380CC4-5D6E-409C-BE32-E72D297353CC}">
              <c16:uniqueId val="{00000002-4A63-684E-9527-74B77097DFB6}"/>
            </c:ext>
          </c:extLst>
        </c:ser>
        <c:ser>
          <c:idx val="3"/>
          <c:order val="3"/>
          <c:tx>
            <c:strRef>
              <c:f>Sheet4!$E$1</c:f>
              <c:strCache>
                <c:ptCount val="1"/>
                <c:pt idx="0">
                  <c:v>Food MoM %</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Sheet4!$A$2:$A$30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Sheet4!$E$2:$E$30</c:f>
              <c:numCache>
                <c:formatCode>0.0%</c:formatCode>
                <c:ptCount val="29"/>
                <c:pt idx="0">
                  <c:v>7.1968213106497106E-2</c:v>
                </c:pt>
                <c:pt idx="1">
                  <c:v>6.8877406166600527E-2</c:v>
                </c:pt>
                <c:pt idx="2">
                  <c:v>7.7984540509590569E-2</c:v>
                </c:pt>
                <c:pt idx="3">
                  <c:v>5.289032507526182E-2</c:v>
                </c:pt>
                <c:pt idx="4">
                  <c:v>8.091586084250299E-2</c:v>
                </c:pt>
                <c:pt idx="5">
                  <c:v>8.7433804060017509E-2</c:v>
                </c:pt>
                <c:pt idx="6">
                  <c:v>9.3887908208296567E-2</c:v>
                </c:pt>
                <c:pt idx="7">
                  <c:v>7.6052660211076289E-2</c:v>
                </c:pt>
                <c:pt idx="8">
                  <c:v>6.9767441860465115E-2</c:v>
                </c:pt>
                <c:pt idx="9">
                  <c:v>6.390419669351427E-2</c:v>
                </c:pt>
                <c:pt idx="10">
                  <c:v>4.8423015174271007E-2</c:v>
                </c:pt>
                <c:pt idx="11">
                  <c:v>3.5499305448371661E-2</c:v>
                </c:pt>
                <c:pt idx="12">
                  <c:v>4.2965283215870634E-2</c:v>
                </c:pt>
                <c:pt idx="13">
                  <c:v>5.9817254568635916E-2</c:v>
                </c:pt>
                <c:pt idx="14">
                  <c:v>7.069634036224591E-2</c:v>
                </c:pt>
                <c:pt idx="15">
                  <c:v>7.2084360736582656E-2</c:v>
                </c:pt>
                <c:pt idx="16">
                  <c:v>6.2005141388174874E-2</c:v>
                </c:pt>
                <c:pt idx="17">
                  <c:v>5.8692233551463406E-2</c:v>
                </c:pt>
                <c:pt idx="18">
                  <c:v>5.461422087745825E-2</c:v>
                </c:pt>
                <c:pt idx="19">
                  <c:v>5.8088978766430668E-2</c:v>
                </c:pt>
                <c:pt idx="20">
                  <c:v>6.3245702730030232E-2</c:v>
                </c:pt>
                <c:pt idx="21">
                  <c:v>5.4736527542583902E-2</c:v>
                </c:pt>
                <c:pt idx="22">
                  <c:v>4.6482908516103552E-2</c:v>
                </c:pt>
                <c:pt idx="23">
                  <c:v>4.7100909226412316E-2</c:v>
                </c:pt>
                <c:pt idx="24">
                  <c:v>5.9165081589748862E-2</c:v>
                </c:pt>
                <c:pt idx="25">
                  <c:v>5.3684210526315508E-2</c:v>
                </c:pt>
                <c:pt idx="26">
                  <c:v>4.286139497966044E-2</c:v>
                </c:pt>
                <c:pt idx="27">
                  <c:v>3.3374113041350642E-2</c:v>
                </c:pt>
                <c:pt idx="28">
                  <c:v>3.0112316034082126E-2</c:v>
                </c:pt>
              </c:numCache>
            </c:numRef>
          </c:val>
          <c:smooth val="0"/>
          <c:extLst>
            <c:ext xmlns:c16="http://schemas.microsoft.com/office/drawing/2014/chart" uri="{C3380CC4-5D6E-409C-BE32-E72D297353CC}">
              <c16:uniqueId val="{00000003-4A63-684E-9527-74B77097DFB6}"/>
            </c:ext>
          </c:extLst>
        </c:ser>
        <c:ser>
          <c:idx val="4"/>
          <c:order val="4"/>
          <c:tx>
            <c:strRef>
              <c:f>Sheet4!$F$1</c:f>
              <c:strCache>
                <c:ptCount val="1"/>
                <c:pt idx="0">
                  <c:v>CPI MoM %</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Sheet4!$A$2:$A$30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Sheet4!$F$2:$F$30</c:f>
              <c:numCache>
                <c:formatCode>0.0%</c:formatCode>
                <c:ptCount val="29"/>
                <c:pt idx="0">
                  <c:v>-1.006922592825673E-2</c:v>
                </c:pt>
                <c:pt idx="1">
                  <c:v>-4.4500953591863762E-3</c:v>
                </c:pt>
                <c:pt idx="2">
                  <c:v>1.2771392081737999E-3</c:v>
                </c:pt>
                <c:pt idx="3">
                  <c:v>6.3775510204081625E-3</c:v>
                </c:pt>
                <c:pt idx="4">
                  <c:v>1.6476552598225565E-2</c:v>
                </c:pt>
                <c:pt idx="5">
                  <c:v>5.6109725685785893E-3</c:v>
                </c:pt>
                <c:pt idx="6">
                  <c:v>7.439553626782322E-3</c:v>
                </c:pt>
                <c:pt idx="7">
                  <c:v>4.3076923076922381E-3</c:v>
                </c:pt>
                <c:pt idx="8">
                  <c:v>0</c:v>
                </c:pt>
                <c:pt idx="9">
                  <c:v>1.4093137254902032E-2</c:v>
                </c:pt>
                <c:pt idx="10">
                  <c:v>7.2507552870089949E-3</c:v>
                </c:pt>
                <c:pt idx="11">
                  <c:v>-2.999400119976005E-3</c:v>
                </c:pt>
                <c:pt idx="12">
                  <c:v>-3.0084235860409147E-3</c:v>
                </c:pt>
                <c:pt idx="13">
                  <c:v>2.4140012070006378E-3</c:v>
                </c:pt>
                <c:pt idx="14">
                  <c:v>9.6327513546056245E-3</c:v>
                </c:pt>
                <c:pt idx="15">
                  <c:v>1.4311270125223648E-2</c:v>
                </c:pt>
                <c:pt idx="16">
                  <c:v>9.4062316284538178E-3</c:v>
                </c:pt>
                <c:pt idx="17">
                  <c:v>5.2417006406523343E-3</c:v>
                </c:pt>
                <c:pt idx="18">
                  <c:v>4.634994206257308E-3</c:v>
                </c:pt>
                <c:pt idx="19">
                  <c:v>5.1903114186851538E-3</c:v>
                </c:pt>
                <c:pt idx="20">
                  <c:v>5.737234652897303E-3</c:v>
                </c:pt>
                <c:pt idx="21">
                  <c:v>7.9863091842554308E-3</c:v>
                </c:pt>
                <c:pt idx="22">
                  <c:v>-1.1318619128465684E-3</c:v>
                </c:pt>
                <c:pt idx="23">
                  <c:v>-4.5325779036827843E-3</c:v>
                </c:pt>
                <c:pt idx="24">
                  <c:v>4.5532157085942599E-3</c:v>
                </c:pt>
                <c:pt idx="25">
                  <c:v>3.9660056657223148E-3</c:v>
                </c:pt>
                <c:pt idx="26">
                  <c:v>0</c:v>
                </c:pt>
                <c:pt idx="27">
                  <c:v>5.0790067720090613E-3</c:v>
                </c:pt>
                <c:pt idx="28">
                  <c:v>5.614823133071308E-3</c:v>
                </c:pt>
              </c:numCache>
            </c:numRef>
          </c:val>
          <c:smooth val="0"/>
          <c:extLst>
            <c:ext xmlns:c16="http://schemas.microsoft.com/office/drawing/2014/chart" uri="{C3380CC4-5D6E-409C-BE32-E72D297353CC}">
              <c16:uniqueId val="{00000004-4A63-684E-9527-74B77097DFB6}"/>
            </c:ext>
          </c:extLst>
        </c:ser>
        <c:dLbls>
          <c:showLegendKey val="0"/>
          <c:showVal val="0"/>
          <c:showCatName val="0"/>
          <c:showSerName val="0"/>
          <c:showPercent val="0"/>
          <c:showBubbleSize val="0"/>
        </c:dLbls>
        <c:marker val="1"/>
        <c:smooth val="0"/>
        <c:axId val="1221995007"/>
        <c:axId val="1221998591"/>
      </c:lineChart>
      <c:dateAx>
        <c:axId val="1221995007"/>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998591"/>
        <c:crosses val="autoZero"/>
        <c:auto val="1"/>
        <c:lblOffset val="100"/>
        <c:baseTimeUnit val="months"/>
      </c:dateAx>
      <c:valAx>
        <c:axId val="12219985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9950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_rels/drawing9.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5" Type="http://schemas.openxmlformats.org/officeDocument/2006/relationships/chart" Target="../charts/chart31.xml"/><Relationship Id="rId4" Type="http://schemas.openxmlformats.org/officeDocument/2006/relationships/chart" Target="../charts/chart30.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 Id="rId5" Type="http://schemas.openxmlformats.org/officeDocument/2006/relationships/chart" Target="../charts/chart36.xml"/><Relationship Id="rId4"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twoCellAnchor>
    <xdr:from>
      <xdr:col>0</xdr:col>
      <xdr:colOff>190500</xdr:colOff>
      <xdr:row>5</xdr:row>
      <xdr:rowOff>38100</xdr:rowOff>
    </xdr:from>
    <xdr:to>
      <xdr:col>12</xdr:col>
      <xdr:colOff>4872</xdr:colOff>
      <xdr:row>27</xdr:row>
      <xdr:rowOff>139700</xdr:rowOff>
    </xdr:to>
    <xdr:graphicFrame macro="">
      <xdr:nvGraphicFramePr>
        <xdr:cNvPr id="2" name="Chart 1">
          <a:extLst>
            <a:ext uri="{FF2B5EF4-FFF2-40B4-BE49-F238E27FC236}">
              <a16:creationId xmlns:a16="http://schemas.microsoft.com/office/drawing/2014/main" id="{3F719A2A-5851-CF4A-B932-2B0C93536D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5</xdr:row>
      <xdr:rowOff>0</xdr:rowOff>
    </xdr:from>
    <xdr:to>
      <xdr:col>31</xdr:col>
      <xdr:colOff>777873</xdr:colOff>
      <xdr:row>27</xdr:row>
      <xdr:rowOff>89288</xdr:rowOff>
    </xdr:to>
    <xdr:graphicFrame macro="">
      <xdr:nvGraphicFramePr>
        <xdr:cNvPr id="3" name="Chart 2">
          <a:extLst>
            <a:ext uri="{FF2B5EF4-FFF2-40B4-BE49-F238E27FC236}">
              <a16:creationId xmlns:a16="http://schemas.microsoft.com/office/drawing/2014/main" id="{6DBB9F10-B40A-7D49-8962-12D60C9308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190500</xdr:colOff>
      <xdr:row>29</xdr:row>
      <xdr:rowOff>50800</xdr:rowOff>
    </xdr:from>
    <xdr:to>
      <xdr:col>12</xdr:col>
      <xdr:colOff>50800</xdr:colOff>
      <xdr:row>47</xdr:row>
      <xdr:rowOff>165100</xdr:rowOff>
    </xdr:to>
    <xdr:graphicFrame macro="">
      <xdr:nvGraphicFramePr>
        <xdr:cNvPr id="4" name="Chart 3">
          <a:extLst>
            <a:ext uri="{FF2B5EF4-FFF2-40B4-BE49-F238E27FC236}">
              <a16:creationId xmlns:a16="http://schemas.microsoft.com/office/drawing/2014/main" id="{97D86F78-C1E8-124D-AB2B-63C6D3C3D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228600</xdr:colOff>
      <xdr:row>50</xdr:row>
      <xdr:rowOff>12700</xdr:rowOff>
    </xdr:from>
    <xdr:to>
      <xdr:col>12</xdr:col>
      <xdr:colOff>127000</xdr:colOff>
      <xdr:row>80</xdr:row>
      <xdr:rowOff>148697</xdr:rowOff>
    </xdr:to>
    <xdr:graphicFrame macro="">
      <xdr:nvGraphicFramePr>
        <xdr:cNvPr id="5" name="Chart 4">
          <a:extLst>
            <a:ext uri="{FF2B5EF4-FFF2-40B4-BE49-F238E27FC236}">
              <a16:creationId xmlns:a16="http://schemas.microsoft.com/office/drawing/2014/main" id="{3CD9FA37-F2FD-D445-942B-90C56D009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812800</xdr:colOff>
      <xdr:row>29</xdr:row>
      <xdr:rowOff>63500</xdr:rowOff>
    </xdr:from>
    <xdr:to>
      <xdr:col>24</xdr:col>
      <xdr:colOff>139700</xdr:colOff>
      <xdr:row>47</xdr:row>
      <xdr:rowOff>190499</xdr:rowOff>
    </xdr:to>
    <xdr:graphicFrame macro="">
      <xdr:nvGraphicFramePr>
        <xdr:cNvPr id="6" name="Chart 5">
          <a:extLst>
            <a:ext uri="{FF2B5EF4-FFF2-40B4-BE49-F238E27FC236}">
              <a16:creationId xmlns:a16="http://schemas.microsoft.com/office/drawing/2014/main" id="{B23DFE4A-4110-4E4B-AF50-AFD6880BA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50</xdr:row>
      <xdr:rowOff>0</xdr:rowOff>
    </xdr:from>
    <xdr:to>
      <xdr:col>24</xdr:col>
      <xdr:colOff>228600</xdr:colOff>
      <xdr:row>80</xdr:row>
      <xdr:rowOff>127000</xdr:rowOff>
    </xdr:to>
    <xdr:graphicFrame macro="">
      <xdr:nvGraphicFramePr>
        <xdr:cNvPr id="7" name="Chart 6">
          <a:extLst>
            <a:ext uri="{FF2B5EF4-FFF2-40B4-BE49-F238E27FC236}">
              <a16:creationId xmlns:a16="http://schemas.microsoft.com/office/drawing/2014/main" id="{2FB3E17B-E47E-E94C-AD7B-760D5ED4A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203200</xdr:colOff>
      <xdr:row>82</xdr:row>
      <xdr:rowOff>0</xdr:rowOff>
    </xdr:from>
    <xdr:to>
      <xdr:col>12</xdr:col>
      <xdr:colOff>152400</xdr:colOff>
      <xdr:row>105</xdr:row>
      <xdr:rowOff>76200</xdr:rowOff>
    </xdr:to>
    <xdr:graphicFrame macro="">
      <xdr:nvGraphicFramePr>
        <xdr:cNvPr id="8" name="Chart 7">
          <a:extLst>
            <a:ext uri="{FF2B5EF4-FFF2-40B4-BE49-F238E27FC236}">
              <a16:creationId xmlns:a16="http://schemas.microsoft.com/office/drawing/2014/main" id="{334ED78B-8DC7-0941-9D20-652613CFF6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0</xdr:colOff>
      <xdr:row>82</xdr:row>
      <xdr:rowOff>0</xdr:rowOff>
    </xdr:from>
    <xdr:to>
      <xdr:col>24</xdr:col>
      <xdr:colOff>254000</xdr:colOff>
      <xdr:row>105</xdr:row>
      <xdr:rowOff>139700</xdr:rowOff>
    </xdr:to>
    <xdr:graphicFrame macro="">
      <xdr:nvGraphicFramePr>
        <xdr:cNvPr id="9" name="Chart 8">
          <a:extLst>
            <a:ext uri="{FF2B5EF4-FFF2-40B4-BE49-F238E27FC236}">
              <a16:creationId xmlns:a16="http://schemas.microsoft.com/office/drawing/2014/main" id="{7FE87229-A3F5-2545-AC4D-1D896CE58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203200</xdr:colOff>
      <xdr:row>106</xdr:row>
      <xdr:rowOff>139700</xdr:rowOff>
    </xdr:from>
    <xdr:to>
      <xdr:col>12</xdr:col>
      <xdr:colOff>165100</xdr:colOff>
      <xdr:row>133</xdr:row>
      <xdr:rowOff>152400</xdr:rowOff>
    </xdr:to>
    <xdr:graphicFrame macro="">
      <xdr:nvGraphicFramePr>
        <xdr:cNvPr id="10" name="Chart 9">
          <a:extLst>
            <a:ext uri="{FF2B5EF4-FFF2-40B4-BE49-F238E27FC236}">
              <a16:creationId xmlns:a16="http://schemas.microsoft.com/office/drawing/2014/main" id="{D74FB129-07F0-5D43-BF89-BC65AF4D2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0</xdr:colOff>
      <xdr:row>107</xdr:row>
      <xdr:rowOff>1</xdr:rowOff>
    </xdr:from>
    <xdr:to>
      <xdr:col>24</xdr:col>
      <xdr:colOff>381000</xdr:colOff>
      <xdr:row>134</xdr:row>
      <xdr:rowOff>25401</xdr:rowOff>
    </xdr:to>
    <xdr:graphicFrame macro="">
      <xdr:nvGraphicFramePr>
        <xdr:cNvPr id="11" name="Chart 10">
          <a:extLst>
            <a:ext uri="{FF2B5EF4-FFF2-40B4-BE49-F238E27FC236}">
              <a16:creationId xmlns:a16="http://schemas.microsoft.com/office/drawing/2014/main" id="{D03A7B6A-0435-2547-A5E8-6DCBCA84F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165100</xdr:colOff>
      <xdr:row>135</xdr:row>
      <xdr:rowOff>63500</xdr:rowOff>
    </xdr:from>
    <xdr:to>
      <xdr:col>24</xdr:col>
      <xdr:colOff>393700</xdr:colOff>
      <xdr:row>170</xdr:row>
      <xdr:rowOff>152400</xdr:rowOff>
    </xdr:to>
    <xdr:graphicFrame macro="">
      <xdr:nvGraphicFramePr>
        <xdr:cNvPr id="12" name="Chart 11">
          <a:extLst>
            <a:ext uri="{FF2B5EF4-FFF2-40B4-BE49-F238E27FC236}">
              <a16:creationId xmlns:a16="http://schemas.microsoft.com/office/drawing/2014/main" id="{2B777926-E750-C34E-900B-7C3F5B477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152400</xdr:colOff>
      <xdr:row>0</xdr:row>
      <xdr:rowOff>152400</xdr:rowOff>
    </xdr:from>
    <xdr:to>
      <xdr:col>18</xdr:col>
      <xdr:colOff>584200</xdr:colOff>
      <xdr:row>3</xdr:row>
      <xdr:rowOff>114300</xdr:rowOff>
    </xdr:to>
    <xdr:sp macro="" textlink="">
      <xdr:nvSpPr>
        <xdr:cNvPr id="13" name="Rectangle 12">
          <a:extLst>
            <a:ext uri="{FF2B5EF4-FFF2-40B4-BE49-F238E27FC236}">
              <a16:creationId xmlns:a16="http://schemas.microsoft.com/office/drawing/2014/main" id="{1F8AE8CC-555E-FEED-AE7D-5C8B95CC4341}"/>
            </a:ext>
          </a:extLst>
        </xdr:cNvPr>
        <xdr:cNvSpPr/>
      </xdr:nvSpPr>
      <xdr:spPr>
        <a:xfrm>
          <a:off x="7581900" y="152400"/>
          <a:ext cx="7861300" cy="5715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800" b="1" cap="none" spc="0">
              <a:ln w="0"/>
              <a:solidFill>
                <a:schemeClr val="accent1"/>
              </a:solidFill>
              <a:effectLst>
                <a:outerShdw blurRad="38100" dist="25400" dir="5400000" algn="ctr" rotWithShape="0">
                  <a:srgbClr val="6E747A">
                    <a:alpha val="43000"/>
                  </a:srgbClr>
                </a:outerShdw>
              </a:effectLst>
            </a:rPr>
            <a:t>Overall CPI &amp; Inflation Analysis Dashboard (Q1–Q5)</a:t>
          </a:r>
          <a:endParaRPr lang="en-GB" sz="2800" b="1" cap="none" spc="0">
            <a:ln w="0"/>
            <a:solidFill>
              <a:schemeClr val="accent1"/>
            </a:solidFill>
            <a:effectLst>
              <a:outerShdw blurRad="38100" dist="25400" dir="5400000" algn="ctr" rotWithShape="0">
                <a:srgbClr val="6E747A">
                  <a:alpha val="43000"/>
                </a:srgbClr>
              </a:outerShdw>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368116</xdr:colOff>
      <xdr:row>31</xdr:row>
      <xdr:rowOff>202096</xdr:rowOff>
    </xdr:from>
    <xdr:to>
      <xdr:col>4</xdr:col>
      <xdr:colOff>487754</xdr:colOff>
      <xdr:row>47</xdr:row>
      <xdr:rowOff>0</xdr:rowOff>
    </xdr:to>
    <xdr:graphicFrame macro="">
      <xdr:nvGraphicFramePr>
        <xdr:cNvPr id="3" name="Chart 2">
          <a:extLst>
            <a:ext uri="{FF2B5EF4-FFF2-40B4-BE49-F238E27FC236}">
              <a16:creationId xmlns:a16="http://schemas.microsoft.com/office/drawing/2014/main" id="{A8A5DC7D-1B5D-4B8C-37B9-9206BC490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807771</xdr:colOff>
      <xdr:row>31</xdr:row>
      <xdr:rowOff>153328</xdr:rowOff>
    </xdr:from>
    <xdr:to>
      <xdr:col>6</xdr:col>
      <xdr:colOff>429558</xdr:colOff>
      <xdr:row>46</xdr:row>
      <xdr:rowOff>228118</xdr:rowOff>
    </xdr:to>
    <xdr:graphicFrame macro="">
      <xdr:nvGraphicFramePr>
        <xdr:cNvPr id="7" name="Chart 6">
          <a:extLst>
            <a:ext uri="{FF2B5EF4-FFF2-40B4-BE49-F238E27FC236}">
              <a16:creationId xmlns:a16="http://schemas.microsoft.com/office/drawing/2014/main" id="{5AE2244D-4A48-F65F-D1ED-CEDBC4B18F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815667</xdr:colOff>
      <xdr:row>9</xdr:row>
      <xdr:rowOff>268612</xdr:rowOff>
    </xdr:from>
    <xdr:to>
      <xdr:col>10</xdr:col>
      <xdr:colOff>109247</xdr:colOff>
      <xdr:row>22</xdr:row>
      <xdr:rowOff>54623</xdr:rowOff>
    </xdr:to>
    <xdr:graphicFrame macro="">
      <xdr:nvGraphicFramePr>
        <xdr:cNvPr id="3" name="Chart 2">
          <a:extLst>
            <a:ext uri="{FF2B5EF4-FFF2-40B4-BE49-F238E27FC236}">
              <a16:creationId xmlns:a16="http://schemas.microsoft.com/office/drawing/2014/main" id="{8944D206-2981-663A-13E3-9728AE6EE7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424874</xdr:colOff>
      <xdr:row>0</xdr:row>
      <xdr:rowOff>0</xdr:rowOff>
    </xdr:from>
    <xdr:to>
      <xdr:col>14</xdr:col>
      <xdr:colOff>132774</xdr:colOff>
      <xdr:row>21</xdr:row>
      <xdr:rowOff>106795</xdr:rowOff>
    </xdr:to>
    <xdr:graphicFrame macro="">
      <xdr:nvGraphicFramePr>
        <xdr:cNvPr id="3" name="Chart 2">
          <a:extLst>
            <a:ext uri="{FF2B5EF4-FFF2-40B4-BE49-F238E27FC236}">
              <a16:creationId xmlns:a16="http://schemas.microsoft.com/office/drawing/2014/main" id="{ED49026B-B263-4E4C-A3D2-3C6259B8C1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369453</xdr:colOff>
      <xdr:row>22</xdr:row>
      <xdr:rowOff>144318</xdr:rowOff>
    </xdr:from>
    <xdr:to>
      <xdr:col>16</xdr:col>
      <xdr:colOff>562841</xdr:colOff>
      <xdr:row>52</xdr:row>
      <xdr:rowOff>101021</xdr:rowOff>
    </xdr:to>
    <xdr:graphicFrame macro="">
      <xdr:nvGraphicFramePr>
        <xdr:cNvPr id="4" name="Chart 3">
          <a:extLst>
            <a:ext uri="{FF2B5EF4-FFF2-40B4-BE49-F238E27FC236}">
              <a16:creationId xmlns:a16="http://schemas.microsoft.com/office/drawing/2014/main" id="{EC4F4682-56F6-D2FE-367E-8E72D75C7B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532581</xdr:colOff>
      <xdr:row>34</xdr:row>
      <xdr:rowOff>116894</xdr:rowOff>
    </xdr:from>
    <xdr:to>
      <xdr:col>5</xdr:col>
      <xdr:colOff>833010</xdr:colOff>
      <xdr:row>52</xdr:row>
      <xdr:rowOff>81935</xdr:rowOff>
    </xdr:to>
    <xdr:graphicFrame macro="">
      <xdr:nvGraphicFramePr>
        <xdr:cNvPr id="6" name="Chart 5">
          <a:extLst>
            <a:ext uri="{FF2B5EF4-FFF2-40B4-BE49-F238E27FC236}">
              <a16:creationId xmlns:a16="http://schemas.microsoft.com/office/drawing/2014/main" id="{8D0E060F-6D46-A38B-BF06-B7E06DCBEC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139700</xdr:colOff>
      <xdr:row>24</xdr:row>
      <xdr:rowOff>190500</xdr:rowOff>
    </xdr:from>
    <xdr:to>
      <xdr:col>5</xdr:col>
      <xdr:colOff>50800</xdr:colOff>
      <xdr:row>47</xdr:row>
      <xdr:rowOff>16401</xdr:rowOff>
    </xdr:to>
    <xdr:graphicFrame macro="">
      <xdr:nvGraphicFramePr>
        <xdr:cNvPr id="3" name="Chart 2">
          <a:extLst>
            <a:ext uri="{FF2B5EF4-FFF2-40B4-BE49-F238E27FC236}">
              <a16:creationId xmlns:a16="http://schemas.microsoft.com/office/drawing/2014/main" id="{2A4016FC-9024-3D4E-A792-C1AD465E28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87</xdr:row>
      <xdr:rowOff>0</xdr:rowOff>
    </xdr:from>
    <xdr:to>
      <xdr:col>4</xdr:col>
      <xdr:colOff>918035</xdr:colOff>
      <xdr:row>117</xdr:row>
      <xdr:rowOff>135997</xdr:rowOff>
    </xdr:to>
    <xdr:graphicFrame macro="">
      <xdr:nvGraphicFramePr>
        <xdr:cNvPr id="4" name="Chart 3">
          <a:extLst>
            <a:ext uri="{FF2B5EF4-FFF2-40B4-BE49-F238E27FC236}">
              <a16:creationId xmlns:a16="http://schemas.microsoft.com/office/drawing/2014/main" id="{390CCBC5-3425-064C-B1CE-6D4C1A1C7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87</xdr:row>
      <xdr:rowOff>0</xdr:rowOff>
    </xdr:from>
    <xdr:to>
      <xdr:col>13</xdr:col>
      <xdr:colOff>715287</xdr:colOff>
      <xdr:row>117</xdr:row>
      <xdr:rowOff>160575</xdr:rowOff>
    </xdr:to>
    <xdr:graphicFrame macro="">
      <xdr:nvGraphicFramePr>
        <xdr:cNvPr id="5" name="Chart 4">
          <a:extLst>
            <a:ext uri="{FF2B5EF4-FFF2-40B4-BE49-F238E27FC236}">
              <a16:creationId xmlns:a16="http://schemas.microsoft.com/office/drawing/2014/main" id="{41D766DD-E4D4-5C48-BF9C-1054435832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28</xdr:col>
      <xdr:colOff>641350</xdr:colOff>
      <xdr:row>9</xdr:row>
      <xdr:rowOff>190500</xdr:rowOff>
    </xdr:from>
    <xdr:to>
      <xdr:col>42</xdr:col>
      <xdr:colOff>381000</xdr:colOff>
      <xdr:row>34</xdr:row>
      <xdr:rowOff>114300</xdr:rowOff>
    </xdr:to>
    <xdr:graphicFrame macro="">
      <xdr:nvGraphicFramePr>
        <xdr:cNvPr id="2" name="Chart 1">
          <a:extLst>
            <a:ext uri="{FF2B5EF4-FFF2-40B4-BE49-F238E27FC236}">
              <a16:creationId xmlns:a16="http://schemas.microsoft.com/office/drawing/2014/main" id="{323C84CD-066A-C502-D42D-020CF8AAAC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606425</xdr:colOff>
      <xdr:row>13</xdr:row>
      <xdr:rowOff>69850</xdr:rowOff>
    </xdr:from>
    <xdr:to>
      <xdr:col>35</xdr:col>
      <xdr:colOff>619125</xdr:colOff>
      <xdr:row>30</xdr:row>
      <xdr:rowOff>146050</xdr:rowOff>
    </xdr:to>
    <xdr:cxnSp macro="">
      <xdr:nvCxnSpPr>
        <xdr:cNvPr id="4" name="Straight Connector 3">
          <a:extLst>
            <a:ext uri="{FF2B5EF4-FFF2-40B4-BE49-F238E27FC236}">
              <a16:creationId xmlns:a16="http://schemas.microsoft.com/office/drawing/2014/main" id="{F0714A53-F222-0BB1-BCE9-E52C4AB75205}"/>
            </a:ext>
          </a:extLst>
        </xdr:cNvPr>
        <xdr:cNvCxnSpPr/>
      </xdr:nvCxnSpPr>
      <xdr:spPr>
        <a:xfrm flipH="1" flipV="1">
          <a:off x="38909625" y="2711450"/>
          <a:ext cx="12700" cy="3530600"/>
        </a:xfrm>
        <a:prstGeom prst="line">
          <a:avLst/>
        </a:prstGeom>
        <a:ln w="38100">
          <a:solidFill>
            <a:srgbClr val="FF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36</xdr:col>
      <xdr:colOff>162560</xdr:colOff>
      <xdr:row>13</xdr:row>
      <xdr:rowOff>81280</xdr:rowOff>
    </xdr:from>
    <xdr:to>
      <xdr:col>37</xdr:col>
      <xdr:colOff>396240</xdr:colOff>
      <xdr:row>15</xdr:row>
      <xdr:rowOff>142240</xdr:rowOff>
    </xdr:to>
    <xdr:sp macro="" textlink="">
      <xdr:nvSpPr>
        <xdr:cNvPr id="5" name="Rectangle 4">
          <a:extLst>
            <a:ext uri="{FF2B5EF4-FFF2-40B4-BE49-F238E27FC236}">
              <a16:creationId xmlns:a16="http://schemas.microsoft.com/office/drawing/2014/main" id="{51B614A0-6555-11FC-CB1C-78FBC8C50FE7}"/>
            </a:ext>
          </a:extLst>
        </xdr:cNvPr>
        <xdr:cNvSpPr/>
      </xdr:nvSpPr>
      <xdr:spPr>
        <a:xfrm>
          <a:off x="39268400" y="2722880"/>
          <a:ext cx="1056640" cy="4673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a:t>COVID Onset</a:t>
          </a:r>
          <a:r>
            <a:rPr lang="en-IN" baseline="0"/>
            <a:t> </a:t>
          </a:r>
          <a:r>
            <a:rPr lang="en-IN"/>
            <a:t>(Mar’20)</a:t>
          </a:r>
          <a:endParaRPr lang="en-GB" sz="1100"/>
        </a:p>
      </xdr:txBody>
    </xdr:sp>
    <xdr:clientData/>
  </xdr:twoCellAnchor>
  <xdr:twoCellAnchor>
    <xdr:from>
      <xdr:col>9</xdr:col>
      <xdr:colOff>0</xdr:colOff>
      <xdr:row>2</xdr:row>
      <xdr:rowOff>0</xdr:rowOff>
    </xdr:from>
    <xdr:to>
      <xdr:col>9</xdr:col>
      <xdr:colOff>1016000</xdr:colOff>
      <xdr:row>5</xdr:row>
      <xdr:rowOff>152400</xdr:rowOff>
    </xdr:to>
    <xdr:sp macro="" textlink="">
      <xdr:nvSpPr>
        <xdr:cNvPr id="5121" name="Text Box 1">
          <a:extLst>
            <a:ext uri="{FF2B5EF4-FFF2-40B4-BE49-F238E27FC236}">
              <a16:creationId xmlns:a16="http://schemas.microsoft.com/office/drawing/2014/main" id="{92AEC59A-8C06-96AB-DCBF-31CCC5C3186E}"/>
            </a:ext>
          </a:extLst>
        </xdr:cNvPr>
        <xdr:cNvSpPr txBox="1">
          <a:spLocks noChangeArrowheads="1"/>
        </xdr:cNvSpPr>
      </xdr:nvSpPr>
      <xdr:spPr bwMode="auto">
        <a:xfrm>
          <a:off x="9004300" y="406400"/>
          <a:ext cx="1016000" cy="7620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GB" sz="1200" b="0" i="0" u="none" strike="noStrike" baseline="0">
              <a:solidFill>
                <a:srgbClr val="000000"/>
              </a:solidFill>
              <a:latin typeface="Calibri" pitchFamily="2" charset="0"/>
              <a:cs typeface="Calibri" pitchFamily="2" charset="0"/>
            </a:rPr>
            <a:t>COVID Onset (Mar’20)</a:t>
          </a:r>
        </a:p>
      </xdr:txBody>
    </xdr:sp>
    <xdr:clientData/>
  </xdr:twoCellAnchor>
  <xdr:twoCellAnchor>
    <xdr:from>
      <xdr:col>29</xdr:col>
      <xdr:colOff>471547</xdr:colOff>
      <xdr:row>35</xdr:row>
      <xdr:rowOff>145345</xdr:rowOff>
    </xdr:from>
    <xdr:to>
      <xdr:col>35</xdr:col>
      <xdr:colOff>305741</xdr:colOff>
      <xdr:row>51</xdr:row>
      <xdr:rowOff>58796</xdr:rowOff>
    </xdr:to>
    <xdr:graphicFrame macro="">
      <xdr:nvGraphicFramePr>
        <xdr:cNvPr id="6" name="Chart 5">
          <a:extLst>
            <a:ext uri="{FF2B5EF4-FFF2-40B4-BE49-F238E27FC236}">
              <a16:creationId xmlns:a16="http://schemas.microsoft.com/office/drawing/2014/main" id="{63231497-9765-806C-B74D-D829A7D96E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441676</xdr:colOff>
      <xdr:row>52</xdr:row>
      <xdr:rowOff>67734</xdr:rowOff>
    </xdr:from>
    <xdr:to>
      <xdr:col>47</xdr:col>
      <xdr:colOff>423333</xdr:colOff>
      <xdr:row>105</xdr:row>
      <xdr:rowOff>118533</xdr:rowOff>
    </xdr:to>
    <xdr:graphicFrame macro="">
      <xdr:nvGraphicFramePr>
        <xdr:cNvPr id="7" name="Chart 6">
          <a:extLst>
            <a:ext uri="{FF2B5EF4-FFF2-40B4-BE49-F238E27FC236}">
              <a16:creationId xmlns:a16="http://schemas.microsoft.com/office/drawing/2014/main" id="{A57AB4BF-AE75-0731-6741-49B3F3490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37</xdr:col>
      <xdr:colOff>778933</xdr:colOff>
      <xdr:row>57</xdr:row>
      <xdr:rowOff>101600</xdr:rowOff>
    </xdr:from>
    <xdr:to>
      <xdr:col>37</xdr:col>
      <xdr:colOff>787400</xdr:colOff>
      <xdr:row>92</xdr:row>
      <xdr:rowOff>69850</xdr:rowOff>
    </xdr:to>
    <xdr:cxnSp macro="">
      <xdr:nvCxnSpPr>
        <xdr:cNvPr id="8" name="Straight Connector 7">
          <a:extLst>
            <a:ext uri="{FF2B5EF4-FFF2-40B4-BE49-F238E27FC236}">
              <a16:creationId xmlns:a16="http://schemas.microsoft.com/office/drawing/2014/main" id="{CDA07FA5-7950-F04F-A753-7BB3C59C15EE}"/>
            </a:ext>
          </a:extLst>
        </xdr:cNvPr>
        <xdr:cNvCxnSpPr/>
      </xdr:nvCxnSpPr>
      <xdr:spPr>
        <a:xfrm flipH="1" flipV="1">
          <a:off x="40733133" y="11684000"/>
          <a:ext cx="8467" cy="7080250"/>
        </a:xfrm>
        <a:prstGeom prst="line">
          <a:avLst/>
        </a:prstGeom>
        <a:ln w="38100">
          <a:solidFill>
            <a:srgbClr val="FF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202046</xdr:colOff>
      <xdr:row>87</xdr:row>
      <xdr:rowOff>13853</xdr:rowOff>
    </xdr:from>
    <xdr:to>
      <xdr:col>27</xdr:col>
      <xdr:colOff>127000</xdr:colOff>
      <xdr:row>149</xdr:row>
      <xdr:rowOff>0</xdr:rowOff>
    </xdr:to>
    <xdr:graphicFrame macro="">
      <xdr:nvGraphicFramePr>
        <xdr:cNvPr id="12" name="Chart 11">
          <a:extLst>
            <a:ext uri="{FF2B5EF4-FFF2-40B4-BE49-F238E27FC236}">
              <a16:creationId xmlns:a16="http://schemas.microsoft.com/office/drawing/2014/main" id="{66EFFA1F-7A52-105C-19CE-1C5624EF82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136927</xdr:colOff>
      <xdr:row>95</xdr:row>
      <xdr:rowOff>157597</xdr:rowOff>
    </xdr:from>
    <xdr:to>
      <xdr:col>19</xdr:col>
      <xdr:colOff>146433</xdr:colOff>
      <xdr:row>146</xdr:row>
      <xdr:rowOff>113239</xdr:rowOff>
    </xdr:to>
    <xdr:cxnSp macro="">
      <xdr:nvCxnSpPr>
        <xdr:cNvPr id="13" name="Straight Connector 12">
          <a:extLst>
            <a:ext uri="{FF2B5EF4-FFF2-40B4-BE49-F238E27FC236}">
              <a16:creationId xmlns:a16="http://schemas.microsoft.com/office/drawing/2014/main" id="{7A53301C-A2B5-EB49-AAA7-4A576B884662}"/>
            </a:ext>
          </a:extLst>
        </xdr:cNvPr>
        <xdr:cNvCxnSpPr/>
      </xdr:nvCxnSpPr>
      <xdr:spPr>
        <a:xfrm flipH="1" flipV="1">
          <a:off x="20566174" y="19617274"/>
          <a:ext cx="9506" cy="10402417"/>
        </a:xfrm>
        <a:prstGeom prst="line">
          <a:avLst/>
        </a:prstGeom>
        <a:ln w="38100">
          <a:solidFill>
            <a:srgbClr val="FF0000"/>
          </a:solidFill>
        </a:ln>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7.xml><?xml version="1.0" encoding="utf-8"?>
<c:userShapes xmlns:c="http://schemas.openxmlformats.org/drawingml/2006/chart">
  <cdr:relSizeAnchor xmlns:cdr="http://schemas.openxmlformats.org/drawingml/2006/chartDrawing">
    <cdr:from>
      <cdr:x>0.51143</cdr:x>
      <cdr:y>0.08159</cdr:y>
    </cdr:from>
    <cdr:to>
      <cdr:x>0.57734</cdr:x>
      <cdr:y>0.12465</cdr:y>
    </cdr:to>
    <cdr:sp macro="" textlink="">
      <cdr:nvSpPr>
        <cdr:cNvPr id="2" name="Rectangle 1">
          <a:extLst xmlns:a="http://schemas.openxmlformats.org/drawingml/2006/main">
            <a:ext uri="{FF2B5EF4-FFF2-40B4-BE49-F238E27FC236}">
              <a16:creationId xmlns:a16="http://schemas.microsoft.com/office/drawing/2014/main" id="{51B614A0-6555-11FC-CB1C-78FBC8C50FE7}"/>
            </a:ext>
          </a:extLst>
        </cdr:cNvPr>
        <cdr:cNvSpPr/>
      </cdr:nvSpPr>
      <cdr:spPr>
        <a:xfrm xmlns:a="http://schemas.openxmlformats.org/drawingml/2006/main">
          <a:off x="8274570" y="904407"/>
          <a:ext cx="1066467" cy="477354"/>
        </a:xfrm>
        <a:prstGeom xmlns:a="http://schemas.openxmlformats.org/drawingml/2006/main" prst="rect">
          <a:avLst/>
        </a:prstGeom>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en-IN" b="1"/>
            <a:t>COVID Onset</a:t>
          </a:r>
          <a:r>
            <a:rPr lang="en-IN" b="1" baseline="0"/>
            <a:t> </a:t>
          </a:r>
          <a:r>
            <a:rPr lang="en-IN" b="1"/>
            <a:t>(Mar’20)</a:t>
          </a:r>
          <a:endParaRPr lang="en-GB" sz="1100" b="1"/>
        </a:p>
      </cdr:txBody>
    </cdr:sp>
  </cdr:relSizeAnchor>
</c:userShapes>
</file>

<file path=xl/drawings/drawing8.xml><?xml version="1.0" encoding="utf-8"?>
<c:userShapes xmlns:c="http://schemas.openxmlformats.org/drawingml/2006/chart">
  <cdr:relSizeAnchor xmlns:cdr="http://schemas.openxmlformats.org/drawingml/2006/chartDrawing">
    <cdr:from>
      <cdr:x>0.51048</cdr:x>
      <cdr:y>0.11707</cdr:y>
    </cdr:from>
    <cdr:to>
      <cdr:x>0.59848</cdr:x>
      <cdr:y>0.16638</cdr:y>
    </cdr:to>
    <cdr:sp macro="" textlink="">
      <cdr:nvSpPr>
        <cdr:cNvPr id="2" name="Rectangle 1">
          <a:extLst xmlns:a="http://schemas.openxmlformats.org/drawingml/2006/main">
            <a:ext uri="{FF2B5EF4-FFF2-40B4-BE49-F238E27FC236}">
              <a16:creationId xmlns:a16="http://schemas.microsoft.com/office/drawing/2014/main" id="{0786A8C8-CD92-ABEC-536C-A86C06E27852}"/>
            </a:ext>
          </a:extLst>
        </cdr:cNvPr>
        <cdr:cNvSpPr/>
      </cdr:nvSpPr>
      <cdr:spPr>
        <a:xfrm xmlns:a="http://schemas.openxmlformats.org/drawingml/2006/main">
          <a:off x="9821605" y="1402734"/>
          <a:ext cx="1693123" cy="590831"/>
        </a:xfrm>
        <a:prstGeom xmlns:a="http://schemas.openxmlformats.org/drawingml/2006/main" prst="rect">
          <a:avLst/>
        </a:prstGeom>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en-IN" b="1"/>
            <a:t>COVID Onset</a:t>
          </a:r>
          <a:r>
            <a:rPr lang="en-IN" b="1" baseline="0"/>
            <a:t> </a:t>
          </a:r>
          <a:r>
            <a:rPr lang="en-IN" b="1"/>
            <a:t>(Mar’20)</a:t>
          </a:r>
          <a:endParaRPr lang="en-GB" sz="1100" b="1"/>
        </a:p>
      </cdr:txBody>
    </cdr:sp>
  </cdr:relSizeAnchor>
</c:userShapes>
</file>

<file path=xl/drawings/drawing9.xml><?xml version="1.0" encoding="utf-8"?>
<xdr:wsDr xmlns:xdr="http://schemas.openxmlformats.org/drawingml/2006/spreadsheetDrawing" xmlns:a="http://schemas.openxmlformats.org/drawingml/2006/main">
  <xdr:twoCellAnchor>
    <xdr:from>
      <xdr:col>1</xdr:col>
      <xdr:colOff>0</xdr:colOff>
      <xdr:row>21</xdr:row>
      <xdr:rowOff>0</xdr:rowOff>
    </xdr:from>
    <xdr:to>
      <xdr:col>15</xdr:col>
      <xdr:colOff>298450</xdr:colOff>
      <xdr:row>45</xdr:row>
      <xdr:rowOff>127000</xdr:rowOff>
    </xdr:to>
    <xdr:graphicFrame macro="">
      <xdr:nvGraphicFramePr>
        <xdr:cNvPr id="2" name="Chart 1">
          <a:extLst>
            <a:ext uri="{FF2B5EF4-FFF2-40B4-BE49-F238E27FC236}">
              <a16:creationId xmlns:a16="http://schemas.microsoft.com/office/drawing/2014/main" id="{C4850905-9871-3147-874B-B96418F41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241300</xdr:colOff>
      <xdr:row>66</xdr:row>
      <xdr:rowOff>165100</xdr:rowOff>
    </xdr:from>
    <xdr:to>
      <xdr:col>3</xdr:col>
      <xdr:colOff>1638300</xdr:colOff>
      <xdr:row>84</xdr:row>
      <xdr:rowOff>38100</xdr:rowOff>
    </xdr:to>
    <xdr:graphicFrame macro="">
      <xdr:nvGraphicFramePr>
        <xdr:cNvPr id="3" name="Chart 2">
          <a:extLst>
            <a:ext uri="{FF2B5EF4-FFF2-40B4-BE49-F238E27FC236}">
              <a16:creationId xmlns:a16="http://schemas.microsoft.com/office/drawing/2014/main" id="{C85CFABF-BFE7-8A47-829E-AC6DB6DED6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0.52169</cdr:x>
      <cdr:y>0.14213</cdr:y>
    </cdr:from>
    <cdr:to>
      <cdr:x>0.52276</cdr:x>
      <cdr:y>0.84772</cdr:y>
    </cdr:to>
    <cdr:cxnSp macro="">
      <cdr:nvCxnSpPr>
        <cdr:cNvPr id="2" name="Straight Connector 1">
          <a:extLst xmlns:a="http://schemas.openxmlformats.org/drawingml/2006/main">
            <a:ext uri="{FF2B5EF4-FFF2-40B4-BE49-F238E27FC236}">
              <a16:creationId xmlns:a16="http://schemas.microsoft.com/office/drawing/2014/main" id="{F0714A53-F222-0BB1-BCE9-E52C4AB75205}"/>
            </a:ext>
          </a:extLst>
        </cdr:cNvPr>
        <cdr:cNvCxnSpPr/>
      </cdr:nvCxnSpPr>
      <cdr:spPr>
        <a:xfrm xmlns:a="http://schemas.openxmlformats.org/drawingml/2006/main" flipH="1" flipV="1">
          <a:off x="6184900" y="711200"/>
          <a:ext cx="12700" cy="3530600"/>
        </a:xfrm>
        <a:prstGeom xmlns:a="http://schemas.openxmlformats.org/drawingml/2006/main" prst="line">
          <a:avLst/>
        </a:prstGeom>
        <a:ln xmlns:a="http://schemas.openxmlformats.org/drawingml/2006/main" w="38100">
          <a:solidFill>
            <a:srgbClr val="FF0000"/>
          </a:solidFill>
        </a:ln>
      </cdr:spPr>
      <cdr:style>
        <a:lnRef xmlns:a="http://schemas.openxmlformats.org/drawingml/2006/main" idx="3">
          <a:schemeClr val="accent2"/>
        </a:lnRef>
        <a:fillRef xmlns:a="http://schemas.openxmlformats.org/drawingml/2006/main" idx="0">
          <a:schemeClr val="accent2"/>
        </a:fillRef>
        <a:effectRef xmlns:a="http://schemas.openxmlformats.org/drawingml/2006/main" idx="2">
          <a:schemeClr val="accent2"/>
        </a:effectRef>
        <a:fontRef xmlns:a="http://schemas.openxmlformats.org/drawingml/2006/main" idx="minor">
          <a:schemeClr val="tx1"/>
        </a:fontRef>
      </cdr:style>
    </cdr:cxnSp>
  </cdr:relSizeAnchor>
  <cdr:relSizeAnchor xmlns:cdr="http://schemas.openxmlformats.org/drawingml/2006/chartDrawing">
    <cdr:from>
      <cdr:x>0.52491</cdr:x>
      <cdr:y>0.10914</cdr:y>
    </cdr:from>
    <cdr:to>
      <cdr:x>0.6631</cdr:x>
      <cdr:y>0.16497</cdr:y>
    </cdr:to>
    <cdr:sp macro="" textlink="">
      <cdr:nvSpPr>
        <cdr:cNvPr id="3" name="Rectangle 2">
          <a:extLst xmlns:a="http://schemas.openxmlformats.org/drawingml/2006/main">
            <a:ext uri="{FF2B5EF4-FFF2-40B4-BE49-F238E27FC236}">
              <a16:creationId xmlns:a16="http://schemas.microsoft.com/office/drawing/2014/main" id="{51B614A0-6555-11FC-CB1C-78FBC8C50FE7}"/>
            </a:ext>
          </a:extLst>
        </cdr:cNvPr>
        <cdr:cNvSpPr/>
      </cdr:nvSpPr>
      <cdr:spPr>
        <a:xfrm xmlns:a="http://schemas.openxmlformats.org/drawingml/2006/main">
          <a:off x="6223000" y="546100"/>
          <a:ext cx="1638300" cy="279400"/>
        </a:xfrm>
        <a:prstGeom xmlns:a="http://schemas.openxmlformats.org/drawingml/2006/main" prst="rect">
          <a:avLst/>
        </a:prstGeom>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en-IN" b="1"/>
            <a:t>COVID Onset</a:t>
          </a:r>
          <a:r>
            <a:rPr lang="en-IN" b="1" baseline="0"/>
            <a:t> </a:t>
          </a:r>
          <a:r>
            <a:rPr lang="en-IN" b="1"/>
            <a:t>(Mar’20)</a:t>
          </a:r>
          <a:endParaRPr lang="en-GB" sz="1100" b="1"/>
        </a:p>
      </cdr:txBody>
    </cdr:sp>
  </cdr:relSizeAnchor>
</c:userShapes>
</file>

<file path=xl/drawings/drawing11.xml><?xml version="1.0" encoding="utf-8"?>
<xdr:wsDr xmlns:xdr="http://schemas.openxmlformats.org/drawingml/2006/spreadsheetDrawing" xmlns:a="http://schemas.openxmlformats.org/drawingml/2006/main">
  <xdr:twoCellAnchor>
    <xdr:from>
      <xdr:col>6</xdr:col>
      <xdr:colOff>342900</xdr:colOff>
      <xdr:row>4</xdr:row>
      <xdr:rowOff>127000</xdr:rowOff>
    </xdr:from>
    <xdr:to>
      <xdr:col>17</xdr:col>
      <xdr:colOff>584200</xdr:colOff>
      <xdr:row>25</xdr:row>
      <xdr:rowOff>25400</xdr:rowOff>
    </xdr:to>
    <xdr:graphicFrame macro="">
      <xdr:nvGraphicFramePr>
        <xdr:cNvPr id="3" name="Chart 2">
          <a:extLst>
            <a:ext uri="{FF2B5EF4-FFF2-40B4-BE49-F238E27FC236}">
              <a16:creationId xmlns:a16="http://schemas.microsoft.com/office/drawing/2014/main" id="{B8B3EEAA-BEE6-8227-68A2-A6464F8268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136407</xdr:colOff>
      <xdr:row>4</xdr:row>
      <xdr:rowOff>39510</xdr:rowOff>
    </xdr:from>
    <xdr:to>
      <xdr:col>30</xdr:col>
      <xdr:colOff>815308</xdr:colOff>
      <xdr:row>31</xdr:row>
      <xdr:rowOff>172468</xdr:rowOff>
    </xdr:to>
    <xdr:graphicFrame macro="">
      <xdr:nvGraphicFramePr>
        <xdr:cNvPr id="6" name="Chart 5">
          <a:extLst>
            <a:ext uri="{FF2B5EF4-FFF2-40B4-BE49-F238E27FC236}">
              <a16:creationId xmlns:a16="http://schemas.microsoft.com/office/drawing/2014/main" id="{C799BE92-C94D-55E4-277E-600995B278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406400</xdr:colOff>
      <xdr:row>54</xdr:row>
      <xdr:rowOff>100402</xdr:rowOff>
    </xdr:from>
    <xdr:to>
      <xdr:col>14</xdr:col>
      <xdr:colOff>404962</xdr:colOff>
      <xdr:row>77</xdr:row>
      <xdr:rowOff>88182</xdr:rowOff>
    </xdr:to>
    <xdr:graphicFrame macro="">
      <xdr:nvGraphicFramePr>
        <xdr:cNvPr id="7" name="Chart 6">
          <a:extLst>
            <a:ext uri="{FF2B5EF4-FFF2-40B4-BE49-F238E27FC236}">
              <a16:creationId xmlns:a16="http://schemas.microsoft.com/office/drawing/2014/main" id="{D944CF2C-D674-7EBC-9D44-140A396D59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345483</xdr:colOff>
      <xdr:row>27</xdr:row>
      <xdr:rowOff>38315</xdr:rowOff>
    </xdr:from>
    <xdr:to>
      <xdr:col>15</xdr:col>
      <xdr:colOff>688814</xdr:colOff>
      <xdr:row>50</xdr:row>
      <xdr:rowOff>21525</xdr:rowOff>
    </xdr:to>
    <xdr:graphicFrame macro="">
      <xdr:nvGraphicFramePr>
        <xdr:cNvPr id="8" name="Chart 7">
          <a:extLst>
            <a:ext uri="{FF2B5EF4-FFF2-40B4-BE49-F238E27FC236}">
              <a16:creationId xmlns:a16="http://schemas.microsoft.com/office/drawing/2014/main" id="{48593B24-6AC5-604F-D3B1-959BACDE1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792548</xdr:colOff>
      <xdr:row>36</xdr:row>
      <xdr:rowOff>162335</xdr:rowOff>
    </xdr:from>
    <xdr:to>
      <xdr:col>33</xdr:col>
      <xdr:colOff>76199</xdr:colOff>
      <xdr:row>66</xdr:row>
      <xdr:rowOff>19538</xdr:rowOff>
    </xdr:to>
    <xdr:graphicFrame macro="">
      <xdr:nvGraphicFramePr>
        <xdr:cNvPr id="9" name="Chart 8">
          <a:extLst>
            <a:ext uri="{FF2B5EF4-FFF2-40B4-BE49-F238E27FC236}">
              <a16:creationId xmlns:a16="http://schemas.microsoft.com/office/drawing/2014/main" id="{7C2E8AA3-CBFE-F02E-CBE1-4AFEAAE69C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152400</xdr:colOff>
      <xdr:row>26</xdr:row>
      <xdr:rowOff>50800</xdr:rowOff>
    </xdr:from>
    <xdr:to>
      <xdr:col>7</xdr:col>
      <xdr:colOff>254000</xdr:colOff>
      <xdr:row>46</xdr:row>
      <xdr:rowOff>152400</xdr:rowOff>
    </xdr:to>
    <xdr:graphicFrame macro="">
      <xdr:nvGraphicFramePr>
        <xdr:cNvPr id="2" name="Chart 1">
          <a:extLst>
            <a:ext uri="{FF2B5EF4-FFF2-40B4-BE49-F238E27FC236}">
              <a16:creationId xmlns:a16="http://schemas.microsoft.com/office/drawing/2014/main" id="{0B0EE85C-485E-C845-9C9F-05008B037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177800</xdr:colOff>
      <xdr:row>52</xdr:row>
      <xdr:rowOff>177800</xdr:rowOff>
    </xdr:from>
    <xdr:to>
      <xdr:col>7</xdr:col>
      <xdr:colOff>88900</xdr:colOff>
      <xdr:row>75</xdr:row>
      <xdr:rowOff>161010</xdr:rowOff>
    </xdr:to>
    <xdr:graphicFrame macro="">
      <xdr:nvGraphicFramePr>
        <xdr:cNvPr id="3" name="Chart 2">
          <a:extLst>
            <a:ext uri="{FF2B5EF4-FFF2-40B4-BE49-F238E27FC236}">
              <a16:creationId xmlns:a16="http://schemas.microsoft.com/office/drawing/2014/main" id="{383759D4-DE55-5C42-BDE9-3E6BBE8CA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452938</xdr:colOff>
      <xdr:row>80</xdr:row>
      <xdr:rowOff>186504</xdr:rowOff>
    </xdr:from>
    <xdr:to>
      <xdr:col>7</xdr:col>
      <xdr:colOff>142098</xdr:colOff>
      <xdr:row>103</xdr:row>
      <xdr:rowOff>123217</xdr:rowOff>
    </xdr:to>
    <xdr:graphicFrame macro="">
      <xdr:nvGraphicFramePr>
        <xdr:cNvPr id="4" name="Chart 3">
          <a:extLst>
            <a:ext uri="{FF2B5EF4-FFF2-40B4-BE49-F238E27FC236}">
              <a16:creationId xmlns:a16="http://schemas.microsoft.com/office/drawing/2014/main" id="{ED9BC418-7496-464D-8C2E-1F5DBB658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406400</xdr:colOff>
      <xdr:row>110</xdr:row>
      <xdr:rowOff>38100</xdr:rowOff>
    </xdr:from>
    <xdr:to>
      <xdr:col>7</xdr:col>
      <xdr:colOff>76200</xdr:colOff>
      <xdr:row>137</xdr:row>
      <xdr:rowOff>142283</xdr:rowOff>
    </xdr:to>
    <xdr:graphicFrame macro="">
      <xdr:nvGraphicFramePr>
        <xdr:cNvPr id="5" name="Chart 4">
          <a:extLst>
            <a:ext uri="{FF2B5EF4-FFF2-40B4-BE49-F238E27FC236}">
              <a16:creationId xmlns:a16="http://schemas.microsoft.com/office/drawing/2014/main" id="{316552E4-D6A8-C54F-AA30-7FE47166B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228600</xdr:colOff>
      <xdr:row>144</xdr:row>
      <xdr:rowOff>88900</xdr:rowOff>
    </xdr:from>
    <xdr:to>
      <xdr:col>13</xdr:col>
      <xdr:colOff>0</xdr:colOff>
      <xdr:row>173</xdr:row>
      <xdr:rowOff>139860</xdr:rowOff>
    </xdr:to>
    <xdr:graphicFrame macro="">
      <xdr:nvGraphicFramePr>
        <xdr:cNvPr id="6" name="Chart 5">
          <a:extLst>
            <a:ext uri="{FF2B5EF4-FFF2-40B4-BE49-F238E27FC236}">
              <a16:creationId xmlns:a16="http://schemas.microsoft.com/office/drawing/2014/main" id="{C760D652-AA05-664A-899E-ACA6ED107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6EBDE12-0631-4C47-A8AE-047E52788436}" autoFormatId="16" applyNumberFormats="0" applyBorderFormats="0" applyFontFormats="0" applyPatternFormats="0" applyAlignmentFormats="0" applyWidthHeightFormats="0">
  <queryTableRefresh nextId="37">
    <queryTableFields count="31">
      <queryTableField id="1" name="Sector" tableColumnId="1"/>
      <queryTableField id="2" name="Year" tableColumnId="2"/>
      <queryTableField id="3" name="Month" tableColumnId="3"/>
      <queryTableField id="31" dataBound="0" tableColumnId="31"/>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D2C55A-776F-8942-B2D7-523D9B8DB452}" name="All_India_Index_Upto_April23__1___1" displayName="All_India_Index_Upto_April23__1___1" ref="A1:AE373" tableType="queryTable" totalsRowShown="0">
  <autoFilter ref="A1:AE373" xr:uid="{9FD2C55A-776F-8942-B2D7-523D9B8DB452}"/>
  <tableColumns count="31">
    <tableColumn id="1" xr3:uid="{E7ECDFE6-449D-8B4A-9C37-AC0AC38FD1C5}" uniqueName="1" name="Sector" queryTableFieldId="1" dataDxfId="18"/>
    <tableColumn id="2" xr3:uid="{7B54B768-C29D-6B40-9BC4-FFC13CF0979F}" uniqueName="2" name="Year" queryTableFieldId="2"/>
    <tableColumn id="3" xr3:uid="{57A535D6-E755-A744-8203-3F127D1E8C56}" uniqueName="3" name="Month" queryTableFieldId="3" dataDxfId="17"/>
    <tableColumn id="31" xr3:uid="{81C34028-4D63-4645-A23C-D10972BB0CDC}" uniqueName="31" name="Date" queryTableFieldId="31" dataDxfId="16">
      <calculatedColumnFormula>DATE(All_India_Index_Upto_April23__1___1[[#This Row],[Year]],MATCH(All_India_Index_Upto_April23__1___1[[#This Row],[Month]],{"January","February","March","April","May","June","July","August","September","October","November","December"},0),1)</calculatedColumnFormula>
    </tableColumn>
    <tableColumn id="4" xr3:uid="{DA7BDAD3-D3C1-9F45-9BF7-0038F176F5D0}" uniqueName="4" name="Cereals and products" queryTableFieldId="4" dataDxfId="15"/>
    <tableColumn id="5" xr3:uid="{78A15584-6F67-2F48-BEB2-832E7494D2C0}" uniqueName="5" name="Meat and fish" queryTableFieldId="5" dataDxfId="14"/>
    <tableColumn id="6" xr3:uid="{B36D5E78-31B4-064F-A2E1-2B9D9A459494}" uniqueName="6" name="Egg" queryTableFieldId="6"/>
    <tableColumn id="7" xr3:uid="{F03D0F3D-064E-1044-BC47-8C1358C9F57B}" uniqueName="7" name="Milk and products" queryTableFieldId="7"/>
    <tableColumn id="8" xr3:uid="{2602BD45-973D-CA4C-ADAE-3B82A78A895C}" uniqueName="8" name="Oils and fats" queryTableFieldId="8"/>
    <tableColumn id="9" xr3:uid="{F752137A-EF11-AA4C-BF90-380346FC00A4}" uniqueName="9" name="Fruits" queryTableFieldId="9"/>
    <tableColumn id="10" xr3:uid="{0519C4D8-80AF-A648-9554-03981811CAF1}" uniqueName="10" name="Vegetables" queryTableFieldId="10"/>
    <tableColumn id="11" xr3:uid="{3E70282A-CD00-E64C-BF28-55E1EEFB1653}" uniqueName="11" name="Pulses and products" queryTableFieldId="11"/>
    <tableColumn id="12" xr3:uid="{05EC2BB2-055F-F441-A452-1F847DB26B36}" uniqueName="12" name="Sugar and Confectionery" queryTableFieldId="12"/>
    <tableColumn id="13" xr3:uid="{04C7AD53-95F3-4540-8FDE-A93E87C77AF0}" uniqueName="13" name="Spices" queryTableFieldId="13"/>
    <tableColumn id="14" xr3:uid="{BD6ED2E6-8EE4-EC4B-9B43-7782782013F4}" uniqueName="14" name="Non-alcoholic beverages" queryTableFieldId="14"/>
    <tableColumn id="15" xr3:uid="{B2FF7120-6962-6D47-8692-95462B8AB370}" uniqueName="15" name="Prepared meals, snacks, sweets etc." queryTableFieldId="15"/>
    <tableColumn id="16" xr3:uid="{540F829F-FA11-8D46-BE72-3F0074DE24AF}" uniqueName="16" name="Food and beverages" queryTableFieldId="16" dataDxfId="13"/>
    <tableColumn id="17" xr3:uid="{CF5BCCBB-F842-B545-BBE9-E4B4A09B3A82}" uniqueName="17" name="Pan, tobacco and intoxicants" queryTableFieldId="17" dataDxfId="12"/>
    <tableColumn id="18" xr3:uid="{107C2462-3E5F-8C49-B6A1-9DB92165AE58}" uniqueName="18" name="Clothing" queryTableFieldId="18" dataDxfId="11"/>
    <tableColumn id="19" xr3:uid="{8C6CC56F-9D7D-DF44-BD99-1CD1B39FF641}" uniqueName="19" name="Footwear" queryTableFieldId="19" dataDxfId="10"/>
    <tableColumn id="20" xr3:uid="{B06A1C87-66A3-3944-8A46-4CCA7DD3F54D}" uniqueName="20" name="Clothing and footwear" queryTableFieldId="20" dataDxfId="9"/>
    <tableColumn id="21" xr3:uid="{9E4A2511-0624-F547-BA33-9FFC4EE892C5}" uniqueName="21" name="Housing" queryTableFieldId="21" dataDxfId="8"/>
    <tableColumn id="22" xr3:uid="{86039A85-87A4-854C-95C2-EA2EB1005DB4}" uniqueName="22" name="Fuel and light" queryTableFieldId="22"/>
    <tableColumn id="23" xr3:uid="{A08F0088-A5CA-7941-B7BF-9A976E54E7E9}" uniqueName="23" name="Household goods and services" queryTableFieldId="23" dataDxfId="7"/>
    <tableColumn id="24" xr3:uid="{1B139C12-262F-2246-8506-8FBC8304AB3A}" uniqueName="24" name="Health" queryTableFieldId="24" dataDxfId="6"/>
    <tableColumn id="25" xr3:uid="{144ABCFF-120D-E049-B4DF-B9B4F47EC8D7}" uniqueName="25" name="Transport and communication" queryTableFieldId="25" dataDxfId="5"/>
    <tableColumn id="26" xr3:uid="{B9A2AF56-7A85-6B45-AA43-3C69556025CC}" uniqueName="26" name="Recreation and amusement" queryTableFieldId="26" dataDxfId="4"/>
    <tableColumn id="27" xr3:uid="{A22068A3-418A-4748-9C07-7C44DB9C7348}" uniqueName="27" name="Education" queryTableFieldId="27" dataDxfId="3"/>
    <tableColumn id="28" xr3:uid="{243FE84E-5C73-5A48-A088-CCAC89F187D8}" uniqueName="28" name="Personal care and effects" queryTableFieldId="28" dataDxfId="2"/>
    <tableColumn id="29" xr3:uid="{6D0D9964-6790-D94E-86F5-BC468661FD2C}" uniqueName="29" name="Miscellaneous" queryTableFieldId="29" dataDxfId="1"/>
    <tableColumn id="30" xr3:uid="{3818A88F-9177-0845-9630-A65938319B9B}" uniqueName="30" name="General index" queryTableFieldId="3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3100F-D6C1-E341-B1FA-901FB7900F45}">
  <dimension ref="A1:AE373"/>
  <sheetViews>
    <sheetView topLeftCell="Q1" zoomScale="141" zoomScaleNormal="126" workbookViewId="0">
      <selection activeCell="AG8" sqref="AG8"/>
    </sheetView>
  </sheetViews>
  <sheetFormatPr baseColWidth="10" defaultRowHeight="16" x14ac:dyDescent="0.2"/>
  <cols>
    <col min="1" max="1" width="11.5" bestFit="1" customWidth="1"/>
    <col min="2" max="2" width="7.33203125" bestFit="1" customWidth="1"/>
    <col min="3" max="3" width="10.1640625" bestFit="1" customWidth="1"/>
    <col min="4" max="4" width="10.1640625" customWidth="1"/>
    <col min="5" max="5" width="20.83203125" bestFit="1" customWidth="1"/>
    <col min="6" max="6" width="15" style="2" bestFit="1" customWidth="1"/>
    <col min="7" max="7" width="6.6640625" bestFit="1" customWidth="1"/>
    <col min="8" max="8" width="18.33203125" bestFit="1" customWidth="1"/>
    <col min="9" max="9" width="14" bestFit="1" customWidth="1"/>
    <col min="10" max="10" width="8.33203125" bestFit="1" customWidth="1"/>
    <col min="11" max="11" width="12.83203125" bestFit="1" customWidth="1"/>
    <col min="12" max="12" width="20" bestFit="1" customWidth="1"/>
    <col min="13" max="13" width="24" bestFit="1" customWidth="1"/>
    <col min="14" max="14" width="8.83203125" bestFit="1" customWidth="1"/>
    <col min="15" max="15" width="24.1640625" bestFit="1" customWidth="1"/>
    <col min="16" max="16" width="33.83203125" bestFit="1" customWidth="1"/>
    <col min="17" max="17" width="20.33203125" bestFit="1" customWidth="1"/>
    <col min="18" max="18" width="27.33203125" bestFit="1" customWidth="1"/>
    <col min="19" max="19" width="10.33203125" bestFit="1" customWidth="1"/>
    <col min="20" max="20" width="11.5" bestFit="1" customWidth="1"/>
    <col min="21" max="21" width="22" bestFit="1" customWidth="1"/>
    <col min="22" max="22" width="10.33203125" style="3" bestFit="1" customWidth="1"/>
    <col min="23" max="23" width="14.83203125" style="2" bestFit="1" customWidth="1"/>
    <col min="24" max="24" width="28.6640625" bestFit="1" customWidth="1"/>
    <col min="25" max="25" width="9.1640625" bestFit="1" customWidth="1"/>
    <col min="26" max="26" width="28.5" bestFit="1" customWidth="1"/>
    <col min="27" max="27" width="26.6640625" bestFit="1" customWidth="1"/>
    <col min="28" max="28" width="11.6640625" bestFit="1" customWidth="1"/>
    <col min="29" max="29" width="24.6640625" bestFit="1" customWidth="1"/>
    <col min="30" max="30" width="15.33203125" bestFit="1" customWidth="1"/>
    <col min="31" max="31" width="15.1640625" bestFit="1" customWidth="1"/>
    <col min="34" max="34" width="12.83203125" bestFit="1" customWidth="1"/>
  </cols>
  <sheetData>
    <row r="1" spans="1:31" x14ac:dyDescent="0.2">
      <c r="A1" t="s">
        <v>0</v>
      </c>
      <c r="B1" t="s">
        <v>1</v>
      </c>
      <c r="C1" t="s">
        <v>2</v>
      </c>
      <c r="D1" t="s">
        <v>161</v>
      </c>
      <c r="E1" t="s">
        <v>3</v>
      </c>
      <c r="F1" s="2" t="s">
        <v>4</v>
      </c>
      <c r="G1" t="s">
        <v>5</v>
      </c>
      <c r="H1" t="s">
        <v>6</v>
      </c>
      <c r="I1" t="s">
        <v>7</v>
      </c>
      <c r="J1" t="s">
        <v>8</v>
      </c>
      <c r="K1" t="s">
        <v>9</v>
      </c>
      <c r="L1" t="s">
        <v>10</v>
      </c>
      <c r="M1" t="s">
        <v>11</v>
      </c>
      <c r="N1" t="s">
        <v>12</v>
      </c>
      <c r="O1" t="s">
        <v>13</v>
      </c>
      <c r="P1" t="s">
        <v>14</v>
      </c>
      <c r="Q1" t="s">
        <v>15</v>
      </c>
      <c r="R1" t="s">
        <v>16</v>
      </c>
      <c r="S1" t="s">
        <v>17</v>
      </c>
      <c r="T1" t="s">
        <v>18</v>
      </c>
      <c r="U1" t="s">
        <v>19</v>
      </c>
      <c r="V1" s="3" t="s">
        <v>20</v>
      </c>
      <c r="W1" s="2" t="s">
        <v>21</v>
      </c>
      <c r="X1" t="s">
        <v>22</v>
      </c>
      <c r="Y1" t="s">
        <v>23</v>
      </c>
      <c r="Z1" t="s">
        <v>24</v>
      </c>
      <c r="AA1" t="s">
        <v>25</v>
      </c>
      <c r="AB1" t="s">
        <v>26</v>
      </c>
      <c r="AC1" t="s">
        <v>27</v>
      </c>
      <c r="AD1" t="s">
        <v>28</v>
      </c>
      <c r="AE1" t="s">
        <v>29</v>
      </c>
    </row>
    <row r="2" spans="1:31" x14ac:dyDescent="0.2">
      <c r="A2" t="s">
        <v>30</v>
      </c>
      <c r="B2">
        <v>2013</v>
      </c>
      <c r="C2" t="s">
        <v>31</v>
      </c>
      <c r="D2" s="1">
        <f>DATE(All_India_Index_Upto_April23__1___1[[#This Row],[Year]],MATCH(All_India_Index_Upto_April23__1___1[[#This Row],[Month]],{"January","February","March","April","May","June","July","August","September","October","November","December"},0),1)</f>
        <v>41275</v>
      </c>
      <c r="E2" s="2">
        <v>107.5</v>
      </c>
      <c r="F2" s="2">
        <v>106.3</v>
      </c>
      <c r="G2">
        <v>108.1</v>
      </c>
      <c r="H2">
        <v>104.9</v>
      </c>
      <c r="I2">
        <v>106.1</v>
      </c>
      <c r="J2">
        <v>103.9</v>
      </c>
      <c r="K2">
        <v>101.9</v>
      </c>
      <c r="L2">
        <v>106.1</v>
      </c>
      <c r="M2">
        <v>106.8</v>
      </c>
      <c r="N2">
        <v>103.1</v>
      </c>
      <c r="O2">
        <v>104.8</v>
      </c>
      <c r="P2">
        <v>106.7</v>
      </c>
      <c r="Q2" s="2">
        <v>105.5</v>
      </c>
      <c r="R2" s="2">
        <v>105.1</v>
      </c>
      <c r="S2" s="2">
        <v>106.5</v>
      </c>
      <c r="T2" s="2">
        <v>105.8</v>
      </c>
      <c r="U2" s="3">
        <v>106.4</v>
      </c>
      <c r="V2" s="2"/>
      <c r="W2">
        <v>105.5</v>
      </c>
      <c r="X2" s="2">
        <v>104.8</v>
      </c>
      <c r="Y2" s="2">
        <v>104</v>
      </c>
      <c r="Z2" s="2">
        <v>103.3</v>
      </c>
      <c r="AA2" s="2">
        <v>103.4</v>
      </c>
      <c r="AB2" s="2">
        <v>103.8</v>
      </c>
      <c r="AC2" s="2">
        <v>104.7</v>
      </c>
      <c r="AD2" s="2">
        <v>104</v>
      </c>
      <c r="AE2" s="2">
        <v>105.1</v>
      </c>
    </row>
    <row r="3" spans="1:31" x14ac:dyDescent="0.2">
      <c r="A3" t="s">
        <v>32</v>
      </c>
      <c r="B3">
        <v>2013</v>
      </c>
      <c r="C3" t="s">
        <v>31</v>
      </c>
      <c r="D3" s="1">
        <f>DATE(All_India_Index_Upto_April23__1___1[[#This Row],[Year]],MATCH(All_India_Index_Upto_April23__1___1[[#This Row],[Month]],{"January","February","March","April","May","June","July","August","September","October","November","December"},0),1)</f>
        <v>41275</v>
      </c>
      <c r="E3" s="2">
        <v>110.5</v>
      </c>
      <c r="F3" s="2">
        <v>109.1</v>
      </c>
      <c r="G3">
        <v>113</v>
      </c>
      <c r="H3">
        <v>103.6</v>
      </c>
      <c r="I3">
        <v>103.4</v>
      </c>
      <c r="J3">
        <v>102.3</v>
      </c>
      <c r="K3">
        <v>102.9</v>
      </c>
      <c r="L3">
        <v>105.8</v>
      </c>
      <c r="M3">
        <v>105.1</v>
      </c>
      <c r="N3">
        <v>101.8</v>
      </c>
      <c r="O3">
        <v>105.1</v>
      </c>
      <c r="P3">
        <v>107.9</v>
      </c>
      <c r="Q3" s="2">
        <v>105.9</v>
      </c>
      <c r="R3" s="2">
        <v>105.2</v>
      </c>
      <c r="S3" s="2">
        <v>105.9</v>
      </c>
      <c r="T3" s="2">
        <v>105</v>
      </c>
      <c r="U3" s="3">
        <v>105.8</v>
      </c>
      <c r="V3" s="2" t="s">
        <v>33</v>
      </c>
      <c r="W3" s="2">
        <v>105.4</v>
      </c>
      <c r="X3" s="2">
        <v>104.8</v>
      </c>
      <c r="Y3" s="2">
        <v>104.1</v>
      </c>
      <c r="Z3" s="2">
        <v>103.2</v>
      </c>
      <c r="AA3" s="2">
        <v>102.9</v>
      </c>
      <c r="AB3" s="2">
        <v>103.5</v>
      </c>
      <c r="AC3" s="2">
        <v>104.3</v>
      </c>
      <c r="AD3" s="2">
        <v>103.7</v>
      </c>
      <c r="AE3" s="2">
        <v>104</v>
      </c>
    </row>
    <row r="4" spans="1:31" x14ac:dyDescent="0.2">
      <c r="A4" t="s">
        <v>30</v>
      </c>
      <c r="B4">
        <v>2013</v>
      </c>
      <c r="C4" t="s">
        <v>35</v>
      </c>
      <c r="D4" s="1">
        <f>DATE(All_India_Index_Upto_April23__1___1[[#This Row],[Year]],MATCH(All_India_Index_Upto_April23__1___1[[#This Row],[Month]],{"January","February","March","April","May","June","July","August","September","October","November","December"},0),1)</f>
        <v>41306</v>
      </c>
      <c r="E4" s="2">
        <v>109.2</v>
      </c>
      <c r="F4" s="2">
        <v>108.7</v>
      </c>
      <c r="G4">
        <v>110.2</v>
      </c>
      <c r="H4">
        <v>105.4</v>
      </c>
      <c r="I4">
        <v>106.7</v>
      </c>
      <c r="J4">
        <v>104</v>
      </c>
      <c r="K4">
        <v>102.4</v>
      </c>
      <c r="L4">
        <v>105.9</v>
      </c>
      <c r="M4">
        <v>105.7</v>
      </c>
      <c r="N4">
        <v>103.1</v>
      </c>
      <c r="O4">
        <v>105.1</v>
      </c>
      <c r="P4">
        <v>107.7</v>
      </c>
      <c r="Q4" s="2">
        <v>106.3</v>
      </c>
      <c r="R4" s="2">
        <v>105.6</v>
      </c>
      <c r="S4" s="2">
        <v>107.1</v>
      </c>
      <c r="T4" s="2">
        <v>106.3</v>
      </c>
      <c r="U4" s="3">
        <v>107</v>
      </c>
      <c r="V4" s="2"/>
      <c r="W4">
        <v>106.2</v>
      </c>
      <c r="X4" s="2">
        <v>105.2</v>
      </c>
      <c r="Y4" s="2">
        <v>104.4</v>
      </c>
      <c r="Z4" s="2">
        <v>103.9</v>
      </c>
      <c r="AA4" s="2">
        <v>104</v>
      </c>
      <c r="AB4" s="2">
        <v>104.1</v>
      </c>
      <c r="AC4" s="2">
        <v>104.6</v>
      </c>
      <c r="AD4" s="2">
        <v>104.4</v>
      </c>
      <c r="AE4" s="2">
        <v>105.8</v>
      </c>
    </row>
    <row r="5" spans="1:31" x14ac:dyDescent="0.2">
      <c r="A5" t="s">
        <v>32</v>
      </c>
      <c r="B5">
        <v>2013</v>
      </c>
      <c r="C5" t="s">
        <v>35</v>
      </c>
      <c r="D5" s="1">
        <f>DATE(All_India_Index_Upto_April23__1___1[[#This Row],[Year]],MATCH(All_India_Index_Upto_April23__1___1[[#This Row],[Month]],{"January","February","March","April","May","June","July","August","September","October","November","December"},0),1)</f>
        <v>41306</v>
      </c>
      <c r="E5" s="2">
        <v>112.9</v>
      </c>
      <c r="F5" s="2">
        <v>112.9</v>
      </c>
      <c r="G5">
        <v>116.9</v>
      </c>
      <c r="H5">
        <v>104</v>
      </c>
      <c r="I5">
        <v>103.5</v>
      </c>
      <c r="J5">
        <v>103.1</v>
      </c>
      <c r="K5">
        <v>104.9</v>
      </c>
      <c r="L5">
        <v>104.1</v>
      </c>
      <c r="M5">
        <v>103.8</v>
      </c>
      <c r="N5">
        <v>102.3</v>
      </c>
      <c r="O5">
        <v>106</v>
      </c>
      <c r="P5">
        <v>109</v>
      </c>
      <c r="Q5" s="2">
        <v>107.2</v>
      </c>
      <c r="R5" s="2">
        <v>106</v>
      </c>
      <c r="S5" s="2">
        <v>106.6</v>
      </c>
      <c r="T5" s="2">
        <v>105.5</v>
      </c>
      <c r="U5" s="3">
        <v>106.4</v>
      </c>
      <c r="V5" s="2" t="s">
        <v>36</v>
      </c>
      <c r="W5" s="2">
        <v>105.7</v>
      </c>
      <c r="X5" s="2">
        <v>105.2</v>
      </c>
      <c r="Y5" s="2">
        <v>104.7</v>
      </c>
      <c r="Z5" s="2">
        <v>104.4</v>
      </c>
      <c r="AA5" s="2">
        <v>103.3</v>
      </c>
      <c r="AB5" s="2">
        <v>103.7</v>
      </c>
      <c r="AC5" s="2">
        <v>104.3</v>
      </c>
      <c r="AD5" s="2">
        <v>104.3</v>
      </c>
      <c r="AE5" s="2">
        <v>104.7</v>
      </c>
    </row>
    <row r="6" spans="1:31" x14ac:dyDescent="0.2">
      <c r="A6" t="s">
        <v>30</v>
      </c>
      <c r="B6">
        <v>2013</v>
      </c>
      <c r="C6" t="s">
        <v>37</v>
      </c>
      <c r="D6" s="1">
        <f>DATE(All_India_Index_Upto_April23__1___1[[#This Row],[Year]],MATCH(All_India_Index_Upto_April23__1___1[[#This Row],[Month]],{"January","February","March","April","May","June","July","August","September","October","November","December"},0),1)</f>
        <v>41334</v>
      </c>
      <c r="E6" s="2">
        <v>110.2</v>
      </c>
      <c r="F6" s="2">
        <v>108.8</v>
      </c>
      <c r="G6">
        <v>109.9</v>
      </c>
      <c r="H6">
        <v>105.6</v>
      </c>
      <c r="I6">
        <v>106.2</v>
      </c>
      <c r="J6">
        <v>105.7</v>
      </c>
      <c r="K6">
        <v>101.4</v>
      </c>
      <c r="L6">
        <v>105.7</v>
      </c>
      <c r="M6">
        <v>105</v>
      </c>
      <c r="N6">
        <v>103.3</v>
      </c>
      <c r="O6">
        <v>105.6</v>
      </c>
      <c r="P6">
        <v>108.2</v>
      </c>
      <c r="Q6" s="2">
        <v>106.6</v>
      </c>
      <c r="R6" s="2">
        <v>106.5</v>
      </c>
      <c r="S6" s="2">
        <v>107.6</v>
      </c>
      <c r="T6" s="2">
        <v>106.8</v>
      </c>
      <c r="U6" s="3">
        <v>107.5</v>
      </c>
      <c r="V6" s="2"/>
      <c r="W6">
        <v>106.1</v>
      </c>
      <c r="X6" s="2">
        <v>105.6</v>
      </c>
      <c r="Y6" s="2">
        <v>104.7</v>
      </c>
      <c r="Z6" s="2">
        <v>104.6</v>
      </c>
      <c r="AA6" s="2">
        <v>104</v>
      </c>
      <c r="AB6" s="2">
        <v>104.3</v>
      </c>
      <c r="AC6" s="2">
        <v>104.3</v>
      </c>
      <c r="AD6" s="2">
        <v>104.6</v>
      </c>
      <c r="AE6" s="2">
        <v>106</v>
      </c>
    </row>
    <row r="7" spans="1:31" x14ac:dyDescent="0.2">
      <c r="A7" t="s">
        <v>32</v>
      </c>
      <c r="B7">
        <v>2013</v>
      </c>
      <c r="C7" t="s">
        <v>37</v>
      </c>
      <c r="D7" s="1">
        <f>DATE(All_India_Index_Upto_April23__1___1[[#This Row],[Year]],MATCH(All_India_Index_Upto_April23__1___1[[#This Row],[Month]],{"January","February","March","April","May","June","July","August","September","October","November","December"},0),1)</f>
        <v>41334</v>
      </c>
      <c r="E7" s="2">
        <v>113.9</v>
      </c>
      <c r="F7" s="2">
        <v>111.4</v>
      </c>
      <c r="G7">
        <v>113.2</v>
      </c>
      <c r="H7">
        <v>104.3</v>
      </c>
      <c r="I7">
        <v>102.7</v>
      </c>
      <c r="J7">
        <v>104.9</v>
      </c>
      <c r="K7">
        <v>103.8</v>
      </c>
      <c r="L7">
        <v>103.5</v>
      </c>
      <c r="M7">
        <v>102.6</v>
      </c>
      <c r="N7">
        <v>102.4</v>
      </c>
      <c r="O7">
        <v>107</v>
      </c>
      <c r="P7">
        <v>109.8</v>
      </c>
      <c r="Q7" s="2">
        <v>107.3</v>
      </c>
      <c r="R7" s="2">
        <v>106.8</v>
      </c>
      <c r="S7" s="2">
        <v>107.2</v>
      </c>
      <c r="T7" s="2">
        <v>106</v>
      </c>
      <c r="U7" s="3">
        <v>107</v>
      </c>
      <c r="V7" s="2" t="s">
        <v>36</v>
      </c>
      <c r="W7" s="2">
        <v>106</v>
      </c>
      <c r="X7" s="2">
        <v>105.7</v>
      </c>
      <c r="Y7" s="2">
        <v>105.2</v>
      </c>
      <c r="Z7" s="2">
        <v>105.5</v>
      </c>
      <c r="AA7" s="2">
        <v>103.5</v>
      </c>
      <c r="AB7" s="2">
        <v>103.8</v>
      </c>
      <c r="AC7" s="2">
        <v>104.2</v>
      </c>
      <c r="AD7" s="2">
        <v>104.9</v>
      </c>
      <c r="AE7" s="2">
        <v>105</v>
      </c>
    </row>
    <row r="8" spans="1:31" x14ac:dyDescent="0.2">
      <c r="A8" t="s">
        <v>30</v>
      </c>
      <c r="B8">
        <v>2013</v>
      </c>
      <c r="C8" t="s">
        <v>38</v>
      </c>
      <c r="D8" s="1">
        <f>DATE(All_India_Index_Upto_April23__1___1[[#This Row],[Year]],MATCH(All_India_Index_Upto_April23__1___1[[#This Row],[Month]],{"January","February","March","April","May","June","July","August","September","October","November","December"},0),1)</f>
        <v>41365</v>
      </c>
      <c r="E8" s="2">
        <v>110.2</v>
      </c>
      <c r="F8" s="2">
        <v>109.5</v>
      </c>
      <c r="G8">
        <v>106.9</v>
      </c>
      <c r="H8">
        <v>106.3</v>
      </c>
      <c r="I8">
        <v>105.7</v>
      </c>
      <c r="J8">
        <v>108.3</v>
      </c>
      <c r="K8">
        <v>103.4</v>
      </c>
      <c r="L8">
        <v>105.7</v>
      </c>
      <c r="M8">
        <v>104.2</v>
      </c>
      <c r="N8">
        <v>103.2</v>
      </c>
      <c r="O8">
        <v>106.5</v>
      </c>
      <c r="P8">
        <v>108.8</v>
      </c>
      <c r="Q8" s="2">
        <v>107.1</v>
      </c>
      <c r="R8" s="2">
        <v>107.1</v>
      </c>
      <c r="S8" s="2">
        <v>108.1</v>
      </c>
      <c r="T8" s="2">
        <v>107.4</v>
      </c>
      <c r="U8" s="3">
        <v>108</v>
      </c>
      <c r="V8" s="2"/>
      <c r="W8">
        <v>106.5</v>
      </c>
      <c r="X8" s="2">
        <v>106.1</v>
      </c>
      <c r="Y8" s="2">
        <v>105.1</v>
      </c>
      <c r="Z8" s="2">
        <v>104.4</v>
      </c>
      <c r="AA8" s="2">
        <v>104.5</v>
      </c>
      <c r="AB8" s="2">
        <v>104.8</v>
      </c>
      <c r="AC8" s="2">
        <v>102.7</v>
      </c>
      <c r="AD8" s="2">
        <v>104.6</v>
      </c>
      <c r="AE8" s="2">
        <v>106.4</v>
      </c>
    </row>
    <row r="9" spans="1:31" x14ac:dyDescent="0.2">
      <c r="A9" t="s">
        <v>32</v>
      </c>
      <c r="B9">
        <v>2013</v>
      </c>
      <c r="C9" t="s">
        <v>38</v>
      </c>
      <c r="D9" s="1">
        <f>DATE(All_India_Index_Upto_April23__1___1[[#This Row],[Year]],MATCH(All_India_Index_Upto_April23__1___1[[#This Row],[Month]],{"January","February","March","April","May","June","July","August","September","October","November","December"},0),1)</f>
        <v>41365</v>
      </c>
      <c r="E9" s="2">
        <v>114.6</v>
      </c>
      <c r="F9" s="2">
        <v>113.4</v>
      </c>
      <c r="G9">
        <v>106</v>
      </c>
      <c r="H9">
        <v>104.7</v>
      </c>
      <c r="I9">
        <v>102.1</v>
      </c>
      <c r="J9">
        <v>109.5</v>
      </c>
      <c r="K9">
        <v>109.7</v>
      </c>
      <c r="L9">
        <v>104.6</v>
      </c>
      <c r="M9">
        <v>102</v>
      </c>
      <c r="N9">
        <v>103.5</v>
      </c>
      <c r="O9">
        <v>108.2</v>
      </c>
      <c r="P9">
        <v>110.6</v>
      </c>
      <c r="Q9" s="2">
        <v>108.8</v>
      </c>
      <c r="R9" s="2">
        <v>108.5</v>
      </c>
      <c r="S9" s="2">
        <v>107.9</v>
      </c>
      <c r="T9" s="2">
        <v>106.4</v>
      </c>
      <c r="U9" s="3">
        <v>107.7</v>
      </c>
      <c r="V9" s="2" t="s">
        <v>39</v>
      </c>
      <c r="W9" s="2">
        <v>106.4</v>
      </c>
      <c r="X9" s="2">
        <v>106.5</v>
      </c>
      <c r="Y9" s="2">
        <v>105.7</v>
      </c>
      <c r="Z9" s="2">
        <v>105</v>
      </c>
      <c r="AA9" s="2">
        <v>104</v>
      </c>
      <c r="AB9" s="2">
        <v>105.2</v>
      </c>
      <c r="AC9" s="2">
        <v>103.2</v>
      </c>
      <c r="AD9" s="2">
        <v>105.1</v>
      </c>
      <c r="AE9" s="2">
        <v>105.7</v>
      </c>
    </row>
    <row r="10" spans="1:31" x14ac:dyDescent="0.2">
      <c r="A10" t="s">
        <v>30</v>
      </c>
      <c r="B10">
        <v>2013</v>
      </c>
      <c r="C10" t="s">
        <v>40</v>
      </c>
      <c r="D10" s="1">
        <f>DATE(All_India_Index_Upto_April23__1___1[[#This Row],[Year]],MATCH(All_India_Index_Upto_April23__1___1[[#This Row],[Month]],{"January","February","March","April","May","June","July","August","September","October","November","December"},0),1)</f>
        <v>41395</v>
      </c>
      <c r="E10" s="2">
        <v>110.9</v>
      </c>
      <c r="F10" s="2">
        <v>109.8</v>
      </c>
      <c r="G10">
        <v>105.9</v>
      </c>
      <c r="H10">
        <v>107.5</v>
      </c>
      <c r="I10">
        <v>105.3</v>
      </c>
      <c r="J10">
        <v>108.1</v>
      </c>
      <c r="K10">
        <v>107.3</v>
      </c>
      <c r="L10">
        <v>106.1</v>
      </c>
      <c r="M10">
        <v>103.7</v>
      </c>
      <c r="N10">
        <v>104</v>
      </c>
      <c r="O10">
        <v>107.4</v>
      </c>
      <c r="P10">
        <v>109.9</v>
      </c>
      <c r="Q10" s="2">
        <v>108.1</v>
      </c>
      <c r="R10" s="2">
        <v>108.1</v>
      </c>
      <c r="S10" s="2">
        <v>108.8</v>
      </c>
      <c r="T10" s="2">
        <v>107.9</v>
      </c>
      <c r="U10" s="3">
        <v>108.6</v>
      </c>
      <c r="V10" s="2"/>
      <c r="W10">
        <v>107.5</v>
      </c>
      <c r="X10" s="2">
        <v>106.8</v>
      </c>
      <c r="Y10" s="2">
        <v>105.7</v>
      </c>
      <c r="Z10" s="2">
        <v>104.1</v>
      </c>
      <c r="AA10" s="2">
        <v>105</v>
      </c>
      <c r="AB10" s="2">
        <v>105.5</v>
      </c>
      <c r="AC10" s="2">
        <v>102.1</v>
      </c>
      <c r="AD10" s="2">
        <v>104.8</v>
      </c>
      <c r="AE10" s="2">
        <v>107.2</v>
      </c>
    </row>
    <row r="11" spans="1:31" x14ac:dyDescent="0.2">
      <c r="A11" t="s">
        <v>32</v>
      </c>
      <c r="B11">
        <v>2013</v>
      </c>
      <c r="C11" t="s">
        <v>40</v>
      </c>
      <c r="D11" s="1">
        <f>DATE(All_India_Index_Upto_April23__1___1[[#This Row],[Year]],MATCH(All_India_Index_Upto_April23__1___1[[#This Row],[Month]],{"January","February","March","April","May","June","July","August","September","October","November","December"},0),1)</f>
        <v>41395</v>
      </c>
      <c r="E11" s="2">
        <v>115.4</v>
      </c>
      <c r="F11" s="2">
        <v>114.2</v>
      </c>
      <c r="G11">
        <v>102.7</v>
      </c>
      <c r="H11">
        <v>105.5</v>
      </c>
      <c r="I11">
        <v>101.5</v>
      </c>
      <c r="J11">
        <v>110.6</v>
      </c>
      <c r="K11">
        <v>123.7</v>
      </c>
      <c r="L11">
        <v>105.2</v>
      </c>
      <c r="M11">
        <v>101.9</v>
      </c>
      <c r="N11">
        <v>105</v>
      </c>
      <c r="O11">
        <v>109.1</v>
      </c>
      <c r="P11">
        <v>111.3</v>
      </c>
      <c r="Q11" s="2">
        <v>111.1</v>
      </c>
      <c r="R11" s="2">
        <v>109.8</v>
      </c>
      <c r="S11" s="2">
        <v>108.5</v>
      </c>
      <c r="T11" s="2">
        <v>106.7</v>
      </c>
      <c r="U11" s="3">
        <v>108.3</v>
      </c>
      <c r="V11" s="2" t="s">
        <v>39</v>
      </c>
      <c r="W11" s="2">
        <v>107.2</v>
      </c>
      <c r="X11" s="2">
        <v>107.1</v>
      </c>
      <c r="Y11" s="2">
        <v>106.2</v>
      </c>
      <c r="Z11" s="2">
        <v>103.9</v>
      </c>
      <c r="AA11" s="2">
        <v>104.6</v>
      </c>
      <c r="AB11" s="2">
        <v>105.7</v>
      </c>
      <c r="AC11" s="2">
        <v>102.6</v>
      </c>
      <c r="AD11" s="2">
        <v>104.9</v>
      </c>
      <c r="AE11" s="2">
        <v>106.6</v>
      </c>
    </row>
    <row r="12" spans="1:31" x14ac:dyDescent="0.2">
      <c r="A12" t="s">
        <v>30</v>
      </c>
      <c r="B12">
        <v>2013</v>
      </c>
      <c r="C12" t="s">
        <v>41</v>
      </c>
      <c r="D12" s="1">
        <f>DATE(All_India_Index_Upto_April23__1___1[[#This Row],[Year]],MATCH(All_India_Index_Upto_April23__1___1[[#This Row],[Month]],{"January","February","March","April","May","June","July","August","September","October","November","December"},0),1)</f>
        <v>41426</v>
      </c>
      <c r="E12" s="2">
        <v>112.3</v>
      </c>
      <c r="F12" s="2">
        <v>112.1</v>
      </c>
      <c r="G12">
        <v>108.1</v>
      </c>
      <c r="H12">
        <v>108.3</v>
      </c>
      <c r="I12">
        <v>105.9</v>
      </c>
      <c r="J12">
        <v>109.2</v>
      </c>
      <c r="K12">
        <v>118</v>
      </c>
      <c r="L12">
        <v>106.8</v>
      </c>
      <c r="M12">
        <v>104.1</v>
      </c>
      <c r="N12">
        <v>105.4</v>
      </c>
      <c r="O12">
        <v>108.2</v>
      </c>
      <c r="P12">
        <v>111</v>
      </c>
      <c r="Q12" s="2">
        <v>110.6</v>
      </c>
      <c r="R12" s="2">
        <v>109</v>
      </c>
      <c r="S12" s="2">
        <v>109.7</v>
      </c>
      <c r="T12" s="2">
        <v>108.8</v>
      </c>
      <c r="U12" s="3">
        <v>109.5</v>
      </c>
      <c r="V12" s="2"/>
      <c r="W12">
        <v>108.5</v>
      </c>
      <c r="X12" s="2">
        <v>107.5</v>
      </c>
      <c r="Y12" s="2">
        <v>106.3</v>
      </c>
      <c r="Z12" s="2">
        <v>105</v>
      </c>
      <c r="AA12" s="2">
        <v>105.6</v>
      </c>
      <c r="AB12" s="2">
        <v>106.5</v>
      </c>
      <c r="AC12" s="2">
        <v>102.5</v>
      </c>
      <c r="AD12" s="2">
        <v>105.5</v>
      </c>
      <c r="AE12" s="2">
        <v>108.9</v>
      </c>
    </row>
    <row r="13" spans="1:31" x14ac:dyDescent="0.2">
      <c r="A13" t="s">
        <v>32</v>
      </c>
      <c r="B13">
        <v>2013</v>
      </c>
      <c r="C13" t="s">
        <v>41</v>
      </c>
      <c r="D13" s="1">
        <f>DATE(All_India_Index_Upto_April23__1___1[[#This Row],[Year]],MATCH(All_India_Index_Upto_April23__1___1[[#This Row],[Month]],{"January","February","March","April","May","June","July","August","September","October","November","December"},0),1)</f>
        <v>41426</v>
      </c>
      <c r="E13" s="2">
        <v>117</v>
      </c>
      <c r="F13" s="2">
        <v>120.1</v>
      </c>
      <c r="G13">
        <v>112.5</v>
      </c>
      <c r="H13">
        <v>107.3</v>
      </c>
      <c r="I13">
        <v>101.3</v>
      </c>
      <c r="J13">
        <v>112.4</v>
      </c>
      <c r="K13">
        <v>143.6</v>
      </c>
      <c r="L13">
        <v>105.4</v>
      </c>
      <c r="M13">
        <v>101.4</v>
      </c>
      <c r="N13">
        <v>106.4</v>
      </c>
      <c r="O13">
        <v>110</v>
      </c>
      <c r="P13">
        <v>112.2</v>
      </c>
      <c r="Q13" s="2">
        <v>115</v>
      </c>
      <c r="R13" s="2">
        <v>110.9</v>
      </c>
      <c r="S13" s="2">
        <v>109.2</v>
      </c>
      <c r="T13" s="2">
        <v>107.2</v>
      </c>
      <c r="U13" s="3">
        <v>108.9</v>
      </c>
      <c r="V13" s="2" t="s">
        <v>42</v>
      </c>
      <c r="W13" s="2">
        <v>108</v>
      </c>
      <c r="X13" s="2">
        <v>107.7</v>
      </c>
      <c r="Y13" s="2">
        <v>106.5</v>
      </c>
      <c r="Z13" s="2">
        <v>105.2</v>
      </c>
      <c r="AA13" s="2">
        <v>105.2</v>
      </c>
      <c r="AB13" s="2">
        <v>108.1</v>
      </c>
      <c r="AC13" s="2">
        <v>103.3</v>
      </c>
      <c r="AD13" s="2">
        <v>106.1</v>
      </c>
      <c r="AE13" s="2">
        <v>109.7</v>
      </c>
    </row>
    <row r="14" spans="1:31" x14ac:dyDescent="0.2">
      <c r="A14" t="s">
        <v>30</v>
      </c>
      <c r="B14">
        <v>2013</v>
      </c>
      <c r="C14" t="s">
        <v>43</v>
      </c>
      <c r="D14" s="1">
        <f>DATE(All_India_Index_Upto_April23__1___1[[#This Row],[Year]],MATCH(All_India_Index_Upto_April23__1___1[[#This Row],[Month]],{"January","February","March","April","May","June","July","August","September","October","November","December"},0),1)</f>
        <v>41456</v>
      </c>
      <c r="E14" s="2">
        <v>113.4</v>
      </c>
      <c r="F14" s="2">
        <v>114.9</v>
      </c>
      <c r="G14">
        <v>110.5</v>
      </c>
      <c r="H14">
        <v>109.3</v>
      </c>
      <c r="I14">
        <v>106.2</v>
      </c>
      <c r="J14">
        <v>110.3</v>
      </c>
      <c r="K14">
        <v>129.19999999999999</v>
      </c>
      <c r="L14">
        <v>107.1</v>
      </c>
      <c r="M14">
        <v>104.3</v>
      </c>
      <c r="N14">
        <v>106.4</v>
      </c>
      <c r="O14">
        <v>109.1</v>
      </c>
      <c r="P14">
        <v>112.1</v>
      </c>
      <c r="Q14" s="2">
        <v>113.1</v>
      </c>
      <c r="R14" s="2">
        <v>109.8</v>
      </c>
      <c r="S14" s="2">
        <v>110.5</v>
      </c>
      <c r="T14" s="2">
        <v>109.5</v>
      </c>
      <c r="U14" s="3">
        <v>110.3</v>
      </c>
      <c r="V14" s="2"/>
      <c r="W14">
        <v>109.5</v>
      </c>
      <c r="X14" s="2">
        <v>108.3</v>
      </c>
      <c r="Y14" s="2">
        <v>106.9</v>
      </c>
      <c r="Z14" s="2">
        <v>106.8</v>
      </c>
      <c r="AA14" s="2">
        <v>106.4</v>
      </c>
      <c r="AB14" s="2">
        <v>107.8</v>
      </c>
      <c r="AC14" s="2">
        <v>102.5</v>
      </c>
      <c r="AD14" s="2">
        <v>106.5</v>
      </c>
      <c r="AE14" s="2">
        <v>110.7</v>
      </c>
    </row>
    <row r="15" spans="1:31" x14ac:dyDescent="0.2">
      <c r="A15" t="s">
        <v>32</v>
      </c>
      <c r="B15">
        <v>2013</v>
      </c>
      <c r="C15" t="s">
        <v>43</v>
      </c>
      <c r="D15" s="1">
        <f>DATE(All_India_Index_Upto_April23__1___1[[#This Row],[Year]],MATCH(All_India_Index_Upto_April23__1___1[[#This Row],[Month]],{"January","February","March","April","May","June","July","August","September","October","November","December"},0),1)</f>
        <v>41456</v>
      </c>
      <c r="E15" s="2">
        <v>117.8</v>
      </c>
      <c r="F15" s="2">
        <v>119.2</v>
      </c>
      <c r="G15">
        <v>114</v>
      </c>
      <c r="H15">
        <v>108.3</v>
      </c>
      <c r="I15">
        <v>101.1</v>
      </c>
      <c r="J15">
        <v>113.2</v>
      </c>
      <c r="K15">
        <v>160.9</v>
      </c>
      <c r="L15">
        <v>105.1</v>
      </c>
      <c r="M15">
        <v>101.3</v>
      </c>
      <c r="N15">
        <v>107.5</v>
      </c>
      <c r="O15">
        <v>110.4</v>
      </c>
      <c r="P15">
        <v>113.1</v>
      </c>
      <c r="Q15" s="2">
        <v>117.5</v>
      </c>
      <c r="R15" s="2">
        <v>111.7</v>
      </c>
      <c r="S15" s="2">
        <v>109.8</v>
      </c>
      <c r="T15" s="2">
        <v>107.8</v>
      </c>
      <c r="U15" s="3">
        <v>109.5</v>
      </c>
      <c r="V15" s="2" t="s">
        <v>44</v>
      </c>
      <c r="W15" s="2">
        <v>108.6</v>
      </c>
      <c r="X15" s="2">
        <v>108.1</v>
      </c>
      <c r="Y15" s="2">
        <v>107.1</v>
      </c>
      <c r="Z15" s="2">
        <v>107.3</v>
      </c>
      <c r="AA15" s="2">
        <v>105.9</v>
      </c>
      <c r="AB15" s="2">
        <v>110.1</v>
      </c>
      <c r="AC15" s="2">
        <v>103.2</v>
      </c>
      <c r="AD15" s="2">
        <v>107.3</v>
      </c>
      <c r="AE15" s="2">
        <v>111.4</v>
      </c>
    </row>
    <row r="16" spans="1:31" x14ac:dyDescent="0.2">
      <c r="A16" t="s">
        <v>30</v>
      </c>
      <c r="B16">
        <v>2013</v>
      </c>
      <c r="C16" t="s">
        <v>45</v>
      </c>
      <c r="D16" s="1">
        <f>DATE(All_India_Index_Upto_April23__1___1[[#This Row],[Year]],MATCH(All_India_Index_Upto_April23__1___1[[#This Row],[Month]],{"January","February","March","April","May","June","July","August","September","October","November","December"},0),1)</f>
        <v>41487</v>
      </c>
      <c r="E16" s="2">
        <v>114.3</v>
      </c>
      <c r="F16" s="2">
        <v>115.4</v>
      </c>
      <c r="G16">
        <v>111.1</v>
      </c>
      <c r="H16">
        <v>110</v>
      </c>
      <c r="I16">
        <v>106.4</v>
      </c>
      <c r="J16">
        <v>110.8</v>
      </c>
      <c r="K16">
        <v>138.9</v>
      </c>
      <c r="L16">
        <v>107.4</v>
      </c>
      <c r="M16">
        <v>104.1</v>
      </c>
      <c r="N16">
        <v>106.9</v>
      </c>
      <c r="O16">
        <v>109.7</v>
      </c>
      <c r="P16">
        <v>112.6</v>
      </c>
      <c r="Q16" s="2">
        <v>114.9</v>
      </c>
      <c r="R16" s="2">
        <v>110.7</v>
      </c>
      <c r="S16" s="2">
        <v>111.3</v>
      </c>
      <c r="T16" s="2">
        <v>110.2</v>
      </c>
      <c r="U16" s="3">
        <v>111.1</v>
      </c>
      <c r="V16" s="2"/>
      <c r="W16">
        <v>109.9</v>
      </c>
      <c r="X16" s="2">
        <v>108.7</v>
      </c>
      <c r="Y16" s="2">
        <v>107.5</v>
      </c>
      <c r="Z16" s="2">
        <v>107.8</v>
      </c>
      <c r="AA16" s="2">
        <v>106.8</v>
      </c>
      <c r="AB16" s="2">
        <v>108.7</v>
      </c>
      <c r="AC16" s="2">
        <v>105</v>
      </c>
      <c r="AD16" s="2">
        <v>107.5</v>
      </c>
      <c r="AE16" s="2">
        <v>112.1</v>
      </c>
    </row>
    <row r="17" spans="1:31" x14ac:dyDescent="0.2">
      <c r="A17" t="s">
        <v>32</v>
      </c>
      <c r="B17">
        <v>2013</v>
      </c>
      <c r="C17" t="s">
        <v>45</v>
      </c>
      <c r="D17" s="1">
        <f>DATE(All_India_Index_Upto_April23__1___1[[#This Row],[Year]],MATCH(All_India_Index_Upto_April23__1___1[[#This Row],[Month]],{"January","February","March","April","May","June","July","August","September","October","November","December"},0),1)</f>
        <v>41487</v>
      </c>
      <c r="E17" s="2">
        <v>118.3</v>
      </c>
      <c r="F17" s="2">
        <v>120.4</v>
      </c>
      <c r="G17">
        <v>112.7</v>
      </c>
      <c r="H17">
        <v>108.9</v>
      </c>
      <c r="I17">
        <v>101.1</v>
      </c>
      <c r="J17">
        <v>108.7</v>
      </c>
      <c r="K17">
        <v>177</v>
      </c>
      <c r="L17">
        <v>104.7</v>
      </c>
      <c r="M17">
        <v>101</v>
      </c>
      <c r="N17">
        <v>108.5</v>
      </c>
      <c r="O17">
        <v>110.9</v>
      </c>
      <c r="P17">
        <v>114.3</v>
      </c>
      <c r="Q17" s="2">
        <v>119.6</v>
      </c>
      <c r="R17" s="2">
        <v>112.4</v>
      </c>
      <c r="S17" s="2">
        <v>110.6</v>
      </c>
      <c r="T17" s="2">
        <v>108.3</v>
      </c>
      <c r="U17" s="3">
        <v>110.2</v>
      </c>
      <c r="V17" s="2" t="s">
        <v>46</v>
      </c>
      <c r="W17" s="2">
        <v>109.3</v>
      </c>
      <c r="X17" s="2">
        <v>108.7</v>
      </c>
      <c r="Y17" s="2">
        <v>107.6</v>
      </c>
      <c r="Z17" s="2">
        <v>108.1</v>
      </c>
      <c r="AA17" s="2">
        <v>106.5</v>
      </c>
      <c r="AB17" s="2">
        <v>110.8</v>
      </c>
      <c r="AC17" s="2">
        <v>106</v>
      </c>
      <c r="AD17" s="2">
        <v>108.3</v>
      </c>
      <c r="AE17" s="2">
        <v>112.7</v>
      </c>
    </row>
    <row r="18" spans="1:31" x14ac:dyDescent="0.2">
      <c r="A18" t="s">
        <v>30</v>
      </c>
      <c r="B18">
        <v>2013</v>
      </c>
      <c r="C18" t="s">
        <v>47</v>
      </c>
      <c r="D18" s="1">
        <f>DATE(All_India_Index_Upto_April23__1___1[[#This Row],[Year]],MATCH(All_India_Index_Upto_April23__1___1[[#This Row],[Month]],{"January","February","March","April","May","June","July","August","September","October","November","December"},0),1)</f>
        <v>41518</v>
      </c>
      <c r="E18" s="2">
        <v>115.4</v>
      </c>
      <c r="F18" s="2">
        <v>115.7</v>
      </c>
      <c r="G18">
        <v>111.7</v>
      </c>
      <c r="H18">
        <v>111</v>
      </c>
      <c r="I18">
        <v>107.4</v>
      </c>
      <c r="J18">
        <v>110.9</v>
      </c>
      <c r="K18">
        <v>154</v>
      </c>
      <c r="L18">
        <v>108.1</v>
      </c>
      <c r="M18">
        <v>104.2</v>
      </c>
      <c r="N18">
        <v>107.9</v>
      </c>
      <c r="O18">
        <v>110.4</v>
      </c>
      <c r="P18">
        <v>114</v>
      </c>
      <c r="Q18" s="2">
        <v>117.8</v>
      </c>
      <c r="R18" s="2">
        <v>111.7</v>
      </c>
      <c r="S18" s="2">
        <v>112.7</v>
      </c>
      <c r="T18" s="2">
        <v>111.4</v>
      </c>
      <c r="U18" s="3">
        <v>112.5</v>
      </c>
      <c r="V18" s="2"/>
      <c r="W18">
        <v>111.1</v>
      </c>
      <c r="X18" s="2">
        <v>109.6</v>
      </c>
      <c r="Y18" s="2">
        <v>108.3</v>
      </c>
      <c r="Z18" s="2">
        <v>109.3</v>
      </c>
      <c r="AA18" s="2">
        <v>107.7</v>
      </c>
      <c r="AB18" s="2">
        <v>109.8</v>
      </c>
      <c r="AC18" s="2">
        <v>106.7</v>
      </c>
      <c r="AD18" s="2">
        <v>108.7</v>
      </c>
      <c r="AE18" s="2">
        <v>114.2</v>
      </c>
    </row>
    <row r="19" spans="1:31" x14ac:dyDescent="0.2">
      <c r="A19" t="s">
        <v>32</v>
      </c>
      <c r="B19">
        <v>2013</v>
      </c>
      <c r="C19" t="s">
        <v>47</v>
      </c>
      <c r="D19" s="1">
        <f>DATE(All_India_Index_Upto_April23__1___1[[#This Row],[Year]],MATCH(All_India_Index_Upto_April23__1___1[[#This Row],[Month]],{"January","February","March","April","May","June","July","August","September","October","November","December"},0),1)</f>
        <v>41518</v>
      </c>
      <c r="E19" s="2">
        <v>118.6</v>
      </c>
      <c r="F19" s="2">
        <v>119.1</v>
      </c>
      <c r="G19">
        <v>113.2</v>
      </c>
      <c r="H19">
        <v>109.6</v>
      </c>
      <c r="I19">
        <v>101.7</v>
      </c>
      <c r="J19">
        <v>103.2</v>
      </c>
      <c r="K19">
        <v>174.3</v>
      </c>
      <c r="L19">
        <v>105.1</v>
      </c>
      <c r="M19">
        <v>100.8</v>
      </c>
      <c r="N19">
        <v>109.1</v>
      </c>
      <c r="O19">
        <v>111.1</v>
      </c>
      <c r="P19">
        <v>115.4</v>
      </c>
      <c r="Q19" s="2">
        <v>119.2</v>
      </c>
      <c r="R19" s="2">
        <v>112.9</v>
      </c>
      <c r="S19" s="2">
        <v>111.4</v>
      </c>
      <c r="T19" s="2">
        <v>109</v>
      </c>
      <c r="U19" s="3">
        <v>111.1</v>
      </c>
      <c r="V19" s="2" t="s">
        <v>48</v>
      </c>
      <c r="W19" s="2">
        <v>109.5</v>
      </c>
      <c r="X19" s="2">
        <v>109.6</v>
      </c>
      <c r="Y19" s="2">
        <v>107.9</v>
      </c>
      <c r="Z19" s="2">
        <v>110.4</v>
      </c>
      <c r="AA19" s="2">
        <v>107.4</v>
      </c>
      <c r="AB19" s="2">
        <v>111.2</v>
      </c>
      <c r="AC19" s="2">
        <v>106.9</v>
      </c>
      <c r="AD19" s="2">
        <v>109.4</v>
      </c>
      <c r="AE19" s="2">
        <v>113.2</v>
      </c>
    </row>
    <row r="20" spans="1:31" x14ac:dyDescent="0.2">
      <c r="A20" t="s">
        <v>30</v>
      </c>
      <c r="B20">
        <v>2013</v>
      </c>
      <c r="C20" t="s">
        <v>49</v>
      </c>
      <c r="D20" s="1">
        <f>DATE(All_India_Index_Upto_April23__1___1[[#This Row],[Year]],MATCH(All_India_Index_Upto_April23__1___1[[#This Row],[Month]],{"January","February","March","April","May","June","July","August","September","October","November","December"},0),1)</f>
        <v>41548</v>
      </c>
      <c r="E20" s="2">
        <v>116.3</v>
      </c>
      <c r="F20" s="2">
        <v>115.4</v>
      </c>
      <c r="G20">
        <v>112.6</v>
      </c>
      <c r="H20">
        <v>111.7</v>
      </c>
      <c r="I20">
        <v>107.7</v>
      </c>
      <c r="J20">
        <v>113.2</v>
      </c>
      <c r="K20">
        <v>164.9</v>
      </c>
      <c r="L20">
        <v>108.3</v>
      </c>
      <c r="M20">
        <v>103.9</v>
      </c>
      <c r="N20">
        <v>108.2</v>
      </c>
      <c r="O20">
        <v>111.1</v>
      </c>
      <c r="P20">
        <v>114.9</v>
      </c>
      <c r="Q20" s="2">
        <v>119.8</v>
      </c>
      <c r="R20" s="2">
        <v>112.2</v>
      </c>
      <c r="S20" s="2">
        <v>113.6</v>
      </c>
      <c r="T20" s="2">
        <v>112.3</v>
      </c>
      <c r="U20" s="3">
        <v>113.4</v>
      </c>
      <c r="V20" s="2"/>
      <c r="W20">
        <v>111.6</v>
      </c>
      <c r="X20" s="2">
        <v>110.4</v>
      </c>
      <c r="Y20" s="2">
        <v>108.9</v>
      </c>
      <c r="Z20" s="2">
        <v>109.3</v>
      </c>
      <c r="AA20" s="2">
        <v>108.3</v>
      </c>
      <c r="AB20" s="2">
        <v>110.2</v>
      </c>
      <c r="AC20" s="2">
        <v>107.5</v>
      </c>
      <c r="AD20" s="2">
        <v>109.1</v>
      </c>
      <c r="AE20" s="2">
        <v>115.5</v>
      </c>
    </row>
    <row r="21" spans="1:31" x14ac:dyDescent="0.2">
      <c r="A21" t="s">
        <v>32</v>
      </c>
      <c r="B21">
        <v>2013</v>
      </c>
      <c r="C21" t="s">
        <v>49</v>
      </c>
      <c r="D21" s="1">
        <f>DATE(All_India_Index_Upto_April23__1___1[[#This Row],[Year]],MATCH(All_India_Index_Upto_April23__1___1[[#This Row],[Month]],{"January","February","March","April","May","June","July","August","September","October","November","December"},0),1)</f>
        <v>41548</v>
      </c>
      <c r="E21" s="2">
        <v>118.9</v>
      </c>
      <c r="F21" s="2">
        <v>118.1</v>
      </c>
      <c r="G21">
        <v>114.5</v>
      </c>
      <c r="H21">
        <v>110.4</v>
      </c>
      <c r="I21">
        <v>102.3</v>
      </c>
      <c r="J21">
        <v>106.2</v>
      </c>
      <c r="K21">
        <v>183.5</v>
      </c>
      <c r="L21">
        <v>105.3</v>
      </c>
      <c r="M21">
        <v>100.2</v>
      </c>
      <c r="N21">
        <v>109.6</v>
      </c>
      <c r="O21">
        <v>111.4</v>
      </c>
      <c r="P21">
        <v>116</v>
      </c>
      <c r="Q21" s="2">
        <v>120.8</v>
      </c>
      <c r="R21" s="2">
        <v>113.5</v>
      </c>
      <c r="S21" s="2">
        <v>112.5</v>
      </c>
      <c r="T21" s="2">
        <v>109.7</v>
      </c>
      <c r="U21" s="3">
        <v>112</v>
      </c>
      <c r="V21" s="2" t="s">
        <v>50</v>
      </c>
      <c r="W21" s="2">
        <v>109.7</v>
      </c>
      <c r="X21" s="2">
        <v>110.2</v>
      </c>
      <c r="Y21" s="2">
        <v>108.2</v>
      </c>
      <c r="Z21" s="2">
        <v>109.7</v>
      </c>
      <c r="AA21" s="2">
        <v>108</v>
      </c>
      <c r="AB21" s="2">
        <v>111.3</v>
      </c>
      <c r="AC21" s="2">
        <v>107.3</v>
      </c>
      <c r="AD21" s="2">
        <v>109.4</v>
      </c>
      <c r="AE21" s="2">
        <v>114</v>
      </c>
    </row>
    <row r="22" spans="1:31" x14ac:dyDescent="0.2">
      <c r="A22" t="s">
        <v>32</v>
      </c>
      <c r="B22">
        <v>2013</v>
      </c>
      <c r="C22" t="s">
        <v>51</v>
      </c>
      <c r="D22" s="1">
        <f>DATE(All_India_Index_Upto_April23__1___1[[#This Row],[Year]],MATCH(All_India_Index_Upto_April23__1___1[[#This Row],[Month]],{"January","February","March","April","May","June","July","August","September","October","November","December"},0),1)</f>
        <v>41579</v>
      </c>
      <c r="E22" s="2">
        <v>119.8</v>
      </c>
      <c r="F22" s="2">
        <v>116.3</v>
      </c>
      <c r="G22">
        <v>122.6</v>
      </c>
      <c r="H22">
        <v>112</v>
      </c>
      <c r="I22">
        <v>103.2</v>
      </c>
      <c r="J22">
        <v>110</v>
      </c>
      <c r="K22">
        <v>192.8</v>
      </c>
      <c r="L22">
        <v>106.3</v>
      </c>
      <c r="M22">
        <v>99.5</v>
      </c>
      <c r="N22">
        <v>110.3</v>
      </c>
      <c r="O22">
        <v>111.8</v>
      </c>
      <c r="P22">
        <v>117.1</v>
      </c>
      <c r="Q22" s="2">
        <v>122.9</v>
      </c>
      <c r="R22" s="2">
        <v>114.1</v>
      </c>
      <c r="S22" s="2">
        <v>113.5</v>
      </c>
      <c r="T22" s="2">
        <v>110.3</v>
      </c>
      <c r="U22" s="3">
        <v>113</v>
      </c>
      <c r="V22" s="2" t="s">
        <v>52</v>
      </c>
      <c r="W22" s="2">
        <v>110</v>
      </c>
      <c r="X22" s="2">
        <v>110.9</v>
      </c>
      <c r="Y22" s="2">
        <v>108.6</v>
      </c>
      <c r="Z22" s="2">
        <v>109.5</v>
      </c>
      <c r="AA22" s="2">
        <v>108.5</v>
      </c>
      <c r="AB22" s="2">
        <v>111.3</v>
      </c>
      <c r="AC22" s="2">
        <v>107.9</v>
      </c>
      <c r="AD22" s="2">
        <v>109.6</v>
      </c>
      <c r="AE22" s="2">
        <v>115</v>
      </c>
    </row>
    <row r="23" spans="1:31" x14ac:dyDescent="0.2">
      <c r="A23" t="s">
        <v>30</v>
      </c>
      <c r="B23">
        <v>2013</v>
      </c>
      <c r="C23" t="s">
        <v>51</v>
      </c>
      <c r="D23" s="1">
        <f>DATE(All_India_Index_Upto_April23__1___1[[#This Row],[Year]],MATCH(All_India_Index_Upto_April23__1___1[[#This Row],[Month]],{"January","February","March","April","May","June","July","August","September","October","November","December"},0),1)</f>
        <v>41579</v>
      </c>
      <c r="E23" s="2">
        <v>117.3</v>
      </c>
      <c r="F23" s="2">
        <v>114.9</v>
      </c>
      <c r="G23">
        <v>116.2</v>
      </c>
      <c r="H23">
        <v>112.8</v>
      </c>
      <c r="I23">
        <v>108.9</v>
      </c>
      <c r="J23">
        <v>116.6</v>
      </c>
      <c r="K23">
        <v>178.1</v>
      </c>
      <c r="L23">
        <v>109.1</v>
      </c>
      <c r="M23">
        <v>103.6</v>
      </c>
      <c r="N23">
        <v>109</v>
      </c>
      <c r="O23">
        <v>111.8</v>
      </c>
      <c r="P23">
        <v>116</v>
      </c>
      <c r="Q23" s="2">
        <v>122.5</v>
      </c>
      <c r="R23" s="2">
        <v>112.8</v>
      </c>
      <c r="S23" s="2">
        <v>114.6</v>
      </c>
      <c r="T23" s="2">
        <v>113.1</v>
      </c>
      <c r="U23" s="3">
        <v>114.4</v>
      </c>
      <c r="V23" s="2"/>
      <c r="W23">
        <v>112.6</v>
      </c>
      <c r="X23" s="2">
        <v>111.3</v>
      </c>
      <c r="Y23" s="2">
        <v>109.7</v>
      </c>
      <c r="Z23" s="2">
        <v>109.6</v>
      </c>
      <c r="AA23" s="2">
        <v>108.7</v>
      </c>
      <c r="AB23" s="2">
        <v>111</v>
      </c>
      <c r="AC23" s="2">
        <v>108.2</v>
      </c>
      <c r="AD23" s="2">
        <v>109.8</v>
      </c>
      <c r="AE23" s="2">
        <v>117.4</v>
      </c>
    </row>
    <row r="24" spans="1:31" x14ac:dyDescent="0.2">
      <c r="A24" t="s">
        <v>30</v>
      </c>
      <c r="B24">
        <v>2013</v>
      </c>
      <c r="C24" t="s">
        <v>53</v>
      </c>
      <c r="D24" s="1">
        <f>DATE(All_India_Index_Upto_April23__1___1[[#This Row],[Year]],MATCH(All_India_Index_Upto_April23__1___1[[#This Row],[Month]],{"January","February","March","April","May","June","July","August","September","October","November","December"},0),1)</f>
        <v>41609</v>
      </c>
      <c r="E24" s="2">
        <v>118.4</v>
      </c>
      <c r="F24" s="2">
        <v>115.9</v>
      </c>
      <c r="G24">
        <v>120.4</v>
      </c>
      <c r="H24">
        <v>113.8</v>
      </c>
      <c r="I24">
        <v>109.5</v>
      </c>
      <c r="J24">
        <v>115.5</v>
      </c>
      <c r="K24">
        <v>145.69999999999999</v>
      </c>
      <c r="L24">
        <v>109.5</v>
      </c>
      <c r="M24">
        <v>102.9</v>
      </c>
      <c r="N24">
        <v>109.8</v>
      </c>
      <c r="O24">
        <v>112.1</v>
      </c>
      <c r="P24">
        <v>116.8</v>
      </c>
      <c r="Q24" s="2">
        <v>118.7</v>
      </c>
      <c r="R24" s="2">
        <v>113.6</v>
      </c>
      <c r="S24" s="2">
        <v>115.8</v>
      </c>
      <c r="T24" s="2">
        <v>114</v>
      </c>
      <c r="U24" s="3">
        <v>115.5</v>
      </c>
      <c r="V24" s="2"/>
      <c r="W24">
        <v>112.8</v>
      </c>
      <c r="X24" s="2">
        <v>112.1</v>
      </c>
      <c r="Y24" s="2">
        <v>110.1</v>
      </c>
      <c r="Z24" s="2">
        <v>109.9</v>
      </c>
      <c r="AA24" s="2">
        <v>109.2</v>
      </c>
      <c r="AB24" s="2">
        <v>111.6</v>
      </c>
      <c r="AC24" s="2">
        <v>108.1</v>
      </c>
      <c r="AD24" s="2">
        <v>110.1</v>
      </c>
      <c r="AE24" s="2">
        <v>115.5</v>
      </c>
    </row>
    <row r="25" spans="1:31" x14ac:dyDescent="0.2">
      <c r="A25" t="s">
        <v>32</v>
      </c>
      <c r="B25">
        <v>2013</v>
      </c>
      <c r="C25" t="s">
        <v>53</v>
      </c>
      <c r="D25" s="1">
        <f>DATE(All_India_Index_Upto_April23__1___1[[#This Row],[Year]],MATCH(All_India_Index_Upto_April23__1___1[[#This Row],[Month]],{"January","February","March","April","May","June","July","August","September","October","November","December"},0),1)</f>
        <v>41609</v>
      </c>
      <c r="E25" s="2">
        <v>120.5</v>
      </c>
      <c r="F25" s="2">
        <v>118.1</v>
      </c>
      <c r="G25">
        <v>128.5</v>
      </c>
      <c r="H25">
        <v>112.8</v>
      </c>
      <c r="I25">
        <v>103.4</v>
      </c>
      <c r="J25">
        <v>110.7</v>
      </c>
      <c r="K25">
        <v>144.80000000000001</v>
      </c>
      <c r="L25">
        <v>107.1</v>
      </c>
      <c r="M25">
        <v>98.6</v>
      </c>
      <c r="N25">
        <v>111.9</v>
      </c>
      <c r="O25">
        <v>112.1</v>
      </c>
      <c r="P25">
        <v>118.1</v>
      </c>
      <c r="Q25" s="2">
        <v>117.8</v>
      </c>
      <c r="R25" s="2">
        <v>115</v>
      </c>
      <c r="S25" s="2">
        <v>114.2</v>
      </c>
      <c r="T25" s="2">
        <v>110.9</v>
      </c>
      <c r="U25" s="3">
        <v>113.7</v>
      </c>
      <c r="V25" s="2" t="s">
        <v>54</v>
      </c>
      <c r="W25" s="2">
        <v>110.4</v>
      </c>
      <c r="X25" s="2">
        <v>111.3</v>
      </c>
      <c r="Y25" s="2">
        <v>109</v>
      </c>
      <c r="Z25" s="2">
        <v>109.7</v>
      </c>
      <c r="AA25" s="2">
        <v>108.9</v>
      </c>
      <c r="AB25" s="2">
        <v>111.4</v>
      </c>
      <c r="AC25" s="2">
        <v>107.7</v>
      </c>
      <c r="AD25" s="2">
        <v>109.8</v>
      </c>
      <c r="AE25" s="2">
        <v>113.3</v>
      </c>
    </row>
    <row r="26" spans="1:31" x14ac:dyDescent="0.2">
      <c r="A26" t="s">
        <v>34</v>
      </c>
      <c r="B26">
        <v>2013</v>
      </c>
      <c r="C26" t="s">
        <v>31</v>
      </c>
      <c r="D26" s="1">
        <f>DATE(All_India_Index_Upto_April23__1___1[[#This Row],[Year]],MATCH(All_India_Index_Upto_April23__1___1[[#This Row],[Month]],{"January","February","March","April","May","June","July","August","September","October","November","December"},0),1)</f>
        <v>41275</v>
      </c>
      <c r="E26" s="2">
        <v>108.4</v>
      </c>
      <c r="F26" s="2">
        <v>107.3</v>
      </c>
      <c r="G26">
        <v>110</v>
      </c>
      <c r="H26">
        <v>104.4</v>
      </c>
      <c r="I26">
        <v>105.1</v>
      </c>
      <c r="J26">
        <v>103.2</v>
      </c>
      <c r="K26">
        <v>102.2</v>
      </c>
      <c r="L26">
        <v>106</v>
      </c>
      <c r="M26">
        <v>106.2</v>
      </c>
      <c r="N26">
        <v>102.7</v>
      </c>
      <c r="O26">
        <v>104.9</v>
      </c>
      <c r="P26">
        <v>107.3</v>
      </c>
      <c r="Q26" s="2">
        <v>105.6</v>
      </c>
      <c r="R26" s="2">
        <v>105.1</v>
      </c>
      <c r="S26" s="2">
        <v>106.3</v>
      </c>
      <c r="T26" s="2">
        <v>105.5</v>
      </c>
      <c r="U26" s="3">
        <v>106.2</v>
      </c>
      <c r="V26" s="2" t="s">
        <v>33</v>
      </c>
      <c r="W26" s="2">
        <v>105.5</v>
      </c>
      <c r="X26" s="2">
        <v>104.8</v>
      </c>
      <c r="Y26" s="2">
        <v>104</v>
      </c>
      <c r="Z26" s="2">
        <v>103.2</v>
      </c>
      <c r="AA26" s="2">
        <v>103.1</v>
      </c>
      <c r="AB26" s="2">
        <v>103.6</v>
      </c>
      <c r="AC26" s="2">
        <v>104.5</v>
      </c>
      <c r="AD26" s="2">
        <v>103.9</v>
      </c>
      <c r="AE26" s="2">
        <v>104.6</v>
      </c>
    </row>
    <row r="27" spans="1:31" x14ac:dyDescent="0.2">
      <c r="A27" t="s">
        <v>34</v>
      </c>
      <c r="B27">
        <v>2013</v>
      </c>
      <c r="C27" t="s">
        <v>35</v>
      </c>
      <c r="D27" s="1">
        <f>DATE(All_India_Index_Upto_April23__1___1[[#This Row],[Year]],MATCH(All_India_Index_Upto_April23__1___1[[#This Row],[Month]],{"January","February","March","April","May","June","July","August","September","October","November","December"},0),1)</f>
        <v>41306</v>
      </c>
      <c r="E27" s="2">
        <v>110.4</v>
      </c>
      <c r="F27" s="2">
        <v>110.2</v>
      </c>
      <c r="G27">
        <v>112.8</v>
      </c>
      <c r="H27">
        <v>104.9</v>
      </c>
      <c r="I27">
        <v>105.5</v>
      </c>
      <c r="J27">
        <v>103.6</v>
      </c>
      <c r="K27">
        <v>103.2</v>
      </c>
      <c r="L27">
        <v>105.3</v>
      </c>
      <c r="M27">
        <v>105.1</v>
      </c>
      <c r="N27">
        <v>102.8</v>
      </c>
      <c r="O27">
        <v>105.5</v>
      </c>
      <c r="P27">
        <v>108.3</v>
      </c>
      <c r="Q27" s="2">
        <v>106.6</v>
      </c>
      <c r="R27" s="2">
        <v>105.7</v>
      </c>
      <c r="S27" s="2">
        <v>106.9</v>
      </c>
      <c r="T27" s="2">
        <v>106</v>
      </c>
      <c r="U27" s="3">
        <v>106.8</v>
      </c>
      <c r="V27" s="2" t="s">
        <v>36</v>
      </c>
      <c r="W27" s="2">
        <v>106</v>
      </c>
      <c r="X27" s="2">
        <v>105.2</v>
      </c>
      <c r="Y27" s="2">
        <v>104.5</v>
      </c>
      <c r="Z27" s="2">
        <v>104.2</v>
      </c>
      <c r="AA27" s="2">
        <v>103.6</v>
      </c>
      <c r="AB27" s="2">
        <v>103.9</v>
      </c>
      <c r="AC27" s="2">
        <v>104.5</v>
      </c>
      <c r="AD27" s="2">
        <v>104.4</v>
      </c>
      <c r="AE27" s="2">
        <v>105.3</v>
      </c>
    </row>
    <row r="28" spans="1:31" x14ac:dyDescent="0.2">
      <c r="A28" t="s">
        <v>34</v>
      </c>
      <c r="B28">
        <v>2013</v>
      </c>
      <c r="C28" t="s">
        <v>37</v>
      </c>
      <c r="D28" s="1">
        <f>DATE(All_India_Index_Upto_April23__1___1[[#This Row],[Year]],MATCH(All_India_Index_Upto_April23__1___1[[#This Row],[Month]],{"January","February","March","April","May","June","July","August","September","October","November","December"},0),1)</f>
        <v>41334</v>
      </c>
      <c r="E28" s="2">
        <v>111.4</v>
      </c>
      <c r="F28" s="2">
        <v>109.7</v>
      </c>
      <c r="G28">
        <v>111.2</v>
      </c>
      <c r="H28">
        <v>105.1</v>
      </c>
      <c r="I28">
        <v>104.9</v>
      </c>
      <c r="J28">
        <v>105.3</v>
      </c>
      <c r="K28">
        <v>102.2</v>
      </c>
      <c r="L28">
        <v>105</v>
      </c>
      <c r="M28">
        <v>104.2</v>
      </c>
      <c r="N28">
        <v>103</v>
      </c>
      <c r="O28">
        <v>106.2</v>
      </c>
      <c r="P28">
        <v>108.9</v>
      </c>
      <c r="Q28" s="2">
        <v>106.9</v>
      </c>
      <c r="R28" s="2">
        <v>106.6</v>
      </c>
      <c r="S28" s="2">
        <v>107.4</v>
      </c>
      <c r="T28" s="2">
        <v>106.5</v>
      </c>
      <c r="U28" s="3">
        <v>107.3</v>
      </c>
      <c r="V28" s="2" t="s">
        <v>36</v>
      </c>
      <c r="W28" s="2">
        <v>106.1</v>
      </c>
      <c r="X28" s="2">
        <v>105.6</v>
      </c>
      <c r="Y28" s="2">
        <v>104.9</v>
      </c>
      <c r="Z28" s="2">
        <v>105.1</v>
      </c>
      <c r="AA28" s="2">
        <v>103.7</v>
      </c>
      <c r="AB28" s="2">
        <v>104</v>
      </c>
      <c r="AC28" s="2">
        <v>104.3</v>
      </c>
      <c r="AD28" s="2">
        <v>104.7</v>
      </c>
      <c r="AE28" s="2">
        <v>105.5</v>
      </c>
    </row>
    <row r="29" spans="1:31" x14ac:dyDescent="0.2">
      <c r="A29" t="s">
        <v>34</v>
      </c>
      <c r="B29">
        <v>2013</v>
      </c>
      <c r="C29" t="s">
        <v>38</v>
      </c>
      <c r="D29" s="1">
        <f>DATE(All_India_Index_Upto_April23__1___1[[#This Row],[Year]],MATCH(All_India_Index_Upto_April23__1___1[[#This Row],[Month]],{"January","February","March","April","May","June","July","August","September","October","November","December"},0),1)</f>
        <v>41365</v>
      </c>
      <c r="E29" s="2">
        <v>111.6</v>
      </c>
      <c r="F29" s="2">
        <v>110.9</v>
      </c>
      <c r="G29">
        <v>106.6</v>
      </c>
      <c r="H29">
        <v>105.7</v>
      </c>
      <c r="I29">
        <v>104.4</v>
      </c>
      <c r="J29">
        <v>108.9</v>
      </c>
      <c r="K29">
        <v>105.5</v>
      </c>
      <c r="L29">
        <v>105.3</v>
      </c>
      <c r="M29">
        <v>103.5</v>
      </c>
      <c r="N29">
        <v>103.3</v>
      </c>
      <c r="O29">
        <v>107.2</v>
      </c>
      <c r="P29">
        <v>109.6</v>
      </c>
      <c r="Q29" s="2">
        <v>107.7</v>
      </c>
      <c r="R29" s="2">
        <v>107.5</v>
      </c>
      <c r="S29" s="2">
        <v>108</v>
      </c>
      <c r="T29" s="2">
        <v>107</v>
      </c>
      <c r="U29" s="3">
        <v>107.9</v>
      </c>
      <c r="V29" s="2" t="s">
        <v>39</v>
      </c>
      <c r="W29" s="2">
        <v>106.5</v>
      </c>
      <c r="X29" s="2">
        <v>106.3</v>
      </c>
      <c r="Y29" s="2">
        <v>105.3</v>
      </c>
      <c r="Z29" s="2">
        <v>104.7</v>
      </c>
      <c r="AA29" s="2">
        <v>104.2</v>
      </c>
      <c r="AB29" s="2">
        <v>105</v>
      </c>
      <c r="AC29" s="2">
        <v>102.9</v>
      </c>
      <c r="AD29" s="2">
        <v>104.8</v>
      </c>
      <c r="AE29" s="2">
        <v>106.1</v>
      </c>
    </row>
    <row r="30" spans="1:31" x14ac:dyDescent="0.2">
      <c r="A30" t="s">
        <v>34</v>
      </c>
      <c r="B30">
        <v>2013</v>
      </c>
      <c r="C30" t="s">
        <v>40</v>
      </c>
      <c r="D30" s="1">
        <f>DATE(All_India_Index_Upto_April23__1___1[[#This Row],[Year]],MATCH(All_India_Index_Upto_April23__1___1[[#This Row],[Month]],{"January","February","March","April","May","June","July","August","September","October","November","December"},0),1)</f>
        <v>41395</v>
      </c>
      <c r="E30" s="2">
        <v>112.3</v>
      </c>
      <c r="F30" s="2">
        <v>111.3</v>
      </c>
      <c r="G30">
        <v>104.7</v>
      </c>
      <c r="H30">
        <v>106.8</v>
      </c>
      <c r="I30">
        <v>103.9</v>
      </c>
      <c r="J30">
        <v>109.3</v>
      </c>
      <c r="K30">
        <v>112.9</v>
      </c>
      <c r="L30">
        <v>105.8</v>
      </c>
      <c r="M30">
        <v>103.1</v>
      </c>
      <c r="N30">
        <v>104.3</v>
      </c>
      <c r="O30">
        <v>108.1</v>
      </c>
      <c r="P30">
        <v>110.5</v>
      </c>
      <c r="Q30" s="2">
        <v>109.2</v>
      </c>
      <c r="R30" s="2">
        <v>108.6</v>
      </c>
      <c r="S30" s="2">
        <v>108.7</v>
      </c>
      <c r="T30" s="2">
        <v>107.4</v>
      </c>
      <c r="U30" s="3">
        <v>108.5</v>
      </c>
      <c r="V30" s="2" t="s">
        <v>39</v>
      </c>
      <c r="W30" s="2">
        <v>107.4</v>
      </c>
      <c r="X30" s="2">
        <v>106.9</v>
      </c>
      <c r="Y30" s="2">
        <v>105.9</v>
      </c>
      <c r="Z30" s="2">
        <v>104</v>
      </c>
      <c r="AA30" s="2">
        <v>104.8</v>
      </c>
      <c r="AB30" s="2">
        <v>105.6</v>
      </c>
      <c r="AC30" s="2">
        <v>102.3</v>
      </c>
      <c r="AD30" s="2">
        <v>104.8</v>
      </c>
      <c r="AE30" s="2">
        <v>106.9</v>
      </c>
    </row>
    <row r="31" spans="1:31" x14ac:dyDescent="0.2">
      <c r="A31" t="s">
        <v>34</v>
      </c>
      <c r="B31">
        <v>2013</v>
      </c>
      <c r="C31" t="s">
        <v>41</v>
      </c>
      <c r="D31" s="1">
        <f>DATE(All_India_Index_Upto_April23__1___1[[#This Row],[Year]],MATCH(All_India_Index_Upto_April23__1___1[[#This Row],[Month]],{"January","February","March","April","May","June","July","August","September","October","November","December"},0),1)</f>
        <v>41426</v>
      </c>
      <c r="E31" s="2">
        <v>113.8</v>
      </c>
      <c r="F31" s="2">
        <v>114.9</v>
      </c>
      <c r="G31">
        <v>109.8</v>
      </c>
      <c r="H31">
        <v>107.9</v>
      </c>
      <c r="I31">
        <v>104.2</v>
      </c>
      <c r="J31">
        <v>110.7</v>
      </c>
      <c r="K31">
        <v>126.7</v>
      </c>
      <c r="L31">
        <v>106.3</v>
      </c>
      <c r="M31">
        <v>103.2</v>
      </c>
      <c r="N31">
        <v>105.7</v>
      </c>
      <c r="O31">
        <v>109</v>
      </c>
      <c r="P31">
        <v>111.6</v>
      </c>
      <c r="Q31" s="2">
        <v>112.2</v>
      </c>
      <c r="R31" s="2">
        <v>109.5</v>
      </c>
      <c r="S31" s="2">
        <v>109.5</v>
      </c>
      <c r="T31" s="2">
        <v>108.1</v>
      </c>
      <c r="U31" s="3">
        <v>109.3</v>
      </c>
      <c r="V31" s="2" t="s">
        <v>42</v>
      </c>
      <c r="W31" s="2">
        <v>108.3</v>
      </c>
      <c r="X31" s="2">
        <v>107.6</v>
      </c>
      <c r="Y31" s="2">
        <v>106.4</v>
      </c>
      <c r="Z31" s="2">
        <v>105.1</v>
      </c>
      <c r="AA31" s="2">
        <v>105.4</v>
      </c>
      <c r="AB31" s="2">
        <v>107.4</v>
      </c>
      <c r="AC31" s="2">
        <v>102.8</v>
      </c>
      <c r="AD31" s="2">
        <v>105.8</v>
      </c>
      <c r="AE31" s="2">
        <v>109.3</v>
      </c>
    </row>
    <row r="32" spans="1:31" x14ac:dyDescent="0.2">
      <c r="A32" t="s">
        <v>34</v>
      </c>
      <c r="B32">
        <v>2013</v>
      </c>
      <c r="C32" t="s">
        <v>43</v>
      </c>
      <c r="D32" s="1">
        <f>DATE(All_India_Index_Upto_April23__1___1[[#This Row],[Year]],MATCH(All_India_Index_Upto_April23__1___1[[#This Row],[Month]],{"January","February","March","April","May","June","July","August","September","October","November","December"},0),1)</f>
        <v>41456</v>
      </c>
      <c r="E32" s="2">
        <v>114.8</v>
      </c>
      <c r="F32" s="2">
        <v>116.4</v>
      </c>
      <c r="G32">
        <v>111.9</v>
      </c>
      <c r="H32">
        <v>108.9</v>
      </c>
      <c r="I32">
        <v>104.3</v>
      </c>
      <c r="J32">
        <v>111.7</v>
      </c>
      <c r="K32">
        <v>140</v>
      </c>
      <c r="L32">
        <v>106.4</v>
      </c>
      <c r="M32">
        <v>103.3</v>
      </c>
      <c r="N32">
        <v>106.8</v>
      </c>
      <c r="O32">
        <v>109.6</v>
      </c>
      <c r="P32">
        <v>112.6</v>
      </c>
      <c r="Q32" s="2">
        <v>114.7</v>
      </c>
      <c r="R32" s="2">
        <v>110.3</v>
      </c>
      <c r="S32" s="2">
        <v>110.2</v>
      </c>
      <c r="T32" s="2">
        <v>108.8</v>
      </c>
      <c r="U32" s="3">
        <v>110</v>
      </c>
      <c r="V32" s="2" t="s">
        <v>44</v>
      </c>
      <c r="W32" s="2">
        <v>109.2</v>
      </c>
      <c r="X32" s="2">
        <v>108.2</v>
      </c>
      <c r="Y32" s="2">
        <v>107</v>
      </c>
      <c r="Z32" s="2">
        <v>107.1</v>
      </c>
      <c r="AA32" s="2">
        <v>106.1</v>
      </c>
      <c r="AB32" s="2">
        <v>109.1</v>
      </c>
      <c r="AC32" s="2">
        <v>102.8</v>
      </c>
      <c r="AD32" s="2">
        <v>106.9</v>
      </c>
      <c r="AE32" s="2">
        <v>111</v>
      </c>
    </row>
    <row r="33" spans="1:31" x14ac:dyDescent="0.2">
      <c r="A33" t="s">
        <v>34</v>
      </c>
      <c r="B33">
        <v>2013</v>
      </c>
      <c r="C33" t="s">
        <v>45</v>
      </c>
      <c r="D33" s="1">
        <f>DATE(All_India_Index_Upto_April23__1___1[[#This Row],[Year]],MATCH(All_India_Index_Upto_April23__1___1[[#This Row],[Month]],{"January","February","March","April","May","June","July","August","September","October","November","December"},0),1)</f>
        <v>41487</v>
      </c>
      <c r="E33" s="2">
        <v>115.6</v>
      </c>
      <c r="F33" s="2">
        <v>117.2</v>
      </c>
      <c r="G33">
        <v>111.7</v>
      </c>
      <c r="H33">
        <v>109.6</v>
      </c>
      <c r="I33">
        <v>104.5</v>
      </c>
      <c r="J33">
        <v>109.8</v>
      </c>
      <c r="K33">
        <v>151.80000000000001</v>
      </c>
      <c r="L33">
        <v>106.5</v>
      </c>
      <c r="M33">
        <v>103.1</v>
      </c>
      <c r="N33">
        <v>107.4</v>
      </c>
      <c r="O33">
        <v>110.2</v>
      </c>
      <c r="P33">
        <v>113.4</v>
      </c>
      <c r="Q33" s="2">
        <v>116.6</v>
      </c>
      <c r="R33" s="2">
        <v>111.2</v>
      </c>
      <c r="S33" s="2">
        <v>111</v>
      </c>
      <c r="T33" s="2">
        <v>109.4</v>
      </c>
      <c r="U33" s="3">
        <v>110.7</v>
      </c>
      <c r="V33" s="2" t="s">
        <v>46</v>
      </c>
      <c r="W33" s="2">
        <v>109.7</v>
      </c>
      <c r="X33" s="2">
        <v>108.7</v>
      </c>
      <c r="Y33" s="2">
        <v>107.5</v>
      </c>
      <c r="Z33" s="2">
        <v>108</v>
      </c>
      <c r="AA33" s="2">
        <v>106.6</v>
      </c>
      <c r="AB33" s="2">
        <v>109.9</v>
      </c>
      <c r="AC33" s="2">
        <v>105.4</v>
      </c>
      <c r="AD33" s="2">
        <v>107.9</v>
      </c>
      <c r="AE33" s="2">
        <v>112.4</v>
      </c>
    </row>
    <row r="34" spans="1:31" x14ac:dyDescent="0.2">
      <c r="A34" t="s">
        <v>34</v>
      </c>
      <c r="B34">
        <v>2013</v>
      </c>
      <c r="C34" t="s">
        <v>47</v>
      </c>
      <c r="D34" s="1">
        <f>DATE(All_India_Index_Upto_April23__1___1[[#This Row],[Year]],MATCH(All_India_Index_Upto_April23__1___1[[#This Row],[Month]],{"January","February","March","April","May","June","July","August","September","October","November","December"},0),1)</f>
        <v>41518</v>
      </c>
      <c r="E34" s="2">
        <v>116.4</v>
      </c>
      <c r="F34" s="2">
        <v>116.9</v>
      </c>
      <c r="G34">
        <v>112.3</v>
      </c>
      <c r="H34">
        <v>110.5</v>
      </c>
      <c r="I34">
        <v>105.3</v>
      </c>
      <c r="J34">
        <v>107.3</v>
      </c>
      <c r="K34">
        <v>160.9</v>
      </c>
      <c r="L34">
        <v>107.1</v>
      </c>
      <c r="M34">
        <v>103.1</v>
      </c>
      <c r="N34">
        <v>108.3</v>
      </c>
      <c r="O34">
        <v>110.7</v>
      </c>
      <c r="P34">
        <v>114.6</v>
      </c>
      <c r="Q34" s="2">
        <v>118.3</v>
      </c>
      <c r="R34" s="2">
        <v>112</v>
      </c>
      <c r="S34" s="2">
        <v>112.2</v>
      </c>
      <c r="T34" s="2">
        <v>110.4</v>
      </c>
      <c r="U34" s="3">
        <v>111.9</v>
      </c>
      <c r="V34" s="2" t="s">
        <v>48</v>
      </c>
      <c r="W34" s="2">
        <v>110.5</v>
      </c>
      <c r="X34" s="2">
        <v>109.6</v>
      </c>
      <c r="Y34" s="2">
        <v>108.1</v>
      </c>
      <c r="Z34" s="2">
        <v>109.9</v>
      </c>
      <c r="AA34" s="2">
        <v>107.5</v>
      </c>
      <c r="AB34" s="2">
        <v>110.6</v>
      </c>
      <c r="AC34" s="2">
        <v>106.8</v>
      </c>
      <c r="AD34" s="2">
        <v>109</v>
      </c>
      <c r="AE34" s="2">
        <v>113.7</v>
      </c>
    </row>
    <row r="35" spans="1:31" x14ac:dyDescent="0.2">
      <c r="A35" t="s">
        <v>34</v>
      </c>
      <c r="B35">
        <v>2013</v>
      </c>
      <c r="C35" t="s">
        <v>49</v>
      </c>
      <c r="D35" s="1">
        <f>DATE(All_India_Index_Upto_April23__1___1[[#This Row],[Year]],MATCH(All_India_Index_Upto_April23__1___1[[#This Row],[Month]],{"January","February","March","April","May","June","July","August","September","October","November","December"},0),1)</f>
        <v>41548</v>
      </c>
      <c r="E35" s="2">
        <v>117.1</v>
      </c>
      <c r="F35" s="2">
        <v>116.3</v>
      </c>
      <c r="G35">
        <v>113.3</v>
      </c>
      <c r="H35">
        <v>111.2</v>
      </c>
      <c r="I35">
        <v>105.7</v>
      </c>
      <c r="J35">
        <v>109.9</v>
      </c>
      <c r="K35">
        <v>171.2</v>
      </c>
      <c r="L35">
        <v>107.3</v>
      </c>
      <c r="M35">
        <v>102.7</v>
      </c>
      <c r="N35">
        <v>108.7</v>
      </c>
      <c r="O35">
        <v>111.2</v>
      </c>
      <c r="P35">
        <v>115.4</v>
      </c>
      <c r="Q35" s="2">
        <v>120.2</v>
      </c>
      <c r="R35" s="2">
        <v>112.5</v>
      </c>
      <c r="S35" s="2">
        <v>113.2</v>
      </c>
      <c r="T35" s="2">
        <v>111.2</v>
      </c>
      <c r="U35" s="3">
        <v>112.8</v>
      </c>
      <c r="V35" s="2" t="s">
        <v>50</v>
      </c>
      <c r="W35" s="2">
        <v>110.9</v>
      </c>
      <c r="X35" s="2">
        <v>110.3</v>
      </c>
      <c r="Y35" s="2">
        <v>108.6</v>
      </c>
      <c r="Z35" s="2">
        <v>109.5</v>
      </c>
      <c r="AA35" s="2">
        <v>108.1</v>
      </c>
      <c r="AB35" s="2">
        <v>110.8</v>
      </c>
      <c r="AC35" s="2">
        <v>107.4</v>
      </c>
      <c r="AD35" s="2">
        <v>109.2</v>
      </c>
      <c r="AE35" s="2">
        <v>114.8</v>
      </c>
    </row>
    <row r="36" spans="1:31" x14ac:dyDescent="0.2">
      <c r="A36" t="s">
        <v>34</v>
      </c>
      <c r="B36">
        <v>2013</v>
      </c>
      <c r="C36" t="s">
        <v>51</v>
      </c>
      <c r="D36" s="1">
        <f>DATE(All_India_Index_Upto_April23__1___1[[#This Row],[Year]],MATCH(All_India_Index_Upto_April23__1___1[[#This Row],[Month]],{"January","February","March","April","May","June","July","August","September","October","November","December"},0),1)</f>
        <v>41579</v>
      </c>
      <c r="E36" s="2">
        <v>118.1</v>
      </c>
      <c r="F36" s="2">
        <v>115.4</v>
      </c>
      <c r="G36">
        <v>118.7</v>
      </c>
      <c r="H36">
        <v>112.5</v>
      </c>
      <c r="I36">
        <v>106.8</v>
      </c>
      <c r="J36">
        <v>113.5</v>
      </c>
      <c r="K36">
        <v>183.1</v>
      </c>
      <c r="L36">
        <v>108.2</v>
      </c>
      <c r="M36">
        <v>102.2</v>
      </c>
      <c r="N36">
        <v>109.4</v>
      </c>
      <c r="O36">
        <v>111.8</v>
      </c>
      <c r="P36">
        <v>116.5</v>
      </c>
      <c r="Q36" s="2">
        <v>122.6</v>
      </c>
      <c r="R36" s="2">
        <v>113.1</v>
      </c>
      <c r="S36" s="2">
        <v>114.2</v>
      </c>
      <c r="T36" s="2">
        <v>111.9</v>
      </c>
      <c r="U36" s="3">
        <v>113.8</v>
      </c>
      <c r="V36" s="2" t="s">
        <v>52</v>
      </c>
      <c r="W36" s="2">
        <v>111.6</v>
      </c>
      <c r="X36" s="2">
        <v>111.1</v>
      </c>
      <c r="Y36" s="2">
        <v>109.3</v>
      </c>
      <c r="Z36" s="2">
        <v>109.5</v>
      </c>
      <c r="AA36" s="2">
        <v>108.6</v>
      </c>
      <c r="AB36" s="2">
        <v>111.2</v>
      </c>
      <c r="AC36" s="2">
        <v>108.1</v>
      </c>
      <c r="AD36" s="2">
        <v>109.7</v>
      </c>
      <c r="AE36" s="2">
        <v>116.3</v>
      </c>
    </row>
    <row r="37" spans="1:31" x14ac:dyDescent="0.2">
      <c r="A37" t="s">
        <v>34</v>
      </c>
      <c r="B37">
        <v>2013</v>
      </c>
      <c r="C37" t="s">
        <v>53</v>
      </c>
      <c r="D37" s="1">
        <f>DATE(All_India_Index_Upto_April23__1___1[[#This Row],[Year]],MATCH(All_India_Index_Upto_April23__1___1[[#This Row],[Month]],{"January","February","March","April","May","June","July","August","September","October","November","December"},0),1)</f>
        <v>41609</v>
      </c>
      <c r="E37" s="2">
        <v>119.1</v>
      </c>
      <c r="F37" s="2">
        <v>116.7</v>
      </c>
      <c r="G37">
        <v>123.5</v>
      </c>
      <c r="H37">
        <v>113.4</v>
      </c>
      <c r="I37">
        <v>107.3</v>
      </c>
      <c r="J37">
        <v>113.3</v>
      </c>
      <c r="K37">
        <v>145.4</v>
      </c>
      <c r="L37">
        <v>108.7</v>
      </c>
      <c r="M37">
        <v>101.5</v>
      </c>
      <c r="N37">
        <v>110.5</v>
      </c>
      <c r="O37">
        <v>112.1</v>
      </c>
      <c r="P37">
        <v>117.4</v>
      </c>
      <c r="Q37" s="2">
        <v>118.4</v>
      </c>
      <c r="R37" s="2">
        <v>114</v>
      </c>
      <c r="S37" s="2">
        <v>115.2</v>
      </c>
      <c r="T37" s="2">
        <v>112.7</v>
      </c>
      <c r="U37" s="3">
        <v>114.8</v>
      </c>
      <c r="V37" s="2" t="s">
        <v>54</v>
      </c>
      <c r="W37" s="2">
        <v>111.9</v>
      </c>
      <c r="X37" s="2">
        <v>111.7</v>
      </c>
      <c r="Y37" s="2">
        <v>109.7</v>
      </c>
      <c r="Z37" s="2">
        <v>109.8</v>
      </c>
      <c r="AA37" s="2">
        <v>109</v>
      </c>
      <c r="AB37" s="2">
        <v>111.5</v>
      </c>
      <c r="AC37" s="2">
        <v>107.9</v>
      </c>
      <c r="AD37" s="2">
        <v>110</v>
      </c>
      <c r="AE37" s="2">
        <v>114.5</v>
      </c>
    </row>
    <row r="38" spans="1:31" x14ac:dyDescent="0.2">
      <c r="A38" t="s">
        <v>30</v>
      </c>
      <c r="B38">
        <v>2014</v>
      </c>
      <c r="C38" t="s">
        <v>31</v>
      </c>
      <c r="D38" s="1">
        <f>DATE(All_India_Index_Upto_April23__1___1[[#This Row],[Year]],MATCH(All_India_Index_Upto_April23__1___1[[#This Row],[Month]],{"January","February","March","April","May","June","July","August","September","October","November","December"},0),1)</f>
        <v>41640</v>
      </c>
      <c r="E38" s="2">
        <v>118.9</v>
      </c>
      <c r="F38" s="2">
        <v>117.1</v>
      </c>
      <c r="G38">
        <v>120.5</v>
      </c>
      <c r="H38">
        <v>114.4</v>
      </c>
      <c r="I38">
        <v>109</v>
      </c>
      <c r="J38">
        <v>115.5</v>
      </c>
      <c r="K38">
        <v>123.9</v>
      </c>
      <c r="L38">
        <v>109.6</v>
      </c>
      <c r="M38">
        <v>101.8</v>
      </c>
      <c r="N38">
        <v>110.2</v>
      </c>
      <c r="O38">
        <v>112.4</v>
      </c>
      <c r="P38">
        <v>117.3</v>
      </c>
      <c r="Q38" s="2">
        <v>116</v>
      </c>
      <c r="R38" s="2">
        <v>114</v>
      </c>
      <c r="S38" s="2">
        <v>116.5</v>
      </c>
      <c r="T38" s="2">
        <v>114.5</v>
      </c>
      <c r="U38" s="3">
        <v>116.2</v>
      </c>
      <c r="V38" s="2"/>
      <c r="W38">
        <v>113</v>
      </c>
      <c r="X38" s="2">
        <v>112.6</v>
      </c>
      <c r="Y38" s="2">
        <v>110.6</v>
      </c>
      <c r="Z38" s="2">
        <v>110.5</v>
      </c>
      <c r="AA38" s="2">
        <v>109.6</v>
      </c>
      <c r="AB38" s="2">
        <v>111.8</v>
      </c>
      <c r="AC38" s="2">
        <v>108.3</v>
      </c>
      <c r="AD38" s="2">
        <v>110.6</v>
      </c>
      <c r="AE38" s="2">
        <v>114.2</v>
      </c>
    </row>
    <row r="39" spans="1:31" x14ac:dyDescent="0.2">
      <c r="A39" t="s">
        <v>32</v>
      </c>
      <c r="B39">
        <v>2014</v>
      </c>
      <c r="C39" t="s">
        <v>31</v>
      </c>
      <c r="D39" s="1">
        <f>DATE(All_India_Index_Upto_April23__1___1[[#This Row],[Year]],MATCH(All_India_Index_Upto_April23__1___1[[#This Row],[Month]],{"January","February","March","April","May","June","July","August","September","October","November","December"},0),1)</f>
        <v>41640</v>
      </c>
      <c r="E39" s="2">
        <v>121.2</v>
      </c>
      <c r="F39" s="2">
        <v>122</v>
      </c>
      <c r="G39">
        <v>129.9</v>
      </c>
      <c r="H39">
        <v>113.6</v>
      </c>
      <c r="I39">
        <v>102.9</v>
      </c>
      <c r="J39">
        <v>112.1</v>
      </c>
      <c r="K39">
        <v>118.9</v>
      </c>
      <c r="L39">
        <v>107.5</v>
      </c>
      <c r="M39">
        <v>96.9</v>
      </c>
      <c r="N39">
        <v>112.7</v>
      </c>
      <c r="O39">
        <v>112.1</v>
      </c>
      <c r="P39">
        <v>119</v>
      </c>
      <c r="Q39" s="2">
        <v>115.5</v>
      </c>
      <c r="R39" s="2">
        <v>115.7</v>
      </c>
      <c r="S39" s="2">
        <v>114.8</v>
      </c>
      <c r="T39" s="2">
        <v>111.3</v>
      </c>
      <c r="U39" s="3">
        <v>114.3</v>
      </c>
      <c r="V39" s="2" t="s">
        <v>55</v>
      </c>
      <c r="W39" s="2">
        <v>111</v>
      </c>
      <c r="X39" s="2">
        <v>111.9</v>
      </c>
      <c r="Y39" s="2">
        <v>109.7</v>
      </c>
      <c r="Z39" s="2">
        <v>110.8</v>
      </c>
      <c r="AA39" s="2">
        <v>109.8</v>
      </c>
      <c r="AB39" s="2">
        <v>111.5</v>
      </c>
      <c r="AC39" s="2">
        <v>108</v>
      </c>
      <c r="AD39" s="2">
        <v>110.5</v>
      </c>
      <c r="AE39" s="2">
        <v>112.9</v>
      </c>
    </row>
    <row r="40" spans="1:31" x14ac:dyDescent="0.2">
      <c r="A40" t="s">
        <v>30</v>
      </c>
      <c r="B40">
        <v>2014</v>
      </c>
      <c r="C40" t="s">
        <v>35</v>
      </c>
      <c r="D40" s="1">
        <f>DATE(All_India_Index_Upto_April23__1___1[[#This Row],[Year]],MATCH(All_India_Index_Upto_April23__1___1[[#This Row],[Month]],{"January","February","March","April","May","June","July","August","September","October","November","December"},0),1)</f>
        <v>41671</v>
      </c>
      <c r="E40" s="2">
        <v>119.4</v>
      </c>
      <c r="F40" s="2">
        <v>117.7</v>
      </c>
      <c r="G40">
        <v>121.2</v>
      </c>
      <c r="H40">
        <v>115</v>
      </c>
      <c r="I40">
        <v>109</v>
      </c>
      <c r="J40">
        <v>116.6</v>
      </c>
      <c r="K40">
        <v>116</v>
      </c>
      <c r="L40">
        <v>109.8</v>
      </c>
      <c r="M40">
        <v>101.1</v>
      </c>
      <c r="N40">
        <v>110.4</v>
      </c>
      <c r="O40">
        <v>112.9</v>
      </c>
      <c r="P40">
        <v>117.8</v>
      </c>
      <c r="Q40" s="2">
        <v>115.3</v>
      </c>
      <c r="R40" s="2">
        <v>114.2</v>
      </c>
      <c r="S40" s="2">
        <v>117.1</v>
      </c>
      <c r="T40" s="2">
        <v>114.5</v>
      </c>
      <c r="U40" s="3">
        <v>116.7</v>
      </c>
      <c r="V40" s="2"/>
      <c r="W40">
        <v>113.2</v>
      </c>
      <c r="X40" s="2">
        <v>112.9</v>
      </c>
      <c r="Y40" s="2">
        <v>110.9</v>
      </c>
      <c r="Z40" s="2">
        <v>110.8</v>
      </c>
      <c r="AA40" s="2">
        <v>109.9</v>
      </c>
      <c r="AB40" s="2">
        <v>112</v>
      </c>
      <c r="AC40" s="2">
        <v>108.7</v>
      </c>
      <c r="AD40" s="2">
        <v>110.9</v>
      </c>
      <c r="AE40" s="2">
        <v>114</v>
      </c>
    </row>
    <row r="41" spans="1:31" x14ac:dyDescent="0.2">
      <c r="A41" t="s">
        <v>32</v>
      </c>
      <c r="B41">
        <v>2014</v>
      </c>
      <c r="C41" t="s">
        <v>35</v>
      </c>
      <c r="D41" s="1">
        <f>DATE(All_India_Index_Upto_April23__1___1[[#This Row],[Year]],MATCH(All_India_Index_Upto_April23__1___1[[#This Row],[Month]],{"January","February","March","April","May","June","July","August","September","October","November","December"},0),1)</f>
        <v>41671</v>
      </c>
      <c r="E41" s="2">
        <v>121.9</v>
      </c>
      <c r="F41" s="2">
        <v>122</v>
      </c>
      <c r="G41">
        <v>124.5</v>
      </c>
      <c r="H41">
        <v>115.2</v>
      </c>
      <c r="I41">
        <v>102.5</v>
      </c>
      <c r="J41">
        <v>114.1</v>
      </c>
      <c r="K41">
        <v>111.5</v>
      </c>
      <c r="L41">
        <v>108.2</v>
      </c>
      <c r="M41">
        <v>95.4</v>
      </c>
      <c r="N41">
        <v>113.5</v>
      </c>
      <c r="O41">
        <v>112.1</v>
      </c>
      <c r="P41">
        <v>119.9</v>
      </c>
      <c r="Q41" s="2">
        <v>115.2</v>
      </c>
      <c r="R41" s="2">
        <v>116.2</v>
      </c>
      <c r="S41" s="2">
        <v>115.3</v>
      </c>
      <c r="T41" s="2">
        <v>111.7</v>
      </c>
      <c r="U41" s="3">
        <v>114.7</v>
      </c>
      <c r="V41" s="2" t="s">
        <v>56</v>
      </c>
      <c r="W41" s="2">
        <v>111.1</v>
      </c>
      <c r="X41" s="2">
        <v>112.6</v>
      </c>
      <c r="Y41" s="2">
        <v>110.4</v>
      </c>
      <c r="Z41" s="2">
        <v>111.3</v>
      </c>
      <c r="AA41" s="2">
        <v>110.3</v>
      </c>
      <c r="AB41" s="2">
        <v>111.6</v>
      </c>
      <c r="AC41" s="2">
        <v>108.7</v>
      </c>
      <c r="AD41" s="2">
        <v>111</v>
      </c>
      <c r="AE41" s="2">
        <v>113.1</v>
      </c>
    </row>
    <row r="42" spans="1:31" x14ac:dyDescent="0.2">
      <c r="A42" t="s">
        <v>30</v>
      </c>
      <c r="B42">
        <v>2014</v>
      </c>
      <c r="C42" t="s">
        <v>37</v>
      </c>
      <c r="D42" s="1">
        <f>DATE(All_India_Index_Upto_April23__1___1[[#This Row],[Year]],MATCH(All_India_Index_Upto_April23__1___1[[#This Row],[Month]],{"January","February","March","April","May","June","July","August","September","October","November","December"},0),1)</f>
        <v>41699</v>
      </c>
      <c r="E42" s="2">
        <v>120.1</v>
      </c>
      <c r="F42" s="2">
        <v>118.1</v>
      </c>
      <c r="G42">
        <v>120.7</v>
      </c>
      <c r="H42">
        <v>116.1</v>
      </c>
      <c r="I42">
        <v>109.3</v>
      </c>
      <c r="J42">
        <v>119.6</v>
      </c>
      <c r="K42">
        <v>117.9</v>
      </c>
      <c r="L42">
        <v>110.2</v>
      </c>
      <c r="M42">
        <v>101.2</v>
      </c>
      <c r="N42">
        <v>110.7</v>
      </c>
      <c r="O42">
        <v>113</v>
      </c>
      <c r="P42">
        <v>118.3</v>
      </c>
      <c r="Q42" s="2">
        <v>116.2</v>
      </c>
      <c r="R42" s="2">
        <v>114.6</v>
      </c>
      <c r="S42" s="2">
        <v>117.5</v>
      </c>
      <c r="T42" s="2">
        <v>114.9</v>
      </c>
      <c r="U42" s="3">
        <v>117.2</v>
      </c>
      <c r="V42" s="2"/>
      <c r="W42">
        <v>113.4</v>
      </c>
      <c r="X42" s="2">
        <v>113.4</v>
      </c>
      <c r="Y42" s="2">
        <v>111.4</v>
      </c>
      <c r="Z42" s="2">
        <v>111.2</v>
      </c>
      <c r="AA42" s="2">
        <v>110.2</v>
      </c>
      <c r="AB42" s="2">
        <v>112.4</v>
      </c>
      <c r="AC42" s="2">
        <v>108.9</v>
      </c>
      <c r="AD42" s="2">
        <v>111.3</v>
      </c>
      <c r="AE42" s="2">
        <v>114.6</v>
      </c>
    </row>
    <row r="43" spans="1:31" x14ac:dyDescent="0.2">
      <c r="A43" t="s">
        <v>32</v>
      </c>
      <c r="B43">
        <v>2014</v>
      </c>
      <c r="C43" t="s">
        <v>37</v>
      </c>
      <c r="D43" s="1">
        <f>DATE(All_India_Index_Upto_April23__1___1[[#This Row],[Year]],MATCH(All_India_Index_Upto_April23__1___1[[#This Row],[Month]],{"January","February","March","April","May","June","July","August","September","October","November","December"},0),1)</f>
        <v>41699</v>
      </c>
      <c r="E43" s="2">
        <v>122.1</v>
      </c>
      <c r="F43" s="2">
        <v>121.4</v>
      </c>
      <c r="G43">
        <v>121.5</v>
      </c>
      <c r="H43">
        <v>116.2</v>
      </c>
      <c r="I43">
        <v>102.8</v>
      </c>
      <c r="J43">
        <v>117.7</v>
      </c>
      <c r="K43">
        <v>113.3</v>
      </c>
      <c r="L43">
        <v>108.9</v>
      </c>
      <c r="M43">
        <v>96.3</v>
      </c>
      <c r="N43">
        <v>114.1</v>
      </c>
      <c r="O43">
        <v>112.2</v>
      </c>
      <c r="P43">
        <v>120.5</v>
      </c>
      <c r="Q43" s="2">
        <v>116</v>
      </c>
      <c r="R43" s="2">
        <v>116.7</v>
      </c>
      <c r="S43" s="2">
        <v>115.8</v>
      </c>
      <c r="T43" s="2">
        <v>112.1</v>
      </c>
      <c r="U43" s="3">
        <v>115.2</v>
      </c>
      <c r="V43" s="2" t="s">
        <v>57</v>
      </c>
      <c r="W43" s="2">
        <v>110.9</v>
      </c>
      <c r="X43" s="2">
        <v>113</v>
      </c>
      <c r="Y43" s="2">
        <v>110.8</v>
      </c>
      <c r="Z43" s="2">
        <v>111.6</v>
      </c>
      <c r="AA43" s="2">
        <v>110.9</v>
      </c>
      <c r="AB43" s="2">
        <v>111.8</v>
      </c>
      <c r="AC43" s="2">
        <v>109.2</v>
      </c>
      <c r="AD43" s="2">
        <v>111.4</v>
      </c>
      <c r="AE43" s="2">
        <v>113.7</v>
      </c>
    </row>
    <row r="44" spans="1:31" x14ac:dyDescent="0.2">
      <c r="A44" t="s">
        <v>30</v>
      </c>
      <c r="B44">
        <v>2014</v>
      </c>
      <c r="C44" t="s">
        <v>38</v>
      </c>
      <c r="D44" s="1">
        <f>DATE(All_India_Index_Upto_April23__1___1[[#This Row],[Year]],MATCH(All_India_Index_Upto_April23__1___1[[#This Row],[Month]],{"January","February","March","April","May","June","July","August","September","October","November","December"},0),1)</f>
        <v>41730</v>
      </c>
      <c r="E44" s="2">
        <v>120.2</v>
      </c>
      <c r="F44" s="2">
        <v>118.9</v>
      </c>
      <c r="G44">
        <v>118.1</v>
      </c>
      <c r="H44">
        <v>117</v>
      </c>
      <c r="I44">
        <v>109.7</v>
      </c>
      <c r="J44">
        <v>125.5</v>
      </c>
      <c r="K44">
        <v>120.5</v>
      </c>
      <c r="L44">
        <v>111</v>
      </c>
      <c r="M44">
        <v>102.6</v>
      </c>
      <c r="N44">
        <v>111.2</v>
      </c>
      <c r="O44">
        <v>113.5</v>
      </c>
      <c r="P44">
        <v>118.7</v>
      </c>
      <c r="Q44" s="2">
        <v>117.2</v>
      </c>
      <c r="R44" s="2">
        <v>115.4</v>
      </c>
      <c r="S44" s="2">
        <v>118.1</v>
      </c>
      <c r="T44" s="2">
        <v>116.1</v>
      </c>
      <c r="U44" s="3">
        <v>117.8</v>
      </c>
      <c r="V44" s="2"/>
      <c r="W44">
        <v>113.4</v>
      </c>
      <c r="X44" s="2">
        <v>113.7</v>
      </c>
      <c r="Y44" s="2">
        <v>111.8</v>
      </c>
      <c r="Z44" s="2">
        <v>111.2</v>
      </c>
      <c r="AA44" s="2">
        <v>110.5</v>
      </c>
      <c r="AB44" s="2">
        <v>113</v>
      </c>
      <c r="AC44" s="2">
        <v>108.9</v>
      </c>
      <c r="AD44" s="2">
        <v>111.5</v>
      </c>
      <c r="AE44" s="2">
        <v>115.4</v>
      </c>
    </row>
    <row r="45" spans="1:31" x14ac:dyDescent="0.2">
      <c r="A45" t="s">
        <v>32</v>
      </c>
      <c r="B45">
        <v>2014</v>
      </c>
      <c r="C45" t="s">
        <v>38</v>
      </c>
      <c r="D45" s="1">
        <f>DATE(All_India_Index_Upto_April23__1___1[[#This Row],[Year]],MATCH(All_India_Index_Upto_April23__1___1[[#This Row],[Month]],{"January","February","March","April","May","June","July","August","September","October","November","December"},0),1)</f>
        <v>41730</v>
      </c>
      <c r="E45" s="2">
        <v>122.5</v>
      </c>
      <c r="F45" s="2">
        <v>121.7</v>
      </c>
      <c r="G45">
        <v>113.3</v>
      </c>
      <c r="H45">
        <v>117</v>
      </c>
      <c r="I45">
        <v>103.1</v>
      </c>
      <c r="J45">
        <v>126.7</v>
      </c>
      <c r="K45">
        <v>121.2</v>
      </c>
      <c r="L45">
        <v>111</v>
      </c>
      <c r="M45">
        <v>100.3</v>
      </c>
      <c r="N45">
        <v>115.3</v>
      </c>
      <c r="O45">
        <v>112.7</v>
      </c>
      <c r="P45">
        <v>121</v>
      </c>
      <c r="Q45" s="2">
        <v>118.2</v>
      </c>
      <c r="R45" s="2">
        <v>117.6</v>
      </c>
      <c r="S45" s="2">
        <v>116.3</v>
      </c>
      <c r="T45" s="2">
        <v>112.5</v>
      </c>
      <c r="U45" s="3">
        <v>115.7</v>
      </c>
      <c r="V45" s="2" t="s">
        <v>58</v>
      </c>
      <c r="W45" s="2">
        <v>110.9</v>
      </c>
      <c r="X45" s="2">
        <v>113.4</v>
      </c>
      <c r="Y45" s="2">
        <v>111</v>
      </c>
      <c r="Z45" s="2">
        <v>111.2</v>
      </c>
      <c r="AA45" s="2">
        <v>111.2</v>
      </c>
      <c r="AB45" s="2">
        <v>112.5</v>
      </c>
      <c r="AC45" s="2">
        <v>109.1</v>
      </c>
      <c r="AD45" s="2">
        <v>111.4</v>
      </c>
      <c r="AE45" s="2">
        <v>114.7</v>
      </c>
    </row>
    <row r="46" spans="1:31" x14ac:dyDescent="0.2">
      <c r="A46" t="s">
        <v>30</v>
      </c>
      <c r="B46">
        <v>2014</v>
      </c>
      <c r="C46" t="s">
        <v>40</v>
      </c>
      <c r="D46" s="1">
        <f>DATE(All_India_Index_Upto_April23__1___1[[#This Row],[Year]],MATCH(All_India_Index_Upto_April23__1___1[[#This Row],[Month]],{"January","February","March","April","May","June","July","August","September","October","November","December"},0),1)</f>
        <v>41760</v>
      </c>
      <c r="E46" s="2">
        <v>120.3</v>
      </c>
      <c r="F46" s="2">
        <v>120.2</v>
      </c>
      <c r="G46">
        <v>116.9</v>
      </c>
      <c r="H46">
        <v>118</v>
      </c>
      <c r="I46">
        <v>110.1</v>
      </c>
      <c r="J46">
        <v>126.3</v>
      </c>
      <c r="K46">
        <v>123.9</v>
      </c>
      <c r="L46">
        <v>111.5</v>
      </c>
      <c r="M46">
        <v>103.5</v>
      </c>
      <c r="N46">
        <v>111.6</v>
      </c>
      <c r="O46">
        <v>114.2</v>
      </c>
      <c r="P46">
        <v>119.2</v>
      </c>
      <c r="Q46" s="2">
        <v>118.2</v>
      </c>
      <c r="R46" s="2">
        <v>116.3</v>
      </c>
      <c r="S46" s="2">
        <v>118.7</v>
      </c>
      <c r="T46" s="2">
        <v>116.8</v>
      </c>
      <c r="U46" s="3">
        <v>118.5</v>
      </c>
      <c r="V46" s="2"/>
      <c r="W46">
        <v>113.4</v>
      </c>
      <c r="X46" s="2">
        <v>114.1</v>
      </c>
      <c r="Y46" s="2">
        <v>112.1</v>
      </c>
      <c r="Z46" s="2">
        <v>111.4</v>
      </c>
      <c r="AA46" s="2">
        <v>110.9</v>
      </c>
      <c r="AB46" s="2">
        <v>113.1</v>
      </c>
      <c r="AC46" s="2">
        <v>108.9</v>
      </c>
      <c r="AD46" s="2">
        <v>111.8</v>
      </c>
      <c r="AE46" s="2">
        <v>116</v>
      </c>
    </row>
    <row r="47" spans="1:31" x14ac:dyDescent="0.2">
      <c r="A47" t="s">
        <v>32</v>
      </c>
      <c r="B47">
        <v>2014</v>
      </c>
      <c r="C47" t="s">
        <v>40</v>
      </c>
      <c r="D47" s="1">
        <f>DATE(All_India_Index_Upto_April23__1___1[[#This Row],[Year]],MATCH(All_India_Index_Upto_April23__1___1[[#This Row],[Month]],{"January","February","March","April","May","June","July","August","September","October","November","December"},0),1)</f>
        <v>41760</v>
      </c>
      <c r="E47" s="2">
        <v>122.7</v>
      </c>
      <c r="F47" s="2">
        <v>124.1</v>
      </c>
      <c r="G47">
        <v>114.2</v>
      </c>
      <c r="H47">
        <v>119.1</v>
      </c>
      <c r="I47">
        <v>103.5</v>
      </c>
      <c r="J47">
        <v>129.19999999999999</v>
      </c>
      <c r="K47">
        <v>127</v>
      </c>
      <c r="L47">
        <v>112.6</v>
      </c>
      <c r="M47">
        <v>101.3</v>
      </c>
      <c r="N47">
        <v>117</v>
      </c>
      <c r="O47">
        <v>112.9</v>
      </c>
      <c r="P47">
        <v>121.7</v>
      </c>
      <c r="Q47" s="2">
        <v>120</v>
      </c>
      <c r="R47" s="2">
        <v>118.3</v>
      </c>
      <c r="S47" s="2">
        <v>116.8</v>
      </c>
      <c r="T47" s="2">
        <v>112.9</v>
      </c>
      <c r="U47" s="3">
        <v>116.2</v>
      </c>
      <c r="V47" s="2" t="s">
        <v>59</v>
      </c>
      <c r="W47" s="2">
        <v>111.1</v>
      </c>
      <c r="X47" s="2">
        <v>114.1</v>
      </c>
      <c r="Y47" s="2">
        <v>111.2</v>
      </c>
      <c r="Z47" s="2">
        <v>111.3</v>
      </c>
      <c r="AA47" s="2">
        <v>111.5</v>
      </c>
      <c r="AB47" s="2">
        <v>112.9</v>
      </c>
      <c r="AC47" s="2">
        <v>109.3</v>
      </c>
      <c r="AD47" s="2">
        <v>111.7</v>
      </c>
      <c r="AE47" s="2">
        <v>115.6</v>
      </c>
    </row>
    <row r="48" spans="1:31" x14ac:dyDescent="0.2">
      <c r="A48" t="s">
        <v>30</v>
      </c>
      <c r="B48">
        <v>2014</v>
      </c>
      <c r="C48" t="s">
        <v>41</v>
      </c>
      <c r="D48" s="1">
        <f>DATE(All_India_Index_Upto_April23__1___1[[#This Row],[Year]],MATCH(All_India_Index_Upto_April23__1___1[[#This Row],[Month]],{"January","February","March","April","May","June","July","August","September","October","November","December"},0),1)</f>
        <v>41791</v>
      </c>
      <c r="E48" s="2">
        <v>120.7</v>
      </c>
      <c r="F48" s="2">
        <v>121.6</v>
      </c>
      <c r="G48">
        <v>116.1</v>
      </c>
      <c r="H48">
        <v>119.3</v>
      </c>
      <c r="I48">
        <v>110.3</v>
      </c>
      <c r="J48">
        <v>125.8</v>
      </c>
      <c r="K48">
        <v>129.30000000000001</v>
      </c>
      <c r="L48">
        <v>112.2</v>
      </c>
      <c r="M48">
        <v>103.6</v>
      </c>
      <c r="N48">
        <v>112.3</v>
      </c>
      <c r="O48">
        <v>114.9</v>
      </c>
      <c r="P48">
        <v>120.1</v>
      </c>
      <c r="Q48" s="2">
        <v>119.5</v>
      </c>
      <c r="R48" s="2">
        <v>117.3</v>
      </c>
      <c r="S48" s="2">
        <v>119.7</v>
      </c>
      <c r="T48" s="2">
        <v>117.3</v>
      </c>
      <c r="U48" s="3">
        <v>119.3</v>
      </c>
      <c r="V48" s="2"/>
      <c r="W48">
        <v>114.4</v>
      </c>
      <c r="X48" s="2">
        <v>114.9</v>
      </c>
      <c r="Y48" s="2">
        <v>112.8</v>
      </c>
      <c r="Z48" s="2">
        <v>112.2</v>
      </c>
      <c r="AA48" s="2">
        <v>111.4</v>
      </c>
      <c r="AB48" s="2">
        <v>114.3</v>
      </c>
      <c r="AC48" s="2">
        <v>108</v>
      </c>
      <c r="AD48" s="2">
        <v>112.3</v>
      </c>
      <c r="AE48" s="2">
        <v>117</v>
      </c>
    </row>
    <row r="49" spans="1:31" x14ac:dyDescent="0.2">
      <c r="A49" t="s">
        <v>32</v>
      </c>
      <c r="B49">
        <v>2014</v>
      </c>
      <c r="C49" t="s">
        <v>41</v>
      </c>
      <c r="D49" s="1">
        <f>DATE(All_India_Index_Upto_April23__1___1[[#This Row],[Year]],MATCH(All_India_Index_Upto_April23__1___1[[#This Row],[Month]],{"January","February","March","April","May","June","July","August","September","October","November","December"},0),1)</f>
        <v>41791</v>
      </c>
      <c r="E49" s="2">
        <v>123.1</v>
      </c>
      <c r="F49" s="2">
        <v>125.9</v>
      </c>
      <c r="G49">
        <v>115.4</v>
      </c>
      <c r="H49">
        <v>120.4</v>
      </c>
      <c r="I49">
        <v>103.4</v>
      </c>
      <c r="J49">
        <v>131.19999999999999</v>
      </c>
      <c r="K49">
        <v>137.5</v>
      </c>
      <c r="L49">
        <v>112.8</v>
      </c>
      <c r="M49">
        <v>101.4</v>
      </c>
      <c r="N49">
        <v>118.3</v>
      </c>
      <c r="O49">
        <v>113.2</v>
      </c>
      <c r="P49">
        <v>122.4</v>
      </c>
      <c r="Q49" s="2">
        <v>122</v>
      </c>
      <c r="R49" s="2">
        <v>119</v>
      </c>
      <c r="S49" s="2">
        <v>117.4</v>
      </c>
      <c r="T49" s="2">
        <v>113.2</v>
      </c>
      <c r="U49" s="3">
        <v>116.7</v>
      </c>
      <c r="V49" s="2" t="s">
        <v>58</v>
      </c>
      <c r="W49" s="2">
        <v>111.2</v>
      </c>
      <c r="X49" s="2">
        <v>114.3</v>
      </c>
      <c r="Y49" s="2">
        <v>111.4</v>
      </c>
      <c r="Z49" s="2">
        <v>111.5</v>
      </c>
      <c r="AA49" s="2">
        <v>111.8</v>
      </c>
      <c r="AB49" s="2">
        <v>115.1</v>
      </c>
      <c r="AC49" s="2">
        <v>108.7</v>
      </c>
      <c r="AD49" s="2">
        <v>112.2</v>
      </c>
      <c r="AE49" s="2">
        <v>116.4</v>
      </c>
    </row>
    <row r="50" spans="1:31" x14ac:dyDescent="0.2">
      <c r="A50" t="s">
        <v>30</v>
      </c>
      <c r="B50">
        <v>2014</v>
      </c>
      <c r="C50" t="s">
        <v>43</v>
      </c>
      <c r="D50" s="1">
        <f>DATE(All_India_Index_Upto_April23__1___1[[#This Row],[Year]],MATCH(All_India_Index_Upto_April23__1___1[[#This Row],[Month]],{"January","February","March","April","May","June","July","August","September","October","November","December"},0),1)</f>
        <v>41821</v>
      </c>
      <c r="E50" s="2">
        <v>121.7</v>
      </c>
      <c r="F50" s="2">
        <v>122.5</v>
      </c>
      <c r="G50">
        <v>117.7</v>
      </c>
      <c r="H50">
        <v>120.6</v>
      </c>
      <c r="I50">
        <v>110.4</v>
      </c>
      <c r="J50">
        <v>129.1</v>
      </c>
      <c r="K50">
        <v>150.1</v>
      </c>
      <c r="L50">
        <v>113.2</v>
      </c>
      <c r="M50">
        <v>104.8</v>
      </c>
      <c r="N50">
        <v>113.3</v>
      </c>
      <c r="O50">
        <v>115.6</v>
      </c>
      <c r="P50">
        <v>120.9</v>
      </c>
      <c r="Q50" s="2">
        <v>123.3</v>
      </c>
      <c r="R50" s="2">
        <v>118</v>
      </c>
      <c r="S50" s="2">
        <v>120.7</v>
      </c>
      <c r="T50" s="2">
        <v>118.3</v>
      </c>
      <c r="U50" s="3">
        <v>120.3</v>
      </c>
      <c r="V50" s="2"/>
      <c r="W50">
        <v>115.3</v>
      </c>
      <c r="X50" s="2">
        <v>115.4</v>
      </c>
      <c r="Y50" s="2">
        <v>113.4</v>
      </c>
      <c r="Z50" s="2">
        <v>113.2</v>
      </c>
      <c r="AA50" s="2">
        <v>111.8</v>
      </c>
      <c r="AB50" s="2">
        <v>115.5</v>
      </c>
      <c r="AC50" s="2">
        <v>108.8</v>
      </c>
      <c r="AD50" s="2">
        <v>113.1</v>
      </c>
      <c r="AE50" s="2">
        <v>119.5</v>
      </c>
    </row>
    <row r="51" spans="1:31" x14ac:dyDescent="0.2">
      <c r="A51" t="s">
        <v>32</v>
      </c>
      <c r="B51">
        <v>2014</v>
      </c>
      <c r="C51" t="s">
        <v>43</v>
      </c>
      <c r="D51" s="1">
        <f>DATE(All_India_Index_Upto_April23__1___1[[#This Row],[Year]],MATCH(All_India_Index_Upto_April23__1___1[[#This Row],[Month]],{"January","February","March","April","May","June","July","August","September","October","November","December"},0),1)</f>
        <v>41821</v>
      </c>
      <c r="E51" s="2">
        <v>123.8</v>
      </c>
      <c r="F51" s="2">
        <v>126.4</v>
      </c>
      <c r="G51">
        <v>118</v>
      </c>
      <c r="H51">
        <v>121.6</v>
      </c>
      <c r="I51">
        <v>103.5</v>
      </c>
      <c r="J51">
        <v>133.69999999999999</v>
      </c>
      <c r="K51">
        <v>172.4</v>
      </c>
      <c r="L51">
        <v>113.1</v>
      </c>
      <c r="M51">
        <v>102.7</v>
      </c>
      <c r="N51">
        <v>120</v>
      </c>
      <c r="O51">
        <v>113.8</v>
      </c>
      <c r="P51">
        <v>123.4</v>
      </c>
      <c r="Q51" s="2">
        <v>127.1</v>
      </c>
      <c r="R51" s="2">
        <v>121</v>
      </c>
      <c r="S51" s="2">
        <v>118</v>
      </c>
      <c r="T51" s="2">
        <v>113.6</v>
      </c>
      <c r="U51" s="3">
        <v>117.4</v>
      </c>
      <c r="V51" s="2" t="s">
        <v>60</v>
      </c>
      <c r="W51" s="2">
        <v>111.6</v>
      </c>
      <c r="X51" s="2">
        <v>114.9</v>
      </c>
      <c r="Y51" s="2">
        <v>111.5</v>
      </c>
      <c r="Z51" s="2">
        <v>113</v>
      </c>
      <c r="AA51" s="2">
        <v>112.4</v>
      </c>
      <c r="AB51" s="2">
        <v>117.8</v>
      </c>
      <c r="AC51" s="2">
        <v>109.7</v>
      </c>
      <c r="AD51" s="2">
        <v>113.5</v>
      </c>
      <c r="AE51" s="2">
        <v>118.9</v>
      </c>
    </row>
    <row r="52" spans="1:31" x14ac:dyDescent="0.2">
      <c r="A52" t="s">
        <v>30</v>
      </c>
      <c r="B52">
        <v>2014</v>
      </c>
      <c r="C52" t="s">
        <v>45</v>
      </c>
      <c r="D52" s="1">
        <f>DATE(All_India_Index_Upto_April23__1___1[[#This Row],[Year]],MATCH(All_India_Index_Upto_April23__1___1[[#This Row],[Month]],{"January","February","March","April","May","June","July","August","September","October","November","December"},0),1)</f>
        <v>41852</v>
      </c>
      <c r="E52" s="2">
        <v>121.8</v>
      </c>
      <c r="F52" s="2">
        <v>122.8</v>
      </c>
      <c r="G52">
        <v>117.8</v>
      </c>
      <c r="H52">
        <v>121.9</v>
      </c>
      <c r="I52">
        <v>110.6</v>
      </c>
      <c r="J52">
        <v>129.69999999999999</v>
      </c>
      <c r="K52">
        <v>161.1</v>
      </c>
      <c r="L52">
        <v>114.1</v>
      </c>
      <c r="M52">
        <v>105.1</v>
      </c>
      <c r="N52">
        <v>114.6</v>
      </c>
      <c r="O52">
        <v>115.8</v>
      </c>
      <c r="P52">
        <v>121.7</v>
      </c>
      <c r="Q52" s="2">
        <v>125.3</v>
      </c>
      <c r="R52" s="2">
        <v>118.8</v>
      </c>
      <c r="S52" s="2">
        <v>120.9</v>
      </c>
      <c r="T52" s="2">
        <v>118.8</v>
      </c>
      <c r="U52" s="3">
        <v>120.7</v>
      </c>
      <c r="V52" s="2"/>
      <c r="W52">
        <v>115.4</v>
      </c>
      <c r="X52" s="2">
        <v>115.9</v>
      </c>
      <c r="Y52" s="2">
        <v>114</v>
      </c>
      <c r="Z52" s="2">
        <v>113.2</v>
      </c>
      <c r="AA52" s="2">
        <v>112.2</v>
      </c>
      <c r="AB52" s="2">
        <v>116.2</v>
      </c>
      <c r="AC52" s="2">
        <v>109.4</v>
      </c>
      <c r="AD52" s="2">
        <v>113.5</v>
      </c>
      <c r="AE52" s="2">
        <v>120.7</v>
      </c>
    </row>
    <row r="53" spans="1:31" x14ac:dyDescent="0.2">
      <c r="A53" t="s">
        <v>32</v>
      </c>
      <c r="B53">
        <v>2014</v>
      </c>
      <c r="C53" t="s">
        <v>45</v>
      </c>
      <c r="D53" s="1">
        <f>DATE(All_India_Index_Upto_April23__1___1[[#This Row],[Year]],MATCH(All_India_Index_Upto_April23__1___1[[#This Row],[Month]],{"January","February","March","April","May","June","July","August","September","October","November","December"},0),1)</f>
        <v>41852</v>
      </c>
      <c r="E53" s="2">
        <v>124.8</v>
      </c>
      <c r="F53" s="2">
        <v>127.3</v>
      </c>
      <c r="G53">
        <v>116.5</v>
      </c>
      <c r="H53">
        <v>122.2</v>
      </c>
      <c r="I53">
        <v>103.6</v>
      </c>
      <c r="J53">
        <v>132.69999999999999</v>
      </c>
      <c r="K53">
        <v>181.9</v>
      </c>
      <c r="L53">
        <v>115.2</v>
      </c>
      <c r="M53">
        <v>102.7</v>
      </c>
      <c r="N53">
        <v>122.1</v>
      </c>
      <c r="O53">
        <v>114.4</v>
      </c>
      <c r="P53">
        <v>124.7</v>
      </c>
      <c r="Q53" s="2">
        <v>128.9</v>
      </c>
      <c r="R53" s="2">
        <v>123</v>
      </c>
      <c r="S53" s="2">
        <v>118.6</v>
      </c>
      <c r="T53" s="2">
        <v>114.1</v>
      </c>
      <c r="U53" s="3">
        <v>117.9</v>
      </c>
      <c r="V53" s="2" t="s">
        <v>61</v>
      </c>
      <c r="W53" s="2">
        <v>111.8</v>
      </c>
      <c r="X53" s="2">
        <v>115.3</v>
      </c>
      <c r="Y53" s="2">
        <v>112.2</v>
      </c>
      <c r="Z53" s="2">
        <v>112.5</v>
      </c>
      <c r="AA53" s="2">
        <v>112.9</v>
      </c>
      <c r="AB53" s="2">
        <v>119.2</v>
      </c>
      <c r="AC53" s="2">
        <v>110.5</v>
      </c>
      <c r="AD53" s="2">
        <v>113.9</v>
      </c>
      <c r="AE53" s="2">
        <v>119.9</v>
      </c>
    </row>
    <row r="54" spans="1:31" x14ac:dyDescent="0.2">
      <c r="A54" t="s">
        <v>30</v>
      </c>
      <c r="B54">
        <v>2014</v>
      </c>
      <c r="C54" t="s">
        <v>47</v>
      </c>
      <c r="D54" s="1">
        <f>DATE(All_India_Index_Upto_April23__1___1[[#This Row],[Year]],MATCH(All_India_Index_Upto_April23__1___1[[#This Row],[Month]],{"January","February","March","April","May","June","July","August","September","October","November","December"},0),1)</f>
        <v>41883</v>
      </c>
      <c r="E54" s="2">
        <v>122.3</v>
      </c>
      <c r="F54" s="2">
        <v>122.4</v>
      </c>
      <c r="G54">
        <v>117.8</v>
      </c>
      <c r="H54">
        <v>122.7</v>
      </c>
      <c r="I54">
        <v>110.4</v>
      </c>
      <c r="J54">
        <v>129.80000000000001</v>
      </c>
      <c r="K54">
        <v>158.80000000000001</v>
      </c>
      <c r="L54">
        <v>115</v>
      </c>
      <c r="M54">
        <v>104.7</v>
      </c>
      <c r="N54">
        <v>114.9</v>
      </c>
      <c r="O54">
        <v>116.5</v>
      </c>
      <c r="P54">
        <v>122.6</v>
      </c>
      <c r="Q54" s="2">
        <v>125.3</v>
      </c>
      <c r="R54" s="2">
        <v>119.5</v>
      </c>
      <c r="S54" s="2">
        <v>121.7</v>
      </c>
      <c r="T54" s="2">
        <v>119.2</v>
      </c>
      <c r="U54" s="3">
        <v>121.3</v>
      </c>
      <c r="V54" s="2"/>
      <c r="W54">
        <v>115.8</v>
      </c>
      <c r="X54" s="2">
        <v>116.7</v>
      </c>
      <c r="Y54" s="2">
        <v>114.5</v>
      </c>
      <c r="Z54" s="2">
        <v>112.8</v>
      </c>
      <c r="AA54" s="2">
        <v>112.6</v>
      </c>
      <c r="AB54" s="2">
        <v>116.6</v>
      </c>
      <c r="AC54" s="2">
        <v>109.1</v>
      </c>
      <c r="AD54" s="2">
        <v>113.7</v>
      </c>
      <c r="AE54" s="2">
        <v>120.9</v>
      </c>
    </row>
    <row r="55" spans="1:31" x14ac:dyDescent="0.2">
      <c r="A55" t="s">
        <v>32</v>
      </c>
      <c r="B55">
        <v>2014</v>
      </c>
      <c r="C55" t="s">
        <v>47</v>
      </c>
      <c r="D55" s="1">
        <f>DATE(All_India_Index_Upto_April23__1___1[[#This Row],[Year]],MATCH(All_India_Index_Upto_April23__1___1[[#This Row],[Month]],{"January","February","March","April","May","June","July","August","September","October","November","December"},0),1)</f>
        <v>41883</v>
      </c>
      <c r="E55" s="2">
        <v>124.2</v>
      </c>
      <c r="F55" s="2">
        <v>125.4</v>
      </c>
      <c r="G55">
        <v>116.4</v>
      </c>
      <c r="H55">
        <v>122.7</v>
      </c>
      <c r="I55">
        <v>103.5</v>
      </c>
      <c r="J55">
        <v>124.5</v>
      </c>
      <c r="K55">
        <v>168.6</v>
      </c>
      <c r="L55">
        <v>116.9</v>
      </c>
      <c r="M55">
        <v>101.9</v>
      </c>
      <c r="N55">
        <v>122.9</v>
      </c>
      <c r="O55">
        <v>114.8</v>
      </c>
      <c r="P55">
        <v>125.2</v>
      </c>
      <c r="Q55" s="2">
        <v>126.7</v>
      </c>
      <c r="R55" s="2">
        <v>124.3</v>
      </c>
      <c r="S55" s="2">
        <v>119.2</v>
      </c>
      <c r="T55" s="2">
        <v>114.5</v>
      </c>
      <c r="U55" s="3">
        <v>118.4</v>
      </c>
      <c r="V55" s="2" t="s">
        <v>62</v>
      </c>
      <c r="W55" s="2">
        <v>111.8</v>
      </c>
      <c r="X55" s="2">
        <v>115.5</v>
      </c>
      <c r="Y55" s="2">
        <v>112.3</v>
      </c>
      <c r="Z55" s="2">
        <v>111.2</v>
      </c>
      <c r="AA55" s="2">
        <v>113.4</v>
      </c>
      <c r="AB55" s="2">
        <v>120</v>
      </c>
      <c r="AC55" s="2">
        <v>110</v>
      </c>
      <c r="AD55" s="2">
        <v>113.6</v>
      </c>
      <c r="AE55" s="2">
        <v>119.2</v>
      </c>
    </row>
    <row r="56" spans="1:31" x14ac:dyDescent="0.2">
      <c r="A56" t="s">
        <v>30</v>
      </c>
      <c r="B56">
        <v>2014</v>
      </c>
      <c r="C56" t="s">
        <v>49</v>
      </c>
      <c r="D56" s="1">
        <f>DATE(All_India_Index_Upto_April23__1___1[[#This Row],[Year]],MATCH(All_India_Index_Upto_April23__1___1[[#This Row],[Month]],{"January","February","March","April","May","June","July","August","September","October","November","December"},0),1)</f>
        <v>41913</v>
      </c>
      <c r="E56" s="2">
        <v>122.6</v>
      </c>
      <c r="F56" s="2">
        <v>122.5</v>
      </c>
      <c r="G56">
        <v>118.3</v>
      </c>
      <c r="H56">
        <v>123.2</v>
      </c>
      <c r="I56">
        <v>110.5</v>
      </c>
      <c r="J56">
        <v>128.9</v>
      </c>
      <c r="K56">
        <v>155.30000000000001</v>
      </c>
      <c r="L56">
        <v>115.5</v>
      </c>
      <c r="M56">
        <v>104</v>
      </c>
      <c r="N56">
        <v>115.3</v>
      </c>
      <c r="O56">
        <v>116.8</v>
      </c>
      <c r="P56">
        <v>123.2</v>
      </c>
      <c r="Q56" s="2">
        <v>125.1</v>
      </c>
      <c r="R56" s="2">
        <v>120</v>
      </c>
      <c r="S56" s="2">
        <v>122.7</v>
      </c>
      <c r="T56" s="2">
        <v>120.3</v>
      </c>
      <c r="U56" s="3">
        <v>122.3</v>
      </c>
      <c r="V56" s="2"/>
      <c r="W56">
        <v>116.4</v>
      </c>
      <c r="X56" s="2">
        <v>117.5</v>
      </c>
      <c r="Y56" s="2">
        <v>115.3</v>
      </c>
      <c r="Z56" s="2">
        <v>112.6</v>
      </c>
      <c r="AA56" s="2">
        <v>113</v>
      </c>
      <c r="AB56" s="2">
        <v>116.9</v>
      </c>
      <c r="AC56" s="2">
        <v>109.3</v>
      </c>
      <c r="AD56" s="2">
        <v>114</v>
      </c>
      <c r="AE56" s="2">
        <v>121</v>
      </c>
    </row>
    <row r="57" spans="1:31" x14ac:dyDescent="0.2">
      <c r="A57" t="s">
        <v>32</v>
      </c>
      <c r="B57">
        <v>2014</v>
      </c>
      <c r="C57" t="s">
        <v>49</v>
      </c>
      <c r="D57" s="1">
        <f>DATE(All_India_Index_Upto_April23__1___1[[#This Row],[Year]],MATCH(All_India_Index_Upto_April23__1___1[[#This Row],[Month]],{"January","February","March","April","May","June","July","August","September","October","November","December"},0),1)</f>
        <v>41913</v>
      </c>
      <c r="E57" s="2">
        <v>124.6</v>
      </c>
      <c r="F57" s="2">
        <v>126.1</v>
      </c>
      <c r="G57">
        <v>117.8</v>
      </c>
      <c r="H57">
        <v>123.1</v>
      </c>
      <c r="I57">
        <v>103.5</v>
      </c>
      <c r="J57">
        <v>123.5</v>
      </c>
      <c r="K57">
        <v>159.6</v>
      </c>
      <c r="L57">
        <v>117.4</v>
      </c>
      <c r="M57">
        <v>101.2</v>
      </c>
      <c r="N57">
        <v>123.8</v>
      </c>
      <c r="O57">
        <v>115.2</v>
      </c>
      <c r="P57">
        <v>125.9</v>
      </c>
      <c r="Q57" s="2">
        <v>125.8</v>
      </c>
      <c r="R57" s="2">
        <v>124.3</v>
      </c>
      <c r="S57" s="2">
        <v>119.6</v>
      </c>
      <c r="T57" s="2">
        <v>114.9</v>
      </c>
      <c r="U57" s="3">
        <v>118.9</v>
      </c>
      <c r="V57" s="2" t="s">
        <v>63</v>
      </c>
      <c r="W57" s="2">
        <v>112</v>
      </c>
      <c r="X57" s="2">
        <v>115.8</v>
      </c>
      <c r="Y57" s="2">
        <v>112.6</v>
      </c>
      <c r="Z57" s="2">
        <v>111</v>
      </c>
      <c r="AA57" s="2">
        <v>113.6</v>
      </c>
      <c r="AB57" s="2">
        <v>120.2</v>
      </c>
      <c r="AC57" s="2">
        <v>110.1</v>
      </c>
      <c r="AD57" s="2">
        <v>113.7</v>
      </c>
      <c r="AE57" s="2">
        <v>119.1</v>
      </c>
    </row>
    <row r="58" spans="1:31" x14ac:dyDescent="0.2">
      <c r="A58" t="s">
        <v>30</v>
      </c>
      <c r="B58">
        <v>2014</v>
      </c>
      <c r="C58" t="s">
        <v>51</v>
      </c>
      <c r="D58" s="1">
        <f>DATE(All_India_Index_Upto_April23__1___1[[#This Row],[Year]],MATCH(All_India_Index_Upto_April23__1___1[[#This Row],[Month]],{"January","February","March","April","May","June","July","August","September","October","November","December"},0),1)</f>
        <v>41944</v>
      </c>
      <c r="E58" s="2">
        <v>122.7</v>
      </c>
      <c r="F58" s="2">
        <v>122.6</v>
      </c>
      <c r="G58">
        <v>119.9</v>
      </c>
      <c r="H58">
        <v>124</v>
      </c>
      <c r="I58">
        <v>110.5</v>
      </c>
      <c r="J58">
        <v>128.80000000000001</v>
      </c>
      <c r="K58">
        <v>152</v>
      </c>
      <c r="L58">
        <v>116.2</v>
      </c>
      <c r="M58">
        <v>103.3</v>
      </c>
      <c r="N58">
        <v>115.8</v>
      </c>
      <c r="O58">
        <v>116.8</v>
      </c>
      <c r="P58">
        <v>124.5</v>
      </c>
      <c r="Q58" s="2">
        <v>124.9</v>
      </c>
      <c r="R58" s="2">
        <v>120.8</v>
      </c>
      <c r="S58" s="2">
        <v>123.3</v>
      </c>
      <c r="T58" s="2">
        <v>120.5</v>
      </c>
      <c r="U58" s="3">
        <v>122.9</v>
      </c>
      <c r="V58" s="2"/>
      <c r="W58">
        <v>117.3</v>
      </c>
      <c r="X58" s="2">
        <v>118.1</v>
      </c>
      <c r="Y58" s="2">
        <v>115.9</v>
      </c>
      <c r="Z58" s="2">
        <v>112</v>
      </c>
      <c r="AA58" s="2">
        <v>113.3</v>
      </c>
      <c r="AB58" s="2">
        <v>117.2</v>
      </c>
      <c r="AC58" s="2">
        <v>108.8</v>
      </c>
      <c r="AD58" s="2">
        <v>114.1</v>
      </c>
      <c r="AE58" s="2">
        <v>121.1</v>
      </c>
    </row>
    <row r="59" spans="1:31" x14ac:dyDescent="0.2">
      <c r="A59" t="s">
        <v>32</v>
      </c>
      <c r="B59">
        <v>2014</v>
      </c>
      <c r="C59" t="s">
        <v>51</v>
      </c>
      <c r="D59" s="1">
        <f>DATE(All_India_Index_Upto_April23__1___1[[#This Row],[Year]],MATCH(All_India_Index_Upto_April23__1___1[[#This Row],[Month]],{"January","February","March","April","May","June","July","August","September","October","November","December"},0),1)</f>
        <v>41944</v>
      </c>
      <c r="E59" s="2">
        <v>124.5</v>
      </c>
      <c r="F59" s="2">
        <v>125.6</v>
      </c>
      <c r="G59">
        <v>122.7</v>
      </c>
      <c r="H59">
        <v>124.6</v>
      </c>
      <c r="I59">
        <v>103.2</v>
      </c>
      <c r="J59">
        <v>122.2</v>
      </c>
      <c r="K59">
        <v>153.19999999999999</v>
      </c>
      <c r="L59">
        <v>119.3</v>
      </c>
      <c r="M59">
        <v>99.8</v>
      </c>
      <c r="N59">
        <v>124.6</v>
      </c>
      <c r="O59">
        <v>115.8</v>
      </c>
      <c r="P59">
        <v>126.9</v>
      </c>
      <c r="Q59" s="2">
        <v>125.4</v>
      </c>
      <c r="R59" s="2">
        <v>125.8</v>
      </c>
      <c r="S59" s="2">
        <v>120.3</v>
      </c>
      <c r="T59" s="2">
        <v>115.4</v>
      </c>
      <c r="U59" s="3">
        <v>119.5</v>
      </c>
      <c r="V59" s="2" t="s">
        <v>64</v>
      </c>
      <c r="W59" s="2">
        <v>112.6</v>
      </c>
      <c r="X59" s="2">
        <v>116.4</v>
      </c>
      <c r="Y59" s="2">
        <v>113</v>
      </c>
      <c r="Z59" s="2">
        <v>109.7</v>
      </c>
      <c r="AA59" s="2">
        <v>114</v>
      </c>
      <c r="AB59" s="2">
        <v>120.3</v>
      </c>
      <c r="AC59" s="2">
        <v>109.6</v>
      </c>
      <c r="AD59" s="2">
        <v>113.4</v>
      </c>
      <c r="AE59" s="2">
        <v>119</v>
      </c>
    </row>
    <row r="60" spans="1:31" x14ac:dyDescent="0.2">
      <c r="A60" t="s">
        <v>30</v>
      </c>
      <c r="B60">
        <v>2014</v>
      </c>
      <c r="C60" t="s">
        <v>53</v>
      </c>
      <c r="D60" s="1">
        <f>DATE(All_India_Index_Upto_April23__1___1[[#This Row],[Year]],MATCH(All_India_Index_Upto_April23__1___1[[#This Row],[Month]],{"January","February","March","April","May","June","July","August","September","October","November","December"},0),1)</f>
        <v>41974</v>
      </c>
      <c r="E60" s="2">
        <v>122.4</v>
      </c>
      <c r="F60" s="2">
        <v>122.4</v>
      </c>
      <c r="G60">
        <v>121.8</v>
      </c>
      <c r="H60">
        <v>124.2</v>
      </c>
      <c r="I60">
        <v>110.2</v>
      </c>
      <c r="J60">
        <v>128.6</v>
      </c>
      <c r="K60">
        <v>140.30000000000001</v>
      </c>
      <c r="L60">
        <v>116.3</v>
      </c>
      <c r="M60">
        <v>102</v>
      </c>
      <c r="N60">
        <v>116</v>
      </c>
      <c r="O60">
        <v>117.3</v>
      </c>
      <c r="P60">
        <v>124.8</v>
      </c>
      <c r="Q60" s="2">
        <v>123.3</v>
      </c>
      <c r="R60" s="2">
        <v>121.7</v>
      </c>
      <c r="S60" s="2">
        <v>123.8</v>
      </c>
      <c r="T60" s="2">
        <v>120.6</v>
      </c>
      <c r="U60" s="3">
        <v>123.3</v>
      </c>
      <c r="V60" s="2"/>
      <c r="W60">
        <v>117.4</v>
      </c>
      <c r="X60" s="2">
        <v>118.2</v>
      </c>
      <c r="Y60" s="2">
        <v>116.2</v>
      </c>
      <c r="Z60" s="2">
        <v>111.5</v>
      </c>
      <c r="AA60" s="2">
        <v>113.3</v>
      </c>
      <c r="AB60" s="2">
        <v>117.7</v>
      </c>
      <c r="AC60" s="2">
        <v>109.4</v>
      </c>
      <c r="AD60" s="2">
        <v>114.2</v>
      </c>
      <c r="AE60" s="2">
        <v>120.3</v>
      </c>
    </row>
    <row r="61" spans="1:31" x14ac:dyDescent="0.2">
      <c r="A61" t="s">
        <v>32</v>
      </c>
      <c r="B61">
        <v>2014</v>
      </c>
      <c r="C61" t="s">
        <v>53</v>
      </c>
      <c r="D61" s="1">
        <f>DATE(All_India_Index_Upto_April23__1___1[[#This Row],[Year]],MATCH(All_India_Index_Upto_April23__1___1[[#This Row],[Month]],{"January","February","March","April","May","June","July","August","September","October","November","December"},0),1)</f>
        <v>41974</v>
      </c>
      <c r="E61" s="2">
        <v>124</v>
      </c>
      <c r="F61" s="2">
        <v>124.7</v>
      </c>
      <c r="G61">
        <v>126.3</v>
      </c>
      <c r="H61">
        <v>124.9</v>
      </c>
      <c r="I61">
        <v>103</v>
      </c>
      <c r="J61">
        <v>122.3</v>
      </c>
      <c r="K61">
        <v>141</v>
      </c>
      <c r="L61">
        <v>120.1</v>
      </c>
      <c r="M61">
        <v>97.8</v>
      </c>
      <c r="N61">
        <v>125.4</v>
      </c>
      <c r="O61">
        <v>116.1</v>
      </c>
      <c r="P61">
        <v>127.6</v>
      </c>
      <c r="Q61" s="2">
        <v>124</v>
      </c>
      <c r="R61" s="2">
        <v>126.4</v>
      </c>
      <c r="S61" s="2">
        <v>120.7</v>
      </c>
      <c r="T61" s="2">
        <v>115.8</v>
      </c>
      <c r="U61" s="3">
        <v>120</v>
      </c>
      <c r="V61" s="2" t="s">
        <v>65</v>
      </c>
      <c r="W61" s="2">
        <v>113</v>
      </c>
      <c r="X61" s="2">
        <v>116.8</v>
      </c>
      <c r="Y61" s="2">
        <v>113.2</v>
      </c>
      <c r="Z61" s="2">
        <v>108.8</v>
      </c>
      <c r="AA61" s="2">
        <v>114.3</v>
      </c>
      <c r="AB61" s="2">
        <v>120.7</v>
      </c>
      <c r="AC61" s="2">
        <v>110.4</v>
      </c>
      <c r="AD61" s="2">
        <v>113.4</v>
      </c>
      <c r="AE61" s="2">
        <v>118.4</v>
      </c>
    </row>
    <row r="62" spans="1:31" x14ac:dyDescent="0.2">
      <c r="A62" t="s">
        <v>34</v>
      </c>
      <c r="B62">
        <v>2014</v>
      </c>
      <c r="C62" t="s">
        <v>31</v>
      </c>
      <c r="D62" s="1">
        <f>DATE(All_India_Index_Upto_April23__1___1[[#This Row],[Year]],MATCH(All_India_Index_Upto_April23__1___1[[#This Row],[Month]],{"January","February","March","April","May","June","July","August","September","October","November","December"},0),1)</f>
        <v>41640</v>
      </c>
      <c r="E62" s="2">
        <v>119.6</v>
      </c>
      <c r="F62" s="2">
        <v>118.8</v>
      </c>
      <c r="G62">
        <v>124.1</v>
      </c>
      <c r="H62">
        <v>114.1</v>
      </c>
      <c r="I62">
        <v>106.8</v>
      </c>
      <c r="J62">
        <v>113.9</v>
      </c>
      <c r="K62">
        <v>122.2</v>
      </c>
      <c r="L62">
        <v>108.9</v>
      </c>
      <c r="M62">
        <v>100.2</v>
      </c>
      <c r="N62">
        <v>111</v>
      </c>
      <c r="O62">
        <v>112.3</v>
      </c>
      <c r="P62">
        <v>118.1</v>
      </c>
      <c r="Q62" s="2">
        <v>115.8</v>
      </c>
      <c r="R62" s="2">
        <v>114.5</v>
      </c>
      <c r="S62" s="2">
        <v>115.8</v>
      </c>
      <c r="T62" s="2">
        <v>113.2</v>
      </c>
      <c r="U62" s="3">
        <v>115.4</v>
      </c>
      <c r="V62" s="2" t="s">
        <v>55</v>
      </c>
      <c r="W62" s="2">
        <v>112.2</v>
      </c>
      <c r="X62" s="2">
        <v>112.3</v>
      </c>
      <c r="Y62" s="2">
        <v>110.3</v>
      </c>
      <c r="Z62" s="2">
        <v>110.7</v>
      </c>
      <c r="AA62" s="2">
        <v>109.7</v>
      </c>
      <c r="AB62" s="2">
        <v>111.6</v>
      </c>
      <c r="AC62" s="2">
        <v>108.2</v>
      </c>
      <c r="AD62" s="2">
        <v>110.6</v>
      </c>
      <c r="AE62" s="2">
        <v>113.6</v>
      </c>
    </row>
    <row r="63" spans="1:31" x14ac:dyDescent="0.2">
      <c r="A63" t="s">
        <v>34</v>
      </c>
      <c r="B63">
        <v>2014</v>
      </c>
      <c r="C63" t="s">
        <v>35</v>
      </c>
      <c r="D63" s="1">
        <f>DATE(All_India_Index_Upto_April23__1___1[[#This Row],[Year]],MATCH(All_India_Index_Upto_April23__1___1[[#This Row],[Month]],{"January","February","March","April","May","June","July","August","September","October","November","December"},0),1)</f>
        <v>41671</v>
      </c>
      <c r="E63" s="2">
        <v>120.2</v>
      </c>
      <c r="F63" s="2">
        <v>119.2</v>
      </c>
      <c r="G63">
        <v>122.5</v>
      </c>
      <c r="H63">
        <v>115.1</v>
      </c>
      <c r="I63">
        <v>106.6</v>
      </c>
      <c r="J63">
        <v>115.4</v>
      </c>
      <c r="K63">
        <v>114.5</v>
      </c>
      <c r="L63">
        <v>109.3</v>
      </c>
      <c r="M63">
        <v>99.2</v>
      </c>
      <c r="N63">
        <v>111.4</v>
      </c>
      <c r="O63">
        <v>112.6</v>
      </c>
      <c r="P63">
        <v>118.8</v>
      </c>
      <c r="Q63" s="2">
        <v>115.3</v>
      </c>
      <c r="R63" s="2">
        <v>114.7</v>
      </c>
      <c r="S63" s="2">
        <v>116.4</v>
      </c>
      <c r="T63" s="2">
        <v>113.3</v>
      </c>
      <c r="U63" s="3">
        <v>115.9</v>
      </c>
      <c r="V63" s="2" t="s">
        <v>56</v>
      </c>
      <c r="W63" s="2">
        <v>112.4</v>
      </c>
      <c r="X63" s="2">
        <v>112.8</v>
      </c>
      <c r="Y63" s="2">
        <v>110.7</v>
      </c>
      <c r="Z63" s="2">
        <v>111.1</v>
      </c>
      <c r="AA63" s="2">
        <v>110.1</v>
      </c>
      <c r="AB63" s="2">
        <v>111.8</v>
      </c>
      <c r="AC63" s="2">
        <v>108.7</v>
      </c>
      <c r="AD63" s="2">
        <v>110.9</v>
      </c>
      <c r="AE63" s="2">
        <v>113.6</v>
      </c>
    </row>
    <row r="64" spans="1:31" x14ac:dyDescent="0.2">
      <c r="A64" t="s">
        <v>34</v>
      </c>
      <c r="B64">
        <v>2014</v>
      </c>
      <c r="C64" t="s">
        <v>37</v>
      </c>
      <c r="D64" s="1">
        <f>DATE(All_India_Index_Upto_April23__1___1[[#This Row],[Year]],MATCH(All_India_Index_Upto_April23__1___1[[#This Row],[Month]],{"January","February","March","April","May","June","July","August","September","October","November","December"},0),1)</f>
        <v>41699</v>
      </c>
      <c r="E64" s="2">
        <v>120.7</v>
      </c>
      <c r="F64" s="2">
        <v>119.3</v>
      </c>
      <c r="G64">
        <v>121</v>
      </c>
      <c r="H64">
        <v>116.1</v>
      </c>
      <c r="I64">
        <v>106.9</v>
      </c>
      <c r="J64">
        <v>118.7</v>
      </c>
      <c r="K64">
        <v>116.3</v>
      </c>
      <c r="L64">
        <v>109.8</v>
      </c>
      <c r="M64">
        <v>99.6</v>
      </c>
      <c r="N64">
        <v>111.8</v>
      </c>
      <c r="O64">
        <v>112.7</v>
      </c>
      <c r="P64">
        <v>119.3</v>
      </c>
      <c r="Q64" s="2">
        <v>116.1</v>
      </c>
      <c r="R64" s="2">
        <v>115.2</v>
      </c>
      <c r="S64" s="2">
        <v>116.8</v>
      </c>
      <c r="T64" s="2">
        <v>113.7</v>
      </c>
      <c r="U64" s="3">
        <v>116.4</v>
      </c>
      <c r="V64" s="2" t="s">
        <v>57</v>
      </c>
      <c r="W64" s="2">
        <v>112.5</v>
      </c>
      <c r="X64" s="2">
        <v>113.2</v>
      </c>
      <c r="Y64" s="2">
        <v>111.2</v>
      </c>
      <c r="Z64" s="2">
        <v>111.4</v>
      </c>
      <c r="AA64" s="2">
        <v>110.6</v>
      </c>
      <c r="AB64" s="2">
        <v>112</v>
      </c>
      <c r="AC64" s="2">
        <v>109</v>
      </c>
      <c r="AD64" s="2">
        <v>111.3</v>
      </c>
      <c r="AE64" s="2">
        <v>114.2</v>
      </c>
    </row>
    <row r="65" spans="1:31" x14ac:dyDescent="0.2">
      <c r="A65" t="s">
        <v>34</v>
      </c>
      <c r="B65">
        <v>2014</v>
      </c>
      <c r="C65" t="s">
        <v>38</v>
      </c>
      <c r="D65" s="1">
        <f>DATE(All_India_Index_Upto_April23__1___1[[#This Row],[Year]],MATCH(All_India_Index_Upto_April23__1___1[[#This Row],[Month]],{"January","February","March","April","May","June","July","August","September","October","November","December"},0),1)</f>
        <v>41730</v>
      </c>
      <c r="E65" s="2">
        <v>120.9</v>
      </c>
      <c r="F65" s="2">
        <v>119.9</v>
      </c>
      <c r="G65">
        <v>116.2</v>
      </c>
      <c r="H65">
        <v>117</v>
      </c>
      <c r="I65">
        <v>107.3</v>
      </c>
      <c r="J65">
        <v>126.1</v>
      </c>
      <c r="K65">
        <v>120.7</v>
      </c>
      <c r="L65">
        <v>111</v>
      </c>
      <c r="M65">
        <v>101.8</v>
      </c>
      <c r="N65">
        <v>112.6</v>
      </c>
      <c r="O65">
        <v>113.2</v>
      </c>
      <c r="P65">
        <v>119.8</v>
      </c>
      <c r="Q65" s="2">
        <v>117.6</v>
      </c>
      <c r="R65" s="2">
        <v>116</v>
      </c>
      <c r="S65" s="2">
        <v>117.4</v>
      </c>
      <c r="T65" s="2">
        <v>114.6</v>
      </c>
      <c r="U65" s="3">
        <v>117</v>
      </c>
      <c r="V65" s="2" t="s">
        <v>58</v>
      </c>
      <c r="W65" s="2">
        <v>112.5</v>
      </c>
      <c r="X65" s="2">
        <v>113.6</v>
      </c>
      <c r="Y65" s="2">
        <v>111.5</v>
      </c>
      <c r="Z65" s="2">
        <v>111.2</v>
      </c>
      <c r="AA65" s="2">
        <v>110.9</v>
      </c>
      <c r="AB65" s="2">
        <v>112.7</v>
      </c>
      <c r="AC65" s="2">
        <v>109</v>
      </c>
      <c r="AD65" s="2">
        <v>111.5</v>
      </c>
      <c r="AE65" s="2">
        <v>115.1</v>
      </c>
    </row>
    <row r="66" spans="1:31" x14ac:dyDescent="0.2">
      <c r="A66" t="s">
        <v>34</v>
      </c>
      <c r="B66">
        <v>2014</v>
      </c>
      <c r="C66" t="s">
        <v>40</v>
      </c>
      <c r="D66" s="1">
        <f>DATE(All_India_Index_Upto_April23__1___1[[#This Row],[Year]],MATCH(All_India_Index_Upto_April23__1___1[[#This Row],[Month]],{"January","February","March","April","May","June","July","August","September","October","November","December"},0),1)</f>
        <v>41760</v>
      </c>
      <c r="E66" s="2">
        <v>121.1</v>
      </c>
      <c r="F66" s="2">
        <v>121.6</v>
      </c>
      <c r="G66">
        <v>115.9</v>
      </c>
      <c r="H66">
        <v>118.4</v>
      </c>
      <c r="I66">
        <v>107.7</v>
      </c>
      <c r="J66">
        <v>127.7</v>
      </c>
      <c r="K66">
        <v>125</v>
      </c>
      <c r="L66">
        <v>111.9</v>
      </c>
      <c r="M66">
        <v>102.8</v>
      </c>
      <c r="N66">
        <v>113.4</v>
      </c>
      <c r="O66">
        <v>113.7</v>
      </c>
      <c r="P66">
        <v>120.4</v>
      </c>
      <c r="Q66" s="2">
        <v>118.9</v>
      </c>
      <c r="R66" s="2">
        <v>116.8</v>
      </c>
      <c r="S66" s="2">
        <v>118</v>
      </c>
      <c r="T66" s="2">
        <v>115.2</v>
      </c>
      <c r="U66" s="3">
        <v>117.6</v>
      </c>
      <c r="V66" s="2" t="s">
        <v>59</v>
      </c>
      <c r="W66" s="2">
        <v>112.5</v>
      </c>
      <c r="X66" s="2">
        <v>114.1</v>
      </c>
      <c r="Y66" s="2">
        <v>111.8</v>
      </c>
      <c r="Z66" s="2">
        <v>111.3</v>
      </c>
      <c r="AA66" s="2">
        <v>111.2</v>
      </c>
      <c r="AB66" s="2">
        <v>113</v>
      </c>
      <c r="AC66" s="2">
        <v>109.1</v>
      </c>
      <c r="AD66" s="2">
        <v>111.8</v>
      </c>
      <c r="AE66" s="2">
        <v>115.8</v>
      </c>
    </row>
    <row r="67" spans="1:31" x14ac:dyDescent="0.2">
      <c r="A67" t="s">
        <v>34</v>
      </c>
      <c r="B67">
        <v>2014</v>
      </c>
      <c r="C67" t="s">
        <v>41</v>
      </c>
      <c r="D67" s="1">
        <f>DATE(All_India_Index_Upto_April23__1___1[[#This Row],[Year]],MATCH(All_India_Index_Upto_April23__1___1[[#This Row],[Month]],{"January","February","March","April","May","June","July","August","September","October","November","December"},0),1)</f>
        <v>41791</v>
      </c>
      <c r="E67" s="2">
        <v>121.5</v>
      </c>
      <c r="F67" s="2">
        <v>123.1</v>
      </c>
      <c r="G67">
        <v>115.8</v>
      </c>
      <c r="H67">
        <v>119.7</v>
      </c>
      <c r="I67">
        <v>107.8</v>
      </c>
      <c r="J67">
        <v>128.30000000000001</v>
      </c>
      <c r="K67">
        <v>132.1</v>
      </c>
      <c r="L67">
        <v>112.4</v>
      </c>
      <c r="M67">
        <v>102.9</v>
      </c>
      <c r="N67">
        <v>114.3</v>
      </c>
      <c r="O67">
        <v>114.2</v>
      </c>
      <c r="P67">
        <v>121.2</v>
      </c>
      <c r="Q67" s="2">
        <v>120.4</v>
      </c>
      <c r="R67" s="2">
        <v>117.8</v>
      </c>
      <c r="S67" s="2">
        <v>118.8</v>
      </c>
      <c r="T67" s="2">
        <v>115.6</v>
      </c>
      <c r="U67" s="3">
        <v>118.3</v>
      </c>
      <c r="V67" s="2" t="s">
        <v>58</v>
      </c>
      <c r="W67" s="2">
        <v>113.2</v>
      </c>
      <c r="X67" s="2">
        <v>114.6</v>
      </c>
      <c r="Y67" s="2">
        <v>112.3</v>
      </c>
      <c r="Z67" s="2">
        <v>111.8</v>
      </c>
      <c r="AA67" s="2">
        <v>111.6</v>
      </c>
      <c r="AB67" s="2">
        <v>114.8</v>
      </c>
      <c r="AC67" s="2">
        <v>108.3</v>
      </c>
      <c r="AD67" s="2">
        <v>112.3</v>
      </c>
      <c r="AE67" s="2">
        <v>116.7</v>
      </c>
    </row>
    <row r="68" spans="1:31" x14ac:dyDescent="0.2">
      <c r="A68" t="s">
        <v>34</v>
      </c>
      <c r="B68">
        <v>2014</v>
      </c>
      <c r="C68" t="s">
        <v>43</v>
      </c>
      <c r="D68" s="1">
        <f>DATE(All_India_Index_Upto_April23__1___1[[#This Row],[Year]],MATCH(All_India_Index_Upto_April23__1___1[[#This Row],[Month]],{"January","February","March","April","May","June","July","August","September","October","November","December"},0),1)</f>
        <v>41821</v>
      </c>
      <c r="E68" s="2">
        <v>122.4</v>
      </c>
      <c r="F68" s="2">
        <v>123.9</v>
      </c>
      <c r="G68">
        <v>117.8</v>
      </c>
      <c r="H68">
        <v>121</v>
      </c>
      <c r="I68">
        <v>107.9</v>
      </c>
      <c r="J68">
        <v>131.19999999999999</v>
      </c>
      <c r="K68">
        <v>157.69999999999999</v>
      </c>
      <c r="L68">
        <v>113.2</v>
      </c>
      <c r="M68">
        <v>104.1</v>
      </c>
      <c r="N68">
        <v>115.5</v>
      </c>
      <c r="O68">
        <v>114.8</v>
      </c>
      <c r="P68">
        <v>122.1</v>
      </c>
      <c r="Q68" s="2">
        <v>124.7</v>
      </c>
      <c r="R68" s="2">
        <v>118.8</v>
      </c>
      <c r="S68" s="2">
        <v>119.6</v>
      </c>
      <c r="T68" s="2">
        <v>116.3</v>
      </c>
      <c r="U68" s="3">
        <v>119.1</v>
      </c>
      <c r="V68" s="2" t="s">
        <v>60</v>
      </c>
      <c r="W68" s="2">
        <v>113.9</v>
      </c>
      <c r="X68" s="2">
        <v>115.2</v>
      </c>
      <c r="Y68" s="2">
        <v>112.7</v>
      </c>
      <c r="Z68" s="2">
        <v>113.1</v>
      </c>
      <c r="AA68" s="2">
        <v>112.1</v>
      </c>
      <c r="AB68" s="2">
        <v>116.8</v>
      </c>
      <c r="AC68" s="2">
        <v>109.2</v>
      </c>
      <c r="AD68" s="2">
        <v>113.3</v>
      </c>
      <c r="AE68" s="2">
        <v>119.2</v>
      </c>
    </row>
    <row r="69" spans="1:31" x14ac:dyDescent="0.2">
      <c r="A69" t="s">
        <v>34</v>
      </c>
      <c r="B69">
        <v>2014</v>
      </c>
      <c r="C69" t="s">
        <v>45</v>
      </c>
      <c r="D69" s="1">
        <f>DATE(All_India_Index_Upto_April23__1___1[[#This Row],[Year]],MATCH(All_India_Index_Upto_April23__1___1[[#This Row],[Month]],{"January","February","March","April","May","June","July","August","September","October","November","December"},0),1)</f>
        <v>41852</v>
      </c>
      <c r="E69" s="2">
        <v>122.7</v>
      </c>
      <c r="F69" s="2">
        <v>124.4</v>
      </c>
      <c r="G69">
        <v>117.3</v>
      </c>
      <c r="H69">
        <v>122</v>
      </c>
      <c r="I69">
        <v>108</v>
      </c>
      <c r="J69">
        <v>131.1</v>
      </c>
      <c r="K69">
        <v>168.2</v>
      </c>
      <c r="L69">
        <v>114.5</v>
      </c>
      <c r="M69">
        <v>104.3</v>
      </c>
      <c r="N69">
        <v>117.1</v>
      </c>
      <c r="O69">
        <v>115.2</v>
      </c>
      <c r="P69">
        <v>123.1</v>
      </c>
      <c r="Q69" s="2">
        <v>126.6</v>
      </c>
      <c r="R69" s="2">
        <v>119.9</v>
      </c>
      <c r="S69" s="2">
        <v>120</v>
      </c>
      <c r="T69" s="2">
        <v>116.8</v>
      </c>
      <c r="U69" s="3">
        <v>119.6</v>
      </c>
      <c r="V69" s="2" t="s">
        <v>61</v>
      </c>
      <c r="W69" s="2">
        <v>114</v>
      </c>
      <c r="X69" s="2">
        <v>115.6</v>
      </c>
      <c r="Y69" s="2">
        <v>113.3</v>
      </c>
      <c r="Z69" s="2">
        <v>112.8</v>
      </c>
      <c r="AA69" s="2">
        <v>112.6</v>
      </c>
      <c r="AB69" s="2">
        <v>118</v>
      </c>
      <c r="AC69" s="2">
        <v>109.9</v>
      </c>
      <c r="AD69" s="2">
        <v>113.7</v>
      </c>
      <c r="AE69" s="2">
        <v>120.3</v>
      </c>
    </row>
    <row r="70" spans="1:31" x14ac:dyDescent="0.2">
      <c r="A70" t="s">
        <v>34</v>
      </c>
      <c r="B70">
        <v>2014</v>
      </c>
      <c r="C70" t="s">
        <v>47</v>
      </c>
      <c r="D70" s="1">
        <f>DATE(All_India_Index_Upto_April23__1___1[[#This Row],[Year]],MATCH(All_India_Index_Upto_April23__1___1[[#This Row],[Month]],{"January","February","March","April","May","June","July","August","September","October","November","December"},0),1)</f>
        <v>41883</v>
      </c>
      <c r="E70" s="2">
        <v>122.9</v>
      </c>
      <c r="F70" s="2">
        <v>123.5</v>
      </c>
      <c r="G70">
        <v>117.3</v>
      </c>
      <c r="H70">
        <v>122.7</v>
      </c>
      <c r="I70">
        <v>107.9</v>
      </c>
      <c r="J70">
        <v>127.3</v>
      </c>
      <c r="K70">
        <v>162.1</v>
      </c>
      <c r="L70">
        <v>115.6</v>
      </c>
      <c r="M70">
        <v>103.8</v>
      </c>
      <c r="N70">
        <v>117.6</v>
      </c>
      <c r="O70">
        <v>115.8</v>
      </c>
      <c r="P70">
        <v>123.8</v>
      </c>
      <c r="Q70" s="2">
        <v>125.8</v>
      </c>
      <c r="R70" s="2">
        <v>120.8</v>
      </c>
      <c r="S70" s="2">
        <v>120.7</v>
      </c>
      <c r="T70" s="2">
        <v>117.2</v>
      </c>
      <c r="U70" s="3">
        <v>120.1</v>
      </c>
      <c r="V70" s="2" t="s">
        <v>62</v>
      </c>
      <c r="W70" s="2">
        <v>114.3</v>
      </c>
      <c r="X70" s="2">
        <v>116.1</v>
      </c>
      <c r="Y70" s="2">
        <v>113.7</v>
      </c>
      <c r="Z70" s="2">
        <v>112</v>
      </c>
      <c r="AA70" s="2">
        <v>113.1</v>
      </c>
      <c r="AB70" s="2">
        <v>118.6</v>
      </c>
      <c r="AC70" s="2">
        <v>109.5</v>
      </c>
      <c r="AD70" s="2">
        <v>113.7</v>
      </c>
      <c r="AE70" s="2">
        <v>120.1</v>
      </c>
    </row>
    <row r="71" spans="1:31" x14ac:dyDescent="0.2">
      <c r="A71" t="s">
        <v>34</v>
      </c>
      <c r="B71">
        <v>2014</v>
      </c>
      <c r="C71" t="s">
        <v>49</v>
      </c>
      <c r="D71" s="1">
        <f>DATE(All_India_Index_Upto_April23__1___1[[#This Row],[Year]],MATCH(All_India_Index_Upto_April23__1___1[[#This Row],[Month]],{"January","February","March","April","May","June","July","August","September","October","November","December"},0),1)</f>
        <v>41913</v>
      </c>
      <c r="E71" s="2">
        <v>123.2</v>
      </c>
      <c r="F71" s="2">
        <v>123.8</v>
      </c>
      <c r="G71">
        <v>118.1</v>
      </c>
      <c r="H71">
        <v>123.2</v>
      </c>
      <c r="I71">
        <v>107.9</v>
      </c>
      <c r="J71">
        <v>126.4</v>
      </c>
      <c r="K71">
        <v>156.80000000000001</v>
      </c>
      <c r="L71">
        <v>116.1</v>
      </c>
      <c r="M71">
        <v>103.1</v>
      </c>
      <c r="N71">
        <v>118.1</v>
      </c>
      <c r="O71">
        <v>116.1</v>
      </c>
      <c r="P71">
        <v>124.5</v>
      </c>
      <c r="Q71" s="2">
        <v>125.4</v>
      </c>
      <c r="R71" s="2">
        <v>121.1</v>
      </c>
      <c r="S71" s="2">
        <v>121.5</v>
      </c>
      <c r="T71" s="2">
        <v>118.1</v>
      </c>
      <c r="U71" s="3">
        <v>121</v>
      </c>
      <c r="V71" s="2" t="s">
        <v>63</v>
      </c>
      <c r="W71" s="2">
        <v>114.7</v>
      </c>
      <c r="X71" s="2">
        <v>116.7</v>
      </c>
      <c r="Y71" s="2">
        <v>114.3</v>
      </c>
      <c r="Z71" s="2">
        <v>111.8</v>
      </c>
      <c r="AA71" s="2">
        <v>113.3</v>
      </c>
      <c r="AB71" s="2">
        <v>118.8</v>
      </c>
      <c r="AC71" s="2">
        <v>109.6</v>
      </c>
      <c r="AD71" s="2">
        <v>113.9</v>
      </c>
      <c r="AE71" s="2">
        <v>120.1</v>
      </c>
    </row>
    <row r="72" spans="1:31" x14ac:dyDescent="0.2">
      <c r="A72" t="s">
        <v>34</v>
      </c>
      <c r="B72">
        <v>2014</v>
      </c>
      <c r="C72" t="s">
        <v>51</v>
      </c>
      <c r="D72" s="1">
        <f>DATE(All_India_Index_Upto_April23__1___1[[#This Row],[Year]],MATCH(All_India_Index_Upto_April23__1___1[[#This Row],[Month]],{"January","February","March","April","May","June","July","August","September","October","November","December"},0),1)</f>
        <v>41944</v>
      </c>
      <c r="E72" s="2">
        <v>123.3</v>
      </c>
      <c r="F72" s="2">
        <v>123.7</v>
      </c>
      <c r="G72">
        <v>121</v>
      </c>
      <c r="H72">
        <v>124.2</v>
      </c>
      <c r="I72">
        <v>107.8</v>
      </c>
      <c r="J72">
        <v>125.7</v>
      </c>
      <c r="K72">
        <v>152.4</v>
      </c>
      <c r="L72">
        <v>117.2</v>
      </c>
      <c r="M72">
        <v>102.1</v>
      </c>
      <c r="N72">
        <v>118.7</v>
      </c>
      <c r="O72">
        <v>116.4</v>
      </c>
      <c r="P72">
        <v>125.6</v>
      </c>
      <c r="Q72" s="2">
        <v>125.1</v>
      </c>
      <c r="R72" s="2">
        <v>122.1</v>
      </c>
      <c r="S72" s="2">
        <v>122.1</v>
      </c>
      <c r="T72" s="2">
        <v>118.4</v>
      </c>
      <c r="U72" s="3">
        <v>121.6</v>
      </c>
      <c r="V72" s="2" t="s">
        <v>64</v>
      </c>
      <c r="W72" s="2">
        <v>115.5</v>
      </c>
      <c r="X72" s="2">
        <v>117.3</v>
      </c>
      <c r="Y72" s="2">
        <v>114.8</v>
      </c>
      <c r="Z72" s="2">
        <v>110.8</v>
      </c>
      <c r="AA72" s="2">
        <v>113.7</v>
      </c>
      <c r="AB72" s="2">
        <v>119</v>
      </c>
      <c r="AC72" s="2">
        <v>109.1</v>
      </c>
      <c r="AD72" s="2">
        <v>113.8</v>
      </c>
      <c r="AE72" s="2">
        <v>120.1</v>
      </c>
    </row>
    <row r="73" spans="1:31" x14ac:dyDescent="0.2">
      <c r="A73" t="s">
        <v>34</v>
      </c>
      <c r="B73">
        <v>2014</v>
      </c>
      <c r="C73" t="s">
        <v>53</v>
      </c>
      <c r="D73" s="1">
        <f>DATE(All_India_Index_Upto_April23__1___1[[#This Row],[Year]],MATCH(All_India_Index_Upto_April23__1___1[[#This Row],[Month]],{"January","February","March","April","May","June","July","August","September","October","November","December"},0),1)</f>
        <v>41974</v>
      </c>
      <c r="E73" s="2">
        <v>122.9</v>
      </c>
      <c r="F73" s="2">
        <v>123.2</v>
      </c>
      <c r="G73">
        <v>123.5</v>
      </c>
      <c r="H73">
        <v>124.5</v>
      </c>
      <c r="I73">
        <v>107.6</v>
      </c>
      <c r="J73">
        <v>125.7</v>
      </c>
      <c r="K73">
        <v>140.5</v>
      </c>
      <c r="L73">
        <v>117.6</v>
      </c>
      <c r="M73">
        <v>100.6</v>
      </c>
      <c r="N73">
        <v>119.1</v>
      </c>
      <c r="O73">
        <v>116.8</v>
      </c>
      <c r="P73">
        <v>126.1</v>
      </c>
      <c r="Q73" s="2">
        <v>123.6</v>
      </c>
      <c r="R73" s="2">
        <v>123</v>
      </c>
      <c r="S73" s="2">
        <v>122.6</v>
      </c>
      <c r="T73" s="2">
        <v>118.6</v>
      </c>
      <c r="U73" s="3">
        <v>122</v>
      </c>
      <c r="V73" s="2" t="s">
        <v>65</v>
      </c>
      <c r="W73" s="2">
        <v>115.7</v>
      </c>
      <c r="X73" s="2">
        <v>117.5</v>
      </c>
      <c r="Y73" s="2">
        <v>115.1</v>
      </c>
      <c r="Z73" s="2">
        <v>110.1</v>
      </c>
      <c r="AA73" s="2">
        <v>113.9</v>
      </c>
      <c r="AB73" s="2">
        <v>119.5</v>
      </c>
      <c r="AC73" s="2">
        <v>109.8</v>
      </c>
      <c r="AD73" s="2">
        <v>113.8</v>
      </c>
      <c r="AE73" s="2">
        <v>119.4</v>
      </c>
    </row>
    <row r="74" spans="1:31" x14ac:dyDescent="0.2">
      <c r="A74" t="s">
        <v>30</v>
      </c>
      <c r="B74">
        <v>2015</v>
      </c>
      <c r="C74" t="s">
        <v>31</v>
      </c>
      <c r="D74" s="1">
        <f>DATE(All_India_Index_Upto_April23__1___1[[#This Row],[Year]],MATCH(All_India_Index_Upto_April23__1___1[[#This Row],[Month]],{"January","February","March","April","May","June","July","August","September","October","November","December"},0),1)</f>
        <v>42005</v>
      </c>
      <c r="E74" s="2">
        <v>123.1</v>
      </c>
      <c r="F74" s="2">
        <v>123.1</v>
      </c>
      <c r="G74">
        <v>122.1</v>
      </c>
      <c r="H74">
        <v>124.9</v>
      </c>
      <c r="I74">
        <v>111</v>
      </c>
      <c r="J74">
        <v>130.4</v>
      </c>
      <c r="K74">
        <v>132.30000000000001</v>
      </c>
      <c r="L74">
        <v>117.2</v>
      </c>
      <c r="M74">
        <v>100.5</v>
      </c>
      <c r="N74">
        <v>117.2</v>
      </c>
      <c r="O74">
        <v>117.9</v>
      </c>
      <c r="P74">
        <v>125.6</v>
      </c>
      <c r="Q74" s="2">
        <v>122.8</v>
      </c>
      <c r="R74" s="2">
        <v>122.7</v>
      </c>
      <c r="S74" s="2">
        <v>124.4</v>
      </c>
      <c r="T74" s="2">
        <v>121.6</v>
      </c>
      <c r="U74" s="3">
        <v>124</v>
      </c>
      <c r="V74" s="2"/>
      <c r="W74">
        <v>118.4</v>
      </c>
      <c r="X74" s="2">
        <v>118.9</v>
      </c>
      <c r="Y74" s="2">
        <v>116.6</v>
      </c>
      <c r="Z74" s="2">
        <v>111</v>
      </c>
      <c r="AA74" s="2">
        <v>114</v>
      </c>
      <c r="AB74" s="2">
        <v>118.2</v>
      </c>
      <c r="AC74" s="2">
        <v>110.2</v>
      </c>
      <c r="AD74" s="2">
        <v>114.5</v>
      </c>
      <c r="AE74" s="2">
        <v>120.3</v>
      </c>
    </row>
    <row r="75" spans="1:31" x14ac:dyDescent="0.2">
      <c r="A75" t="s">
        <v>32</v>
      </c>
      <c r="B75">
        <v>2015</v>
      </c>
      <c r="C75" t="s">
        <v>31</v>
      </c>
      <c r="D75" s="1">
        <f>DATE(All_India_Index_Upto_April23__1___1[[#This Row],[Year]],MATCH(All_India_Index_Upto_April23__1___1[[#This Row],[Month]],{"January","February","March","April","May","June","July","August","September","October","November","December"},0),1)</f>
        <v>42005</v>
      </c>
      <c r="E75" s="2">
        <v>124</v>
      </c>
      <c r="F75" s="2">
        <v>125.5</v>
      </c>
      <c r="G75">
        <v>126.6</v>
      </c>
      <c r="H75">
        <v>125.2</v>
      </c>
      <c r="I75">
        <v>104.3</v>
      </c>
      <c r="J75">
        <v>121.3</v>
      </c>
      <c r="K75">
        <v>134.4</v>
      </c>
      <c r="L75">
        <v>122.9</v>
      </c>
      <c r="M75">
        <v>96.1</v>
      </c>
      <c r="N75">
        <v>126.6</v>
      </c>
      <c r="O75">
        <v>116.5</v>
      </c>
      <c r="P75">
        <v>128</v>
      </c>
      <c r="Q75" s="2">
        <v>123.5</v>
      </c>
      <c r="R75" s="2">
        <v>127.4</v>
      </c>
      <c r="S75" s="2">
        <v>121</v>
      </c>
      <c r="T75" s="2">
        <v>116.1</v>
      </c>
      <c r="U75" s="3">
        <v>120.2</v>
      </c>
      <c r="V75" s="2" t="s">
        <v>66</v>
      </c>
      <c r="W75" s="2">
        <v>113.4</v>
      </c>
      <c r="X75" s="2">
        <v>117.2</v>
      </c>
      <c r="Y75" s="2">
        <v>113.7</v>
      </c>
      <c r="Z75" s="2">
        <v>107.9</v>
      </c>
      <c r="AA75" s="2">
        <v>114.6</v>
      </c>
      <c r="AB75" s="2">
        <v>120.8</v>
      </c>
      <c r="AC75" s="2">
        <v>111.4</v>
      </c>
      <c r="AD75" s="2">
        <v>113.4</v>
      </c>
      <c r="AE75" s="2">
        <v>118.5</v>
      </c>
    </row>
    <row r="76" spans="1:31" x14ac:dyDescent="0.2">
      <c r="A76" t="s">
        <v>30</v>
      </c>
      <c r="B76">
        <v>2015</v>
      </c>
      <c r="C76" t="s">
        <v>35</v>
      </c>
      <c r="D76" s="1">
        <f>DATE(All_India_Index_Upto_April23__1___1[[#This Row],[Year]],MATCH(All_India_Index_Upto_April23__1___1[[#This Row],[Month]],{"January","February","March","April","May","June","July","August","September","October","November","December"},0),1)</f>
        <v>42036</v>
      </c>
      <c r="E76" s="2">
        <v>123.4</v>
      </c>
      <c r="F76" s="2">
        <v>124.4</v>
      </c>
      <c r="G76">
        <v>122.1</v>
      </c>
      <c r="H76">
        <v>125.8</v>
      </c>
      <c r="I76">
        <v>111.5</v>
      </c>
      <c r="J76">
        <v>129.4</v>
      </c>
      <c r="K76">
        <v>128.19999999999999</v>
      </c>
      <c r="L76">
        <v>118.8</v>
      </c>
      <c r="M76">
        <v>100</v>
      </c>
      <c r="N76">
        <v>118.6</v>
      </c>
      <c r="O76">
        <v>118.8</v>
      </c>
      <c r="P76">
        <v>126.8</v>
      </c>
      <c r="Q76" s="2">
        <v>122.8</v>
      </c>
      <c r="R76" s="2">
        <v>124.2</v>
      </c>
      <c r="S76" s="2">
        <v>125.4</v>
      </c>
      <c r="T76" s="2">
        <v>122.7</v>
      </c>
      <c r="U76" s="3">
        <v>125</v>
      </c>
      <c r="V76" s="2"/>
      <c r="W76">
        <v>120</v>
      </c>
      <c r="X76" s="2">
        <v>119.6</v>
      </c>
      <c r="Y76" s="2">
        <v>117.7</v>
      </c>
      <c r="Z76" s="2">
        <v>110.9</v>
      </c>
      <c r="AA76" s="2">
        <v>114.8</v>
      </c>
      <c r="AB76" s="2">
        <v>118.7</v>
      </c>
      <c r="AC76" s="2">
        <v>110.8</v>
      </c>
      <c r="AD76" s="2">
        <v>115</v>
      </c>
      <c r="AE76" s="2">
        <v>120.6</v>
      </c>
    </row>
    <row r="77" spans="1:31" x14ac:dyDescent="0.2">
      <c r="A77" t="s">
        <v>32</v>
      </c>
      <c r="B77">
        <v>2015</v>
      </c>
      <c r="C77" t="s">
        <v>35</v>
      </c>
      <c r="D77" s="1">
        <f>DATE(All_India_Index_Upto_April23__1___1[[#This Row],[Year]],MATCH(All_India_Index_Upto_April23__1___1[[#This Row],[Month]],{"January","February","March","April","May","June","July","August","September","October","November","December"},0),1)</f>
        <v>42036</v>
      </c>
      <c r="E77" s="2">
        <v>124.3</v>
      </c>
      <c r="F77" s="2">
        <v>126.5</v>
      </c>
      <c r="G77">
        <v>119.5</v>
      </c>
      <c r="H77">
        <v>125.6</v>
      </c>
      <c r="I77">
        <v>104.9</v>
      </c>
      <c r="J77">
        <v>121.6</v>
      </c>
      <c r="K77">
        <v>131.80000000000001</v>
      </c>
      <c r="L77">
        <v>125.1</v>
      </c>
      <c r="M77">
        <v>95</v>
      </c>
      <c r="N77">
        <v>127.7</v>
      </c>
      <c r="O77">
        <v>116.8</v>
      </c>
      <c r="P77">
        <v>128.6</v>
      </c>
      <c r="Q77" s="2">
        <v>123.7</v>
      </c>
      <c r="R77" s="2">
        <v>128.1</v>
      </c>
      <c r="S77" s="2">
        <v>121.3</v>
      </c>
      <c r="T77" s="2">
        <v>116.5</v>
      </c>
      <c r="U77" s="3">
        <v>120.6</v>
      </c>
      <c r="V77" s="2" t="s">
        <v>67</v>
      </c>
      <c r="W77" s="2">
        <v>114</v>
      </c>
      <c r="X77" s="2">
        <v>117.7</v>
      </c>
      <c r="Y77" s="2">
        <v>114.1</v>
      </c>
      <c r="Z77" s="2">
        <v>106.8</v>
      </c>
      <c r="AA77" s="2">
        <v>114.9</v>
      </c>
      <c r="AB77" s="2">
        <v>120.4</v>
      </c>
      <c r="AC77" s="2">
        <v>111.7</v>
      </c>
      <c r="AD77" s="2">
        <v>113.2</v>
      </c>
      <c r="AE77" s="2">
        <v>118.7</v>
      </c>
    </row>
    <row r="78" spans="1:31" x14ac:dyDescent="0.2">
      <c r="A78" t="s">
        <v>30</v>
      </c>
      <c r="B78">
        <v>2015</v>
      </c>
      <c r="C78" t="s">
        <v>37</v>
      </c>
      <c r="D78" s="1">
        <f>DATE(All_India_Index_Upto_April23__1___1[[#This Row],[Year]],MATCH(All_India_Index_Upto_April23__1___1[[#This Row],[Month]],{"January","February","March","April","May","June","July","August","September","October","November","December"},0),1)</f>
        <v>42064</v>
      </c>
      <c r="E78" s="2">
        <v>123.3</v>
      </c>
      <c r="F78" s="2">
        <v>124.7</v>
      </c>
      <c r="G78">
        <v>118.9</v>
      </c>
      <c r="H78">
        <v>126</v>
      </c>
      <c r="I78">
        <v>111.8</v>
      </c>
      <c r="J78">
        <v>130.9</v>
      </c>
      <c r="K78">
        <v>128</v>
      </c>
      <c r="L78">
        <v>119.9</v>
      </c>
      <c r="M78">
        <v>98.9</v>
      </c>
      <c r="N78">
        <v>119.4</v>
      </c>
      <c r="O78">
        <v>118.9</v>
      </c>
      <c r="P78">
        <v>127.7</v>
      </c>
      <c r="Q78" s="2">
        <v>123.1</v>
      </c>
      <c r="R78" s="2">
        <v>124.7</v>
      </c>
      <c r="S78" s="2">
        <v>126</v>
      </c>
      <c r="T78" s="2">
        <v>122.9</v>
      </c>
      <c r="U78" s="3">
        <v>125.5</v>
      </c>
      <c r="V78" s="2"/>
      <c r="W78">
        <v>120.6</v>
      </c>
      <c r="X78" s="2">
        <v>120.2</v>
      </c>
      <c r="Y78" s="2">
        <v>118.2</v>
      </c>
      <c r="Z78" s="2">
        <v>111.6</v>
      </c>
      <c r="AA78" s="2">
        <v>115.5</v>
      </c>
      <c r="AB78" s="2">
        <v>119.4</v>
      </c>
      <c r="AC78" s="2">
        <v>110.8</v>
      </c>
      <c r="AD78" s="2">
        <v>115.5</v>
      </c>
      <c r="AE78" s="2">
        <v>121.1</v>
      </c>
    </row>
    <row r="79" spans="1:31" x14ac:dyDescent="0.2">
      <c r="A79" t="s">
        <v>32</v>
      </c>
      <c r="B79">
        <v>2015</v>
      </c>
      <c r="C79" t="s">
        <v>37</v>
      </c>
      <c r="D79" s="1">
        <f>DATE(All_India_Index_Upto_April23__1___1[[#This Row],[Year]],MATCH(All_India_Index_Upto_April23__1___1[[#This Row],[Month]],{"January","February","March","April","May","June","July","August","September","October","November","December"},0),1)</f>
        <v>42064</v>
      </c>
      <c r="E79" s="2">
        <v>124</v>
      </c>
      <c r="F79" s="2">
        <v>126.7</v>
      </c>
      <c r="G79">
        <v>113.5</v>
      </c>
      <c r="H79">
        <v>125.9</v>
      </c>
      <c r="I79">
        <v>104.8</v>
      </c>
      <c r="J79">
        <v>123.8</v>
      </c>
      <c r="K79">
        <v>131.4</v>
      </c>
      <c r="L79">
        <v>127.2</v>
      </c>
      <c r="M79">
        <v>93.2</v>
      </c>
      <c r="N79">
        <v>127.4</v>
      </c>
      <c r="O79">
        <v>117</v>
      </c>
      <c r="P79">
        <v>129.19999999999999</v>
      </c>
      <c r="Q79" s="2">
        <v>123.9</v>
      </c>
      <c r="R79" s="2">
        <v>128.80000000000001</v>
      </c>
      <c r="S79" s="2">
        <v>121.7</v>
      </c>
      <c r="T79" s="2">
        <v>116.9</v>
      </c>
      <c r="U79" s="3">
        <v>120.9</v>
      </c>
      <c r="V79" s="2" t="s">
        <v>68</v>
      </c>
      <c r="W79" s="2">
        <v>114.4</v>
      </c>
      <c r="X79" s="2">
        <v>118</v>
      </c>
      <c r="Y79" s="2">
        <v>114.3</v>
      </c>
      <c r="Z79" s="2">
        <v>108.4</v>
      </c>
      <c r="AA79" s="2">
        <v>115.4</v>
      </c>
      <c r="AB79" s="2">
        <v>120.6</v>
      </c>
      <c r="AC79" s="2">
        <v>111.3</v>
      </c>
      <c r="AD79" s="2">
        <v>113.8</v>
      </c>
      <c r="AE79" s="2">
        <v>119.1</v>
      </c>
    </row>
    <row r="80" spans="1:31" x14ac:dyDescent="0.2">
      <c r="A80" t="s">
        <v>30</v>
      </c>
      <c r="B80">
        <v>2015</v>
      </c>
      <c r="C80" t="s">
        <v>38</v>
      </c>
      <c r="D80" s="1">
        <f>DATE(All_India_Index_Upto_April23__1___1[[#This Row],[Year]],MATCH(All_India_Index_Upto_April23__1___1[[#This Row],[Month]],{"January","February","March","April","May","June","July","August","September","October","November","December"},0),1)</f>
        <v>42095</v>
      </c>
      <c r="E80" s="2">
        <v>123.3</v>
      </c>
      <c r="F80" s="2">
        <v>125.5</v>
      </c>
      <c r="G80">
        <v>117.2</v>
      </c>
      <c r="H80">
        <v>126.8</v>
      </c>
      <c r="I80">
        <v>111.9</v>
      </c>
      <c r="J80">
        <v>134.19999999999999</v>
      </c>
      <c r="K80">
        <v>127.5</v>
      </c>
      <c r="L80">
        <v>121.5</v>
      </c>
      <c r="M80">
        <v>97.8</v>
      </c>
      <c r="N80">
        <v>119.8</v>
      </c>
      <c r="O80">
        <v>119.4</v>
      </c>
      <c r="P80">
        <v>128.69999999999999</v>
      </c>
      <c r="Q80" s="2">
        <v>123.6</v>
      </c>
      <c r="R80" s="2">
        <v>125.7</v>
      </c>
      <c r="S80" s="2">
        <v>126.4</v>
      </c>
      <c r="T80" s="2">
        <v>123.3</v>
      </c>
      <c r="U80" s="3">
        <v>126</v>
      </c>
      <c r="V80" s="2"/>
      <c r="W80">
        <v>121.2</v>
      </c>
      <c r="X80" s="2">
        <v>120.9</v>
      </c>
      <c r="Y80" s="2">
        <v>118.6</v>
      </c>
      <c r="Z80" s="2">
        <v>111.9</v>
      </c>
      <c r="AA80" s="2">
        <v>116.2</v>
      </c>
      <c r="AB80" s="2">
        <v>119.9</v>
      </c>
      <c r="AC80" s="2">
        <v>111.6</v>
      </c>
      <c r="AD80" s="2">
        <v>116</v>
      </c>
      <c r="AE80" s="2">
        <v>121.5</v>
      </c>
    </row>
    <row r="81" spans="1:31" x14ac:dyDescent="0.2">
      <c r="A81" t="s">
        <v>32</v>
      </c>
      <c r="B81">
        <v>2015</v>
      </c>
      <c r="C81" t="s">
        <v>38</v>
      </c>
      <c r="D81" s="1">
        <f>DATE(All_India_Index_Upto_April23__1___1[[#This Row],[Year]],MATCH(All_India_Index_Upto_April23__1___1[[#This Row],[Month]],{"January","February","March","April","May","June","July","August","September","October","November","December"},0),1)</f>
        <v>42095</v>
      </c>
      <c r="E81" s="2">
        <v>123.8</v>
      </c>
      <c r="F81" s="2">
        <v>128.19999999999999</v>
      </c>
      <c r="G81">
        <v>110</v>
      </c>
      <c r="H81">
        <v>126.3</v>
      </c>
      <c r="I81">
        <v>104.5</v>
      </c>
      <c r="J81">
        <v>130.6</v>
      </c>
      <c r="K81">
        <v>130.80000000000001</v>
      </c>
      <c r="L81">
        <v>131.30000000000001</v>
      </c>
      <c r="M81">
        <v>91.6</v>
      </c>
      <c r="N81">
        <v>127.7</v>
      </c>
      <c r="O81">
        <v>117.2</v>
      </c>
      <c r="P81">
        <v>129.5</v>
      </c>
      <c r="Q81" s="2">
        <v>124.6</v>
      </c>
      <c r="R81" s="2">
        <v>130.1</v>
      </c>
      <c r="S81" s="2">
        <v>122.1</v>
      </c>
      <c r="T81" s="2">
        <v>117.2</v>
      </c>
      <c r="U81" s="3">
        <v>121.3</v>
      </c>
      <c r="V81" s="2" t="s">
        <v>69</v>
      </c>
      <c r="W81" s="2">
        <v>114.7</v>
      </c>
      <c r="X81" s="2">
        <v>118.4</v>
      </c>
      <c r="Y81" s="2">
        <v>114.6</v>
      </c>
      <c r="Z81" s="2">
        <v>108.4</v>
      </c>
      <c r="AA81" s="2">
        <v>115.6</v>
      </c>
      <c r="AB81" s="2">
        <v>121.7</v>
      </c>
      <c r="AC81" s="2">
        <v>111.8</v>
      </c>
      <c r="AD81" s="2">
        <v>114.2</v>
      </c>
      <c r="AE81" s="2">
        <v>119.7</v>
      </c>
    </row>
    <row r="82" spans="1:31" x14ac:dyDescent="0.2">
      <c r="A82" t="s">
        <v>30</v>
      </c>
      <c r="B82">
        <v>2015</v>
      </c>
      <c r="C82" t="s">
        <v>40</v>
      </c>
      <c r="D82" s="1">
        <f>DATE(All_India_Index_Upto_April23__1___1[[#This Row],[Year]],MATCH(All_India_Index_Upto_April23__1___1[[#This Row],[Month]],{"January","February","March","April","May","June","July","August","September","October","November","December"},0),1)</f>
        <v>42125</v>
      </c>
      <c r="E82" s="2">
        <v>123.5</v>
      </c>
      <c r="F82" s="2">
        <v>127.1</v>
      </c>
      <c r="G82">
        <v>117.3</v>
      </c>
      <c r="H82">
        <v>127.7</v>
      </c>
      <c r="I82">
        <v>112.5</v>
      </c>
      <c r="J82">
        <v>134.1</v>
      </c>
      <c r="K82">
        <v>128.5</v>
      </c>
      <c r="L82">
        <v>124.3</v>
      </c>
      <c r="M82">
        <v>97.6</v>
      </c>
      <c r="N82">
        <v>120.7</v>
      </c>
      <c r="O82">
        <v>120.2</v>
      </c>
      <c r="P82">
        <v>129.80000000000001</v>
      </c>
      <c r="Q82" s="2">
        <v>124.4</v>
      </c>
      <c r="R82" s="2">
        <v>126.7</v>
      </c>
      <c r="S82" s="2">
        <v>127.3</v>
      </c>
      <c r="T82" s="2">
        <v>124.1</v>
      </c>
      <c r="U82" s="3">
        <v>126.8</v>
      </c>
      <c r="V82" s="2"/>
      <c r="W82">
        <v>121.9</v>
      </c>
      <c r="X82" s="2">
        <v>121.5</v>
      </c>
      <c r="Y82" s="2">
        <v>119.4</v>
      </c>
      <c r="Z82" s="2">
        <v>113.3</v>
      </c>
      <c r="AA82" s="2">
        <v>116.7</v>
      </c>
      <c r="AB82" s="2">
        <v>120.5</v>
      </c>
      <c r="AC82" s="2">
        <v>112.3</v>
      </c>
      <c r="AD82" s="2">
        <v>116.9</v>
      </c>
      <c r="AE82" s="2">
        <v>122.4</v>
      </c>
    </row>
    <row r="83" spans="1:31" x14ac:dyDescent="0.2">
      <c r="A83" t="s">
        <v>32</v>
      </c>
      <c r="B83">
        <v>2015</v>
      </c>
      <c r="C83" t="s">
        <v>40</v>
      </c>
      <c r="D83" s="1">
        <f>DATE(All_India_Index_Upto_April23__1___1[[#This Row],[Year]],MATCH(All_India_Index_Upto_April23__1___1[[#This Row],[Month]],{"January","February","March","April","May","June","July","August","September","October","November","December"},0),1)</f>
        <v>42125</v>
      </c>
      <c r="E83" s="2">
        <v>123.8</v>
      </c>
      <c r="F83" s="2">
        <v>129.69999999999999</v>
      </c>
      <c r="G83">
        <v>111.3</v>
      </c>
      <c r="H83">
        <v>126.6</v>
      </c>
      <c r="I83">
        <v>105.2</v>
      </c>
      <c r="J83">
        <v>130.80000000000001</v>
      </c>
      <c r="K83">
        <v>135.6</v>
      </c>
      <c r="L83">
        <v>142.6</v>
      </c>
      <c r="M83">
        <v>90.8</v>
      </c>
      <c r="N83">
        <v>128.80000000000001</v>
      </c>
      <c r="O83">
        <v>117.7</v>
      </c>
      <c r="P83">
        <v>129.9</v>
      </c>
      <c r="Q83" s="2">
        <v>126.1</v>
      </c>
      <c r="R83" s="2">
        <v>131.30000000000001</v>
      </c>
      <c r="S83" s="2">
        <v>122.4</v>
      </c>
      <c r="T83" s="2">
        <v>117.4</v>
      </c>
      <c r="U83" s="3">
        <v>121.6</v>
      </c>
      <c r="V83" s="2" t="s">
        <v>70</v>
      </c>
      <c r="W83" s="2">
        <v>114.9</v>
      </c>
      <c r="X83" s="2">
        <v>118.7</v>
      </c>
      <c r="Y83" s="2">
        <v>114.9</v>
      </c>
      <c r="Z83" s="2">
        <v>110.8</v>
      </c>
      <c r="AA83" s="2">
        <v>116</v>
      </c>
      <c r="AB83" s="2">
        <v>122</v>
      </c>
      <c r="AC83" s="2">
        <v>112.4</v>
      </c>
      <c r="AD83" s="2">
        <v>115.2</v>
      </c>
      <c r="AE83" s="2">
        <v>120.7</v>
      </c>
    </row>
    <row r="84" spans="1:31" x14ac:dyDescent="0.2">
      <c r="A84" t="s">
        <v>30</v>
      </c>
      <c r="B84">
        <v>2015</v>
      </c>
      <c r="C84" t="s">
        <v>41</v>
      </c>
      <c r="D84" s="1">
        <f>DATE(All_India_Index_Upto_April23__1___1[[#This Row],[Year]],MATCH(All_India_Index_Upto_April23__1___1[[#This Row],[Month]],{"January","February","March","April","May","June","July","August","September","October","November","December"},0),1)</f>
        <v>42156</v>
      </c>
      <c r="E84" s="2">
        <v>124.1</v>
      </c>
      <c r="F84" s="2">
        <v>130.4</v>
      </c>
      <c r="G84">
        <v>122.1</v>
      </c>
      <c r="H84">
        <v>128.69999999999999</v>
      </c>
      <c r="I84">
        <v>114.1</v>
      </c>
      <c r="J84">
        <v>133.19999999999999</v>
      </c>
      <c r="K84">
        <v>135.19999999999999</v>
      </c>
      <c r="L84">
        <v>131.9</v>
      </c>
      <c r="M84">
        <v>96.3</v>
      </c>
      <c r="N84">
        <v>123</v>
      </c>
      <c r="O84">
        <v>121.1</v>
      </c>
      <c r="P84">
        <v>131.19999999999999</v>
      </c>
      <c r="Q84" s="2">
        <v>126.6</v>
      </c>
      <c r="R84" s="2">
        <v>128.19999999999999</v>
      </c>
      <c r="S84" s="2">
        <v>128.4</v>
      </c>
      <c r="T84" s="2">
        <v>125.1</v>
      </c>
      <c r="U84" s="3">
        <v>128</v>
      </c>
      <c r="V84" s="2"/>
      <c r="W84">
        <v>122.6</v>
      </c>
      <c r="X84" s="2">
        <v>122.8</v>
      </c>
      <c r="Y84" s="2">
        <v>120.4</v>
      </c>
      <c r="Z84" s="2">
        <v>114.2</v>
      </c>
      <c r="AA84" s="2">
        <v>117.9</v>
      </c>
      <c r="AB84" s="2">
        <v>122</v>
      </c>
      <c r="AC84" s="2">
        <v>113</v>
      </c>
      <c r="AD84" s="2">
        <v>117.9</v>
      </c>
      <c r="AE84" s="2">
        <v>124.1</v>
      </c>
    </row>
    <row r="85" spans="1:31" x14ac:dyDescent="0.2">
      <c r="A85" t="s">
        <v>32</v>
      </c>
      <c r="B85">
        <v>2015</v>
      </c>
      <c r="C85" t="s">
        <v>41</v>
      </c>
      <c r="D85" s="1">
        <f>DATE(All_India_Index_Upto_April23__1___1[[#This Row],[Year]],MATCH(All_India_Index_Upto_April23__1___1[[#This Row],[Month]],{"January","February","March","April","May","June","July","August","September","October","November","December"},0),1)</f>
        <v>42156</v>
      </c>
      <c r="E85" s="2">
        <v>123.6</v>
      </c>
      <c r="F85" s="2">
        <v>134.4</v>
      </c>
      <c r="G85">
        <v>120.9</v>
      </c>
      <c r="H85">
        <v>127.3</v>
      </c>
      <c r="I85">
        <v>106</v>
      </c>
      <c r="J85">
        <v>132.30000000000001</v>
      </c>
      <c r="K85">
        <v>146.69999999999999</v>
      </c>
      <c r="L85">
        <v>148.1</v>
      </c>
      <c r="M85">
        <v>89.8</v>
      </c>
      <c r="N85">
        <v>130.5</v>
      </c>
      <c r="O85">
        <v>118</v>
      </c>
      <c r="P85">
        <v>130.5</v>
      </c>
      <c r="Q85" s="2">
        <v>128.5</v>
      </c>
      <c r="R85" s="2">
        <v>132.1</v>
      </c>
      <c r="S85" s="2">
        <v>123.2</v>
      </c>
      <c r="T85" s="2">
        <v>117.6</v>
      </c>
      <c r="U85" s="3">
        <v>122.3</v>
      </c>
      <c r="V85" s="2" t="s">
        <v>71</v>
      </c>
      <c r="W85" s="2">
        <v>115.1</v>
      </c>
      <c r="X85" s="2">
        <v>119.2</v>
      </c>
      <c r="Y85" s="2">
        <v>115.4</v>
      </c>
      <c r="Z85" s="2">
        <v>111.7</v>
      </c>
      <c r="AA85" s="2">
        <v>116.2</v>
      </c>
      <c r="AB85" s="2">
        <v>123.8</v>
      </c>
      <c r="AC85" s="2">
        <v>112.5</v>
      </c>
      <c r="AD85" s="2">
        <v>116</v>
      </c>
      <c r="AE85" s="2">
        <v>121.7</v>
      </c>
    </row>
    <row r="86" spans="1:31" x14ac:dyDescent="0.2">
      <c r="A86" t="s">
        <v>30</v>
      </c>
      <c r="B86">
        <v>2015</v>
      </c>
      <c r="C86" t="s">
        <v>43</v>
      </c>
      <c r="D86" s="1">
        <f>DATE(All_India_Index_Upto_April23__1___1[[#This Row],[Year]],MATCH(All_India_Index_Upto_April23__1___1[[#This Row],[Month]],{"January","February","March","April","May","June","July","August","September","October","November","December"},0),1)</f>
        <v>42186</v>
      </c>
      <c r="E86" s="2">
        <v>124</v>
      </c>
      <c r="F86" s="2">
        <v>131.5</v>
      </c>
      <c r="G86">
        <v>122</v>
      </c>
      <c r="H86">
        <v>128.69999999999999</v>
      </c>
      <c r="I86">
        <v>113.5</v>
      </c>
      <c r="J86">
        <v>133.30000000000001</v>
      </c>
      <c r="K86">
        <v>140.80000000000001</v>
      </c>
      <c r="L86">
        <v>133.80000000000001</v>
      </c>
      <c r="M86">
        <v>94.1</v>
      </c>
      <c r="N86">
        <v>123.4</v>
      </c>
      <c r="O86">
        <v>121</v>
      </c>
      <c r="P86">
        <v>131.69999999999999</v>
      </c>
      <c r="Q86" s="2">
        <v>127.5</v>
      </c>
      <c r="R86" s="2">
        <v>129.4</v>
      </c>
      <c r="S86" s="2">
        <v>128.80000000000001</v>
      </c>
      <c r="T86" s="2">
        <v>125.5</v>
      </c>
      <c r="U86" s="3">
        <v>128.30000000000001</v>
      </c>
      <c r="V86" s="2"/>
      <c r="W86">
        <v>123</v>
      </c>
      <c r="X86" s="2">
        <v>123</v>
      </c>
      <c r="Y86" s="2">
        <v>120.8</v>
      </c>
      <c r="Z86" s="2">
        <v>114.1</v>
      </c>
      <c r="AA86" s="2">
        <v>118</v>
      </c>
      <c r="AB86" s="2">
        <v>122.9</v>
      </c>
      <c r="AC86" s="2">
        <v>112.7</v>
      </c>
      <c r="AD86" s="2">
        <v>118.1</v>
      </c>
      <c r="AE86" s="2">
        <v>124.7</v>
      </c>
    </row>
    <row r="87" spans="1:31" x14ac:dyDescent="0.2">
      <c r="A87" t="s">
        <v>32</v>
      </c>
      <c r="B87">
        <v>2015</v>
      </c>
      <c r="C87" t="s">
        <v>43</v>
      </c>
      <c r="D87" s="1">
        <f>DATE(All_India_Index_Upto_April23__1___1[[#This Row],[Year]],MATCH(All_India_Index_Upto_April23__1___1[[#This Row],[Month]],{"January","February","March","April","May","June","July","August","September","October","November","December"},0),1)</f>
        <v>42186</v>
      </c>
      <c r="E87" s="2">
        <v>123.2</v>
      </c>
      <c r="F87" s="2">
        <v>134.30000000000001</v>
      </c>
      <c r="G87">
        <v>119.5</v>
      </c>
      <c r="H87">
        <v>127.7</v>
      </c>
      <c r="I87">
        <v>106.3</v>
      </c>
      <c r="J87">
        <v>132.80000000000001</v>
      </c>
      <c r="K87">
        <v>153.5</v>
      </c>
      <c r="L87">
        <v>149.5</v>
      </c>
      <c r="M87">
        <v>85.7</v>
      </c>
      <c r="N87">
        <v>131.5</v>
      </c>
      <c r="O87">
        <v>118.3</v>
      </c>
      <c r="P87">
        <v>131.1</v>
      </c>
      <c r="Q87" s="2">
        <v>129.5</v>
      </c>
      <c r="R87" s="2">
        <v>133.1</v>
      </c>
      <c r="S87" s="2">
        <v>123.5</v>
      </c>
      <c r="T87" s="2">
        <v>117.9</v>
      </c>
      <c r="U87" s="3">
        <v>122.7</v>
      </c>
      <c r="V87" s="2" t="s">
        <v>72</v>
      </c>
      <c r="W87" s="2">
        <v>115.3</v>
      </c>
      <c r="X87" s="2">
        <v>119.5</v>
      </c>
      <c r="Y87" s="2">
        <v>116</v>
      </c>
      <c r="Z87" s="2">
        <v>111.5</v>
      </c>
      <c r="AA87" s="2">
        <v>116.6</v>
      </c>
      <c r="AB87" s="2">
        <v>125.4</v>
      </c>
      <c r="AC87" s="2">
        <v>111.7</v>
      </c>
      <c r="AD87" s="2">
        <v>116.3</v>
      </c>
      <c r="AE87" s="2">
        <v>122.4</v>
      </c>
    </row>
    <row r="88" spans="1:31" x14ac:dyDescent="0.2">
      <c r="A88" t="s">
        <v>30</v>
      </c>
      <c r="B88">
        <v>2015</v>
      </c>
      <c r="C88" t="s">
        <v>45</v>
      </c>
      <c r="D88" s="1">
        <f>DATE(All_India_Index_Upto_April23__1___1[[#This Row],[Year]],MATCH(All_India_Index_Upto_April23__1___1[[#This Row],[Month]],{"January","February","March","April","May","June","July","August","September","October","November","December"},0),1)</f>
        <v>42217</v>
      </c>
      <c r="E88" s="2">
        <v>124.7</v>
      </c>
      <c r="F88" s="2">
        <v>131.30000000000001</v>
      </c>
      <c r="G88">
        <v>121.3</v>
      </c>
      <c r="H88">
        <v>128.80000000000001</v>
      </c>
      <c r="I88">
        <v>114</v>
      </c>
      <c r="J88">
        <v>134.19999999999999</v>
      </c>
      <c r="K88">
        <v>153.6</v>
      </c>
      <c r="L88">
        <v>137.9</v>
      </c>
      <c r="M88">
        <v>93.1</v>
      </c>
      <c r="N88">
        <v>123.9</v>
      </c>
      <c r="O88">
        <v>121.5</v>
      </c>
      <c r="P88">
        <v>132.5</v>
      </c>
      <c r="Q88" s="2">
        <v>129.80000000000001</v>
      </c>
      <c r="R88" s="2">
        <v>130.1</v>
      </c>
      <c r="S88" s="2">
        <v>129.5</v>
      </c>
      <c r="T88" s="2">
        <v>126.3</v>
      </c>
      <c r="U88" s="3">
        <v>129</v>
      </c>
      <c r="V88" s="2"/>
      <c r="W88">
        <v>123.8</v>
      </c>
      <c r="X88" s="2">
        <v>123.7</v>
      </c>
      <c r="Y88" s="2">
        <v>121.1</v>
      </c>
      <c r="Z88" s="2">
        <v>113.6</v>
      </c>
      <c r="AA88" s="2">
        <v>118.5</v>
      </c>
      <c r="AB88" s="2">
        <v>123.6</v>
      </c>
      <c r="AC88" s="2">
        <v>112.5</v>
      </c>
      <c r="AD88" s="2">
        <v>118.2</v>
      </c>
      <c r="AE88" s="2">
        <v>126.1</v>
      </c>
    </row>
    <row r="89" spans="1:31" x14ac:dyDescent="0.2">
      <c r="A89" t="s">
        <v>32</v>
      </c>
      <c r="B89">
        <v>2015</v>
      </c>
      <c r="C89" t="s">
        <v>45</v>
      </c>
      <c r="D89" s="1">
        <f>DATE(All_India_Index_Upto_April23__1___1[[#This Row],[Year]],MATCH(All_India_Index_Upto_April23__1___1[[#This Row],[Month]],{"January","February","March","April","May","June","July","August","September","October","November","December"},0),1)</f>
        <v>42217</v>
      </c>
      <c r="E89" s="2">
        <v>123.1</v>
      </c>
      <c r="F89" s="2">
        <v>131.69999999999999</v>
      </c>
      <c r="G89">
        <v>118.1</v>
      </c>
      <c r="H89">
        <v>128</v>
      </c>
      <c r="I89">
        <v>106.8</v>
      </c>
      <c r="J89">
        <v>130.1</v>
      </c>
      <c r="K89">
        <v>165.5</v>
      </c>
      <c r="L89">
        <v>156</v>
      </c>
      <c r="M89">
        <v>85.3</v>
      </c>
      <c r="N89">
        <v>132.69999999999999</v>
      </c>
      <c r="O89">
        <v>118.8</v>
      </c>
      <c r="P89">
        <v>131.69999999999999</v>
      </c>
      <c r="Q89" s="2">
        <v>131.1</v>
      </c>
      <c r="R89" s="2">
        <v>134.19999999999999</v>
      </c>
      <c r="S89" s="2">
        <v>123.7</v>
      </c>
      <c r="T89" s="2">
        <v>118.2</v>
      </c>
      <c r="U89" s="3">
        <v>122.9</v>
      </c>
      <c r="V89" s="2" t="s">
        <v>73</v>
      </c>
      <c r="W89" s="2">
        <v>115.3</v>
      </c>
      <c r="X89" s="2">
        <v>120</v>
      </c>
      <c r="Y89" s="2">
        <v>116.6</v>
      </c>
      <c r="Z89" s="2">
        <v>109.9</v>
      </c>
      <c r="AA89" s="2">
        <v>117.2</v>
      </c>
      <c r="AB89" s="2">
        <v>126.2</v>
      </c>
      <c r="AC89" s="2">
        <v>112</v>
      </c>
      <c r="AD89" s="2">
        <v>116.2</v>
      </c>
      <c r="AE89" s="2">
        <v>123.2</v>
      </c>
    </row>
    <row r="90" spans="1:31" x14ac:dyDescent="0.2">
      <c r="A90" t="s">
        <v>30</v>
      </c>
      <c r="B90">
        <v>2015</v>
      </c>
      <c r="C90" t="s">
        <v>47</v>
      </c>
      <c r="D90" s="1">
        <f>DATE(All_India_Index_Upto_April23__1___1[[#This Row],[Year]],MATCH(All_India_Index_Upto_April23__1___1[[#This Row],[Month]],{"January","February","March","April","May","June","July","August","September","October","November","December"},0),1)</f>
        <v>42248</v>
      </c>
      <c r="E90" s="2">
        <v>125.1</v>
      </c>
      <c r="F90" s="2">
        <v>131.1</v>
      </c>
      <c r="G90">
        <v>120.7</v>
      </c>
      <c r="H90">
        <v>129.19999999999999</v>
      </c>
      <c r="I90">
        <v>114.7</v>
      </c>
      <c r="J90">
        <v>132.30000000000001</v>
      </c>
      <c r="K90">
        <v>158.9</v>
      </c>
      <c r="L90">
        <v>142.1</v>
      </c>
      <c r="M90">
        <v>92.5</v>
      </c>
      <c r="N90">
        <v>125.4</v>
      </c>
      <c r="O90">
        <v>121.9</v>
      </c>
      <c r="P90">
        <v>132.69999999999999</v>
      </c>
      <c r="Q90" s="2">
        <v>131</v>
      </c>
      <c r="R90" s="2">
        <v>131</v>
      </c>
      <c r="S90" s="2">
        <v>130.4</v>
      </c>
      <c r="T90" s="2">
        <v>126.8</v>
      </c>
      <c r="U90" s="3">
        <v>129.9</v>
      </c>
      <c r="V90" s="2"/>
      <c r="W90">
        <v>123.7</v>
      </c>
      <c r="X90" s="2">
        <v>124.5</v>
      </c>
      <c r="Y90" s="2">
        <v>121.4</v>
      </c>
      <c r="Z90" s="2">
        <v>113.8</v>
      </c>
      <c r="AA90" s="2">
        <v>119.6</v>
      </c>
      <c r="AB90" s="2">
        <v>124.5</v>
      </c>
      <c r="AC90" s="2">
        <v>113.7</v>
      </c>
      <c r="AD90" s="2">
        <v>118.8</v>
      </c>
      <c r="AE90" s="2">
        <v>127</v>
      </c>
    </row>
    <row r="91" spans="1:31" x14ac:dyDescent="0.2">
      <c r="A91" t="s">
        <v>32</v>
      </c>
      <c r="B91">
        <v>2015</v>
      </c>
      <c r="C91" t="s">
        <v>47</v>
      </c>
      <c r="D91" s="1">
        <f>DATE(All_India_Index_Upto_April23__1___1[[#This Row],[Year]],MATCH(All_India_Index_Upto_April23__1___1[[#This Row],[Month]],{"January","February","March","April","May","June","July","August","September","October","November","December"},0),1)</f>
        <v>42248</v>
      </c>
      <c r="E91" s="2">
        <v>123.4</v>
      </c>
      <c r="F91" s="2">
        <v>129</v>
      </c>
      <c r="G91">
        <v>115.6</v>
      </c>
      <c r="H91">
        <v>128.30000000000001</v>
      </c>
      <c r="I91">
        <v>107</v>
      </c>
      <c r="J91">
        <v>124</v>
      </c>
      <c r="K91">
        <v>168.5</v>
      </c>
      <c r="L91">
        <v>165.4</v>
      </c>
      <c r="M91">
        <v>86.3</v>
      </c>
      <c r="N91">
        <v>134.4</v>
      </c>
      <c r="O91">
        <v>119.1</v>
      </c>
      <c r="P91">
        <v>132.30000000000001</v>
      </c>
      <c r="Q91" s="2">
        <v>131.5</v>
      </c>
      <c r="R91" s="2">
        <v>134.69999999999999</v>
      </c>
      <c r="S91" s="2">
        <v>124</v>
      </c>
      <c r="T91" s="2">
        <v>118.6</v>
      </c>
      <c r="U91" s="3">
        <v>123.2</v>
      </c>
      <c r="V91" s="2" t="s">
        <v>74</v>
      </c>
      <c r="W91" s="2">
        <v>115.1</v>
      </c>
      <c r="X91" s="2">
        <v>120.4</v>
      </c>
      <c r="Y91" s="2">
        <v>117.1</v>
      </c>
      <c r="Z91" s="2">
        <v>109.1</v>
      </c>
      <c r="AA91" s="2">
        <v>117.3</v>
      </c>
      <c r="AB91" s="2">
        <v>126.5</v>
      </c>
      <c r="AC91" s="2">
        <v>112.9</v>
      </c>
      <c r="AD91" s="2">
        <v>116.2</v>
      </c>
      <c r="AE91" s="2">
        <v>123.5</v>
      </c>
    </row>
    <row r="92" spans="1:31" x14ac:dyDescent="0.2">
      <c r="A92" t="s">
        <v>30</v>
      </c>
      <c r="B92">
        <v>2015</v>
      </c>
      <c r="C92" t="s">
        <v>49</v>
      </c>
      <c r="D92" s="1">
        <f>DATE(All_India_Index_Upto_April23__1___1[[#This Row],[Year]],MATCH(All_India_Index_Upto_April23__1___1[[#This Row],[Month]],{"January","February","March","April","May","June","July","August","September","October","November","December"},0),1)</f>
        <v>42278</v>
      </c>
      <c r="E92" s="2">
        <v>125.6</v>
      </c>
      <c r="F92" s="2">
        <v>130.4</v>
      </c>
      <c r="G92">
        <v>120.8</v>
      </c>
      <c r="H92">
        <v>129.4</v>
      </c>
      <c r="I92">
        <v>115.8</v>
      </c>
      <c r="J92">
        <v>133.19999999999999</v>
      </c>
      <c r="K92">
        <v>157.69999999999999</v>
      </c>
      <c r="L92">
        <v>154.19999999999999</v>
      </c>
      <c r="M92">
        <v>93.7</v>
      </c>
      <c r="N92">
        <v>126.6</v>
      </c>
      <c r="O92">
        <v>122.3</v>
      </c>
      <c r="P92">
        <v>133.1</v>
      </c>
      <c r="Q92" s="2">
        <v>131.80000000000001</v>
      </c>
      <c r="R92" s="2">
        <v>131.5</v>
      </c>
      <c r="S92" s="2">
        <v>131.1</v>
      </c>
      <c r="T92" s="2">
        <v>127.3</v>
      </c>
      <c r="U92" s="3">
        <v>130.6</v>
      </c>
      <c r="V92" s="2"/>
      <c r="W92">
        <v>124.4</v>
      </c>
      <c r="X92" s="2">
        <v>125.1</v>
      </c>
      <c r="Y92" s="2">
        <v>122</v>
      </c>
      <c r="Z92" s="2">
        <v>113.8</v>
      </c>
      <c r="AA92" s="2">
        <v>120.1</v>
      </c>
      <c r="AB92" s="2">
        <v>125.1</v>
      </c>
      <c r="AC92" s="2">
        <v>114.2</v>
      </c>
      <c r="AD92" s="2">
        <v>119.2</v>
      </c>
      <c r="AE92" s="2">
        <v>127.7</v>
      </c>
    </row>
    <row r="93" spans="1:31" x14ac:dyDescent="0.2">
      <c r="A93" t="s">
        <v>32</v>
      </c>
      <c r="B93">
        <v>2015</v>
      </c>
      <c r="C93" t="s">
        <v>49</v>
      </c>
      <c r="D93" s="1">
        <f>DATE(All_India_Index_Upto_April23__1___1[[#This Row],[Year]],MATCH(All_India_Index_Upto_April23__1___1[[#This Row],[Month]],{"January","February","March","April","May","June","July","August","September","October","November","December"},0),1)</f>
        <v>42278</v>
      </c>
      <c r="E93" s="2">
        <v>123.6</v>
      </c>
      <c r="F93" s="2">
        <v>128.6</v>
      </c>
      <c r="G93">
        <v>115.9</v>
      </c>
      <c r="H93">
        <v>128.5</v>
      </c>
      <c r="I93">
        <v>109</v>
      </c>
      <c r="J93">
        <v>124.1</v>
      </c>
      <c r="K93">
        <v>165.8</v>
      </c>
      <c r="L93">
        <v>187.2</v>
      </c>
      <c r="M93">
        <v>89.4</v>
      </c>
      <c r="N93">
        <v>135.80000000000001</v>
      </c>
      <c r="O93">
        <v>119.4</v>
      </c>
      <c r="P93">
        <v>132.9</v>
      </c>
      <c r="Q93" s="2">
        <v>132.6</v>
      </c>
      <c r="R93" s="2">
        <v>135.30000000000001</v>
      </c>
      <c r="S93" s="2">
        <v>124.4</v>
      </c>
      <c r="T93" s="2">
        <v>118.8</v>
      </c>
      <c r="U93" s="3">
        <v>123.6</v>
      </c>
      <c r="V93" s="2" t="s">
        <v>75</v>
      </c>
      <c r="W93" s="2">
        <v>114.9</v>
      </c>
      <c r="X93" s="2">
        <v>120.7</v>
      </c>
      <c r="Y93" s="2">
        <v>117.7</v>
      </c>
      <c r="Z93" s="2">
        <v>109.3</v>
      </c>
      <c r="AA93" s="2">
        <v>117.7</v>
      </c>
      <c r="AB93" s="2">
        <v>126.5</v>
      </c>
      <c r="AC93" s="2">
        <v>113.5</v>
      </c>
      <c r="AD93" s="2">
        <v>116.5</v>
      </c>
      <c r="AE93" s="2">
        <v>124.2</v>
      </c>
    </row>
    <row r="94" spans="1:31" x14ac:dyDescent="0.2">
      <c r="A94" t="s">
        <v>30</v>
      </c>
      <c r="B94">
        <v>2015</v>
      </c>
      <c r="C94" t="s">
        <v>51</v>
      </c>
      <c r="D94" s="1">
        <f>DATE(All_India_Index_Upto_April23__1___1[[#This Row],[Year]],MATCH(All_India_Index_Upto_April23__1___1[[#This Row],[Month]],{"January","February","March","April","May","June","July","August","September","October","November","December"},0),1)</f>
        <v>42309</v>
      </c>
      <c r="E94" s="2">
        <v>126.1</v>
      </c>
      <c r="F94" s="2">
        <v>130.6</v>
      </c>
      <c r="G94">
        <v>121.7</v>
      </c>
      <c r="H94">
        <v>129.5</v>
      </c>
      <c r="I94">
        <v>117.8</v>
      </c>
      <c r="J94">
        <v>132.1</v>
      </c>
      <c r="K94">
        <v>155.19999999999999</v>
      </c>
      <c r="L94">
        <v>160.80000000000001</v>
      </c>
      <c r="M94">
        <v>94.5</v>
      </c>
      <c r="N94">
        <v>128.30000000000001</v>
      </c>
      <c r="O94">
        <v>123.1</v>
      </c>
      <c r="P94">
        <v>134.19999999999999</v>
      </c>
      <c r="Q94" s="2">
        <v>132.4</v>
      </c>
      <c r="R94" s="2">
        <v>132.19999999999999</v>
      </c>
      <c r="S94" s="2">
        <v>132.1</v>
      </c>
      <c r="T94" s="2">
        <v>128.19999999999999</v>
      </c>
      <c r="U94" s="3">
        <v>131.5</v>
      </c>
      <c r="V94" s="2"/>
      <c r="W94">
        <v>125.6</v>
      </c>
      <c r="X94" s="2">
        <v>125.6</v>
      </c>
      <c r="Y94" s="2">
        <v>122.6</v>
      </c>
      <c r="Z94" s="2">
        <v>114</v>
      </c>
      <c r="AA94" s="2">
        <v>120.9</v>
      </c>
      <c r="AB94" s="2">
        <v>125.8</v>
      </c>
      <c r="AC94" s="2">
        <v>114.2</v>
      </c>
      <c r="AD94" s="2">
        <v>119.6</v>
      </c>
      <c r="AE94" s="2">
        <v>128.30000000000001</v>
      </c>
    </row>
    <row r="95" spans="1:31" x14ac:dyDescent="0.2">
      <c r="A95" t="s">
        <v>32</v>
      </c>
      <c r="B95">
        <v>2015</v>
      </c>
      <c r="C95" t="s">
        <v>51</v>
      </c>
      <c r="D95" s="1">
        <f>DATE(All_India_Index_Upto_April23__1___1[[#This Row],[Year]],MATCH(All_India_Index_Upto_April23__1___1[[#This Row],[Month]],{"January","February","March","April","May","June","July","August","September","October","November","December"},0),1)</f>
        <v>42309</v>
      </c>
      <c r="E95" s="2">
        <v>124</v>
      </c>
      <c r="F95" s="2">
        <v>129.80000000000001</v>
      </c>
      <c r="G95">
        <v>121.5</v>
      </c>
      <c r="H95">
        <v>128.6</v>
      </c>
      <c r="I95">
        <v>110</v>
      </c>
      <c r="J95">
        <v>123.7</v>
      </c>
      <c r="K95">
        <v>164.6</v>
      </c>
      <c r="L95">
        <v>191.6</v>
      </c>
      <c r="M95">
        <v>90.8</v>
      </c>
      <c r="N95">
        <v>137.1</v>
      </c>
      <c r="O95">
        <v>119.8</v>
      </c>
      <c r="P95">
        <v>133.69999999999999</v>
      </c>
      <c r="Q95" s="2">
        <v>133.30000000000001</v>
      </c>
      <c r="R95" s="2">
        <v>137.6</v>
      </c>
      <c r="S95" s="2">
        <v>125</v>
      </c>
      <c r="T95" s="2">
        <v>119.3</v>
      </c>
      <c r="U95" s="3">
        <v>124.2</v>
      </c>
      <c r="V95" s="2" t="s">
        <v>76</v>
      </c>
      <c r="W95" s="2">
        <v>115.1</v>
      </c>
      <c r="X95" s="2">
        <v>121</v>
      </c>
      <c r="Y95" s="2">
        <v>118.1</v>
      </c>
      <c r="Z95" s="2">
        <v>109.3</v>
      </c>
      <c r="AA95" s="2">
        <v>117.9</v>
      </c>
      <c r="AB95" s="2">
        <v>126.6</v>
      </c>
      <c r="AC95" s="2">
        <v>113.3</v>
      </c>
      <c r="AD95" s="2">
        <v>116.6</v>
      </c>
      <c r="AE95" s="2">
        <v>124.6</v>
      </c>
    </row>
    <row r="96" spans="1:31" x14ac:dyDescent="0.2">
      <c r="A96" t="s">
        <v>30</v>
      </c>
      <c r="B96">
        <v>2015</v>
      </c>
      <c r="C96" t="s">
        <v>53</v>
      </c>
      <c r="D96" s="1">
        <f>DATE(All_India_Index_Upto_April23__1___1[[#This Row],[Year]],MATCH(All_India_Index_Upto_April23__1___1[[#This Row],[Month]],{"January","February","March","April","May","June","July","August","September","October","November","December"},0),1)</f>
        <v>42339</v>
      </c>
      <c r="E96" s="2">
        <v>126.3</v>
      </c>
      <c r="F96" s="2">
        <v>131.30000000000001</v>
      </c>
      <c r="G96">
        <v>123.3</v>
      </c>
      <c r="H96">
        <v>129.80000000000001</v>
      </c>
      <c r="I96">
        <v>118.3</v>
      </c>
      <c r="J96">
        <v>131.6</v>
      </c>
      <c r="K96">
        <v>145.5</v>
      </c>
      <c r="L96">
        <v>162.1</v>
      </c>
      <c r="M96">
        <v>95.4</v>
      </c>
      <c r="N96">
        <v>128.9</v>
      </c>
      <c r="O96">
        <v>123.3</v>
      </c>
      <c r="P96">
        <v>135.1</v>
      </c>
      <c r="Q96" s="2">
        <v>131.4</v>
      </c>
      <c r="R96" s="2">
        <v>133.1</v>
      </c>
      <c r="S96" s="2">
        <v>132.5</v>
      </c>
      <c r="T96" s="2">
        <v>128.5</v>
      </c>
      <c r="U96" s="3">
        <v>131.9</v>
      </c>
      <c r="V96" s="2"/>
      <c r="W96">
        <v>125.7</v>
      </c>
      <c r="X96" s="2">
        <v>126</v>
      </c>
      <c r="Y96" s="2">
        <v>123.1</v>
      </c>
      <c r="Z96" s="2">
        <v>114</v>
      </c>
      <c r="AA96" s="2">
        <v>121.6</v>
      </c>
      <c r="AB96" s="2">
        <v>125.6</v>
      </c>
      <c r="AC96" s="2">
        <v>114.1</v>
      </c>
      <c r="AD96" s="2">
        <v>119.8</v>
      </c>
      <c r="AE96" s="2">
        <v>127.9</v>
      </c>
    </row>
    <row r="97" spans="1:31" x14ac:dyDescent="0.2">
      <c r="A97" t="s">
        <v>32</v>
      </c>
      <c r="B97">
        <v>2015</v>
      </c>
      <c r="C97" t="s">
        <v>53</v>
      </c>
      <c r="D97" s="1">
        <f>DATE(All_India_Index_Upto_April23__1___1[[#This Row],[Year]],MATCH(All_India_Index_Upto_April23__1___1[[#This Row],[Month]],{"January","February","March","April","May","June","July","August","September","October","November","December"},0),1)</f>
        <v>42339</v>
      </c>
      <c r="E97" s="2">
        <v>124.3</v>
      </c>
      <c r="F97" s="2">
        <v>131.69999999999999</v>
      </c>
      <c r="G97">
        <v>127.1</v>
      </c>
      <c r="H97">
        <v>128.6</v>
      </c>
      <c r="I97">
        <v>110</v>
      </c>
      <c r="J97">
        <v>120.8</v>
      </c>
      <c r="K97">
        <v>149</v>
      </c>
      <c r="L97">
        <v>190.1</v>
      </c>
      <c r="M97">
        <v>92.7</v>
      </c>
      <c r="N97">
        <v>138.6</v>
      </c>
      <c r="O97">
        <v>120.2</v>
      </c>
      <c r="P97">
        <v>134.19999999999999</v>
      </c>
      <c r="Q97" s="2">
        <v>131.5</v>
      </c>
      <c r="R97" s="2">
        <v>138.19999999999999</v>
      </c>
      <c r="S97" s="2">
        <v>125.4</v>
      </c>
      <c r="T97" s="2">
        <v>119.5</v>
      </c>
      <c r="U97" s="3">
        <v>124.5</v>
      </c>
      <c r="V97" s="2" t="s">
        <v>75</v>
      </c>
      <c r="W97" s="2">
        <v>116</v>
      </c>
      <c r="X97" s="2">
        <v>121</v>
      </c>
      <c r="Y97" s="2">
        <v>118.6</v>
      </c>
      <c r="Z97" s="2">
        <v>109.3</v>
      </c>
      <c r="AA97" s="2">
        <v>118.1</v>
      </c>
      <c r="AB97" s="2">
        <v>126.6</v>
      </c>
      <c r="AC97" s="2">
        <v>113.2</v>
      </c>
      <c r="AD97" s="2">
        <v>116.7</v>
      </c>
      <c r="AE97" s="2">
        <v>124</v>
      </c>
    </row>
    <row r="98" spans="1:31" x14ac:dyDescent="0.2">
      <c r="A98" t="s">
        <v>34</v>
      </c>
      <c r="B98">
        <v>2015</v>
      </c>
      <c r="C98" t="s">
        <v>31</v>
      </c>
      <c r="D98" s="1">
        <f>DATE(All_India_Index_Upto_April23__1___1[[#This Row],[Year]],MATCH(All_India_Index_Upto_April23__1___1[[#This Row],[Month]],{"January","February","March","April","May","June","July","August","September","October","November","December"},0),1)</f>
        <v>42005</v>
      </c>
      <c r="E98" s="2">
        <v>123.4</v>
      </c>
      <c r="F98" s="2">
        <v>123.9</v>
      </c>
      <c r="G98">
        <v>123.8</v>
      </c>
      <c r="H98">
        <v>125</v>
      </c>
      <c r="I98">
        <v>108.5</v>
      </c>
      <c r="J98">
        <v>126.2</v>
      </c>
      <c r="K98">
        <v>133</v>
      </c>
      <c r="L98">
        <v>119.1</v>
      </c>
      <c r="M98">
        <v>99</v>
      </c>
      <c r="N98">
        <v>120.3</v>
      </c>
      <c r="O98">
        <v>117.3</v>
      </c>
      <c r="P98">
        <v>126.7</v>
      </c>
      <c r="Q98" s="2">
        <v>123.1</v>
      </c>
      <c r="R98" s="2">
        <v>124</v>
      </c>
      <c r="S98" s="2">
        <v>123.1</v>
      </c>
      <c r="T98" s="2">
        <v>119.3</v>
      </c>
      <c r="U98" s="3">
        <v>122.5</v>
      </c>
      <c r="V98" s="2" t="s">
        <v>66</v>
      </c>
      <c r="W98" s="2">
        <v>116.5</v>
      </c>
      <c r="X98" s="2">
        <v>118.1</v>
      </c>
      <c r="Y98" s="2">
        <v>115.5</v>
      </c>
      <c r="Z98" s="2">
        <v>109.4</v>
      </c>
      <c r="AA98" s="2">
        <v>114.3</v>
      </c>
      <c r="AB98" s="2">
        <v>119.7</v>
      </c>
      <c r="AC98" s="2">
        <v>110.7</v>
      </c>
      <c r="AD98" s="2">
        <v>114</v>
      </c>
      <c r="AE98" s="2">
        <v>119.5</v>
      </c>
    </row>
    <row r="99" spans="1:31" x14ac:dyDescent="0.2">
      <c r="A99" t="s">
        <v>34</v>
      </c>
      <c r="B99">
        <v>2015</v>
      </c>
      <c r="C99" t="s">
        <v>35</v>
      </c>
      <c r="D99" s="1">
        <f>DATE(All_India_Index_Upto_April23__1___1[[#This Row],[Year]],MATCH(All_India_Index_Upto_April23__1___1[[#This Row],[Month]],{"January","February","March","April","May","June","July","August","September","October","November","December"},0),1)</f>
        <v>42036</v>
      </c>
      <c r="E99" s="2">
        <v>123.7</v>
      </c>
      <c r="F99" s="2">
        <v>125.1</v>
      </c>
      <c r="G99">
        <v>121.1</v>
      </c>
      <c r="H99">
        <v>125.7</v>
      </c>
      <c r="I99">
        <v>109.1</v>
      </c>
      <c r="J99">
        <v>125.8</v>
      </c>
      <c r="K99">
        <v>129.4</v>
      </c>
      <c r="L99">
        <v>120.9</v>
      </c>
      <c r="M99">
        <v>98.3</v>
      </c>
      <c r="N99">
        <v>121.6</v>
      </c>
      <c r="O99">
        <v>118</v>
      </c>
      <c r="P99">
        <v>127.6</v>
      </c>
      <c r="Q99" s="2">
        <v>123.1</v>
      </c>
      <c r="R99" s="2">
        <v>125.2</v>
      </c>
      <c r="S99" s="2">
        <v>123.8</v>
      </c>
      <c r="T99" s="2">
        <v>120.1</v>
      </c>
      <c r="U99" s="3">
        <v>123.3</v>
      </c>
      <c r="V99" s="2" t="s">
        <v>67</v>
      </c>
      <c r="W99" s="2">
        <v>117.7</v>
      </c>
      <c r="X99" s="2">
        <v>118.7</v>
      </c>
      <c r="Y99" s="2">
        <v>116.3</v>
      </c>
      <c r="Z99" s="2">
        <v>108.7</v>
      </c>
      <c r="AA99" s="2">
        <v>114.9</v>
      </c>
      <c r="AB99" s="2">
        <v>119.7</v>
      </c>
      <c r="AC99" s="2">
        <v>111.2</v>
      </c>
      <c r="AD99" s="2">
        <v>114.1</v>
      </c>
      <c r="AE99" s="2">
        <v>119.7</v>
      </c>
    </row>
    <row r="100" spans="1:31" x14ac:dyDescent="0.2">
      <c r="A100" t="s">
        <v>34</v>
      </c>
      <c r="B100">
        <v>2015</v>
      </c>
      <c r="C100" t="s">
        <v>37</v>
      </c>
      <c r="D100" s="1">
        <f>DATE(All_India_Index_Upto_April23__1___1[[#This Row],[Year]],MATCH(All_India_Index_Upto_April23__1___1[[#This Row],[Month]],{"January","February","March","April","May","June","July","August","September","October","November","December"},0),1)</f>
        <v>42064</v>
      </c>
      <c r="E100" s="2">
        <v>123.5</v>
      </c>
      <c r="F100" s="2">
        <v>125.4</v>
      </c>
      <c r="G100">
        <v>116.8</v>
      </c>
      <c r="H100">
        <v>126</v>
      </c>
      <c r="I100">
        <v>109.2</v>
      </c>
      <c r="J100">
        <v>127.6</v>
      </c>
      <c r="K100">
        <v>129.19999999999999</v>
      </c>
      <c r="L100">
        <v>122.4</v>
      </c>
      <c r="M100">
        <v>97</v>
      </c>
      <c r="N100">
        <v>122.1</v>
      </c>
      <c r="O100">
        <v>118.1</v>
      </c>
      <c r="P100">
        <v>128.4</v>
      </c>
      <c r="Q100" s="2">
        <v>123.4</v>
      </c>
      <c r="R100" s="2">
        <v>125.8</v>
      </c>
      <c r="S100" s="2">
        <v>124.3</v>
      </c>
      <c r="T100" s="2">
        <v>120.4</v>
      </c>
      <c r="U100" s="3">
        <v>123.7</v>
      </c>
      <c r="V100" s="2" t="s">
        <v>68</v>
      </c>
      <c r="W100" s="2">
        <v>118.3</v>
      </c>
      <c r="X100" s="2">
        <v>119.2</v>
      </c>
      <c r="Y100" s="2">
        <v>116.7</v>
      </c>
      <c r="Z100" s="2">
        <v>109.9</v>
      </c>
      <c r="AA100" s="2">
        <v>115.4</v>
      </c>
      <c r="AB100" s="2">
        <v>120.1</v>
      </c>
      <c r="AC100" s="2">
        <v>111</v>
      </c>
      <c r="AD100" s="2">
        <v>114.7</v>
      </c>
      <c r="AE100" s="2">
        <v>120.2</v>
      </c>
    </row>
    <row r="101" spans="1:31" x14ac:dyDescent="0.2">
      <c r="A101" t="s">
        <v>34</v>
      </c>
      <c r="B101">
        <v>2015</v>
      </c>
      <c r="C101" t="s">
        <v>38</v>
      </c>
      <c r="D101" s="1">
        <f>DATE(All_India_Index_Upto_April23__1___1[[#This Row],[Year]],MATCH(All_India_Index_Upto_April23__1___1[[#This Row],[Month]],{"January","February","March","April","May","June","July","August","September","October","November","December"},0),1)</f>
        <v>42095</v>
      </c>
      <c r="E101" s="2">
        <v>123.5</v>
      </c>
      <c r="F101" s="2">
        <v>126.4</v>
      </c>
      <c r="G101">
        <v>114.4</v>
      </c>
      <c r="H101">
        <v>126.6</v>
      </c>
      <c r="I101">
        <v>109.2</v>
      </c>
      <c r="J101">
        <v>132.5</v>
      </c>
      <c r="K101">
        <v>128.6</v>
      </c>
      <c r="L101">
        <v>124.8</v>
      </c>
      <c r="M101">
        <v>95.7</v>
      </c>
      <c r="N101">
        <v>122.4</v>
      </c>
      <c r="O101">
        <v>118.5</v>
      </c>
      <c r="P101">
        <v>129.1</v>
      </c>
      <c r="Q101" s="2">
        <v>124</v>
      </c>
      <c r="R101" s="2">
        <v>126.9</v>
      </c>
      <c r="S101" s="2">
        <v>124.7</v>
      </c>
      <c r="T101" s="2">
        <v>120.8</v>
      </c>
      <c r="U101" s="3">
        <v>124.1</v>
      </c>
      <c r="V101" s="2" t="s">
        <v>69</v>
      </c>
      <c r="W101" s="2">
        <v>118.7</v>
      </c>
      <c r="X101" s="2">
        <v>119.7</v>
      </c>
      <c r="Y101" s="2">
        <v>117.1</v>
      </c>
      <c r="Z101" s="2">
        <v>110.1</v>
      </c>
      <c r="AA101" s="2">
        <v>115.9</v>
      </c>
      <c r="AB101" s="2">
        <v>121</v>
      </c>
      <c r="AC101" s="2">
        <v>111.7</v>
      </c>
      <c r="AD101" s="2">
        <v>115.1</v>
      </c>
      <c r="AE101" s="2">
        <v>120.7</v>
      </c>
    </row>
    <row r="102" spans="1:31" x14ac:dyDescent="0.2">
      <c r="A102" t="s">
        <v>34</v>
      </c>
      <c r="B102">
        <v>2015</v>
      </c>
      <c r="C102" t="s">
        <v>40</v>
      </c>
      <c r="D102" s="1">
        <f>DATE(All_India_Index_Upto_April23__1___1[[#This Row],[Year]],MATCH(All_India_Index_Upto_April23__1___1[[#This Row],[Month]],{"January","February","March","April","May","June","July","August","September","October","November","December"},0),1)</f>
        <v>42125</v>
      </c>
      <c r="E102" s="2">
        <v>123.6</v>
      </c>
      <c r="F102" s="2">
        <v>128</v>
      </c>
      <c r="G102">
        <v>115</v>
      </c>
      <c r="H102">
        <v>127.3</v>
      </c>
      <c r="I102">
        <v>109.8</v>
      </c>
      <c r="J102">
        <v>132.6</v>
      </c>
      <c r="K102">
        <v>130.9</v>
      </c>
      <c r="L102">
        <v>130.5</v>
      </c>
      <c r="M102">
        <v>95.3</v>
      </c>
      <c r="N102">
        <v>123.4</v>
      </c>
      <c r="O102">
        <v>119.2</v>
      </c>
      <c r="P102">
        <v>129.80000000000001</v>
      </c>
      <c r="Q102" s="2">
        <v>125</v>
      </c>
      <c r="R102" s="2">
        <v>127.9</v>
      </c>
      <c r="S102" s="2">
        <v>125.4</v>
      </c>
      <c r="T102" s="2">
        <v>121.3</v>
      </c>
      <c r="U102" s="3">
        <v>124.7</v>
      </c>
      <c r="V102" s="2" t="s">
        <v>70</v>
      </c>
      <c r="W102" s="2">
        <v>119.2</v>
      </c>
      <c r="X102" s="2">
        <v>120.2</v>
      </c>
      <c r="Y102" s="2">
        <v>117.7</v>
      </c>
      <c r="Z102" s="2">
        <v>112</v>
      </c>
      <c r="AA102" s="2">
        <v>116.3</v>
      </c>
      <c r="AB102" s="2">
        <v>121.4</v>
      </c>
      <c r="AC102" s="2">
        <v>112.3</v>
      </c>
      <c r="AD102" s="2">
        <v>116.1</v>
      </c>
      <c r="AE102" s="2">
        <v>121.6</v>
      </c>
    </row>
    <row r="103" spans="1:31" x14ac:dyDescent="0.2">
      <c r="A103" t="s">
        <v>34</v>
      </c>
      <c r="B103">
        <v>2015</v>
      </c>
      <c r="C103" t="s">
        <v>41</v>
      </c>
      <c r="D103" s="1">
        <f>DATE(All_India_Index_Upto_April23__1___1[[#This Row],[Year]],MATCH(All_India_Index_Upto_April23__1___1[[#This Row],[Month]],{"January","February","March","April","May","June","July","August","September","October","November","December"},0),1)</f>
        <v>42156</v>
      </c>
      <c r="E103" s="2">
        <v>123.9</v>
      </c>
      <c r="F103" s="2">
        <v>131.80000000000001</v>
      </c>
      <c r="G103">
        <v>121.6</v>
      </c>
      <c r="H103">
        <v>128.19999999999999</v>
      </c>
      <c r="I103">
        <v>111.1</v>
      </c>
      <c r="J103">
        <v>132.80000000000001</v>
      </c>
      <c r="K103">
        <v>139.1</v>
      </c>
      <c r="L103">
        <v>137.4</v>
      </c>
      <c r="M103">
        <v>94.1</v>
      </c>
      <c r="N103">
        <v>125.5</v>
      </c>
      <c r="O103">
        <v>119.8</v>
      </c>
      <c r="P103">
        <v>130.9</v>
      </c>
      <c r="Q103" s="2">
        <v>127.3</v>
      </c>
      <c r="R103" s="2">
        <v>129.19999999999999</v>
      </c>
      <c r="S103" s="2">
        <v>126.4</v>
      </c>
      <c r="T103" s="2">
        <v>122</v>
      </c>
      <c r="U103" s="3">
        <v>125.7</v>
      </c>
      <c r="V103" s="2" t="s">
        <v>71</v>
      </c>
      <c r="W103" s="2">
        <v>119.8</v>
      </c>
      <c r="X103" s="2">
        <v>121.1</v>
      </c>
      <c r="Y103" s="2">
        <v>118.5</v>
      </c>
      <c r="Z103" s="2">
        <v>112.9</v>
      </c>
      <c r="AA103" s="2">
        <v>116.9</v>
      </c>
      <c r="AB103" s="2">
        <v>123.1</v>
      </c>
      <c r="AC103" s="2">
        <v>112.8</v>
      </c>
      <c r="AD103" s="2">
        <v>117</v>
      </c>
      <c r="AE103" s="2">
        <v>123</v>
      </c>
    </row>
    <row r="104" spans="1:31" x14ac:dyDescent="0.2">
      <c r="A104" t="s">
        <v>34</v>
      </c>
      <c r="B104">
        <v>2015</v>
      </c>
      <c r="C104" t="s">
        <v>43</v>
      </c>
      <c r="D104" s="1">
        <f>DATE(All_India_Index_Upto_April23__1___1[[#This Row],[Year]],MATCH(All_India_Index_Upto_April23__1___1[[#This Row],[Month]],{"January","February","March","April","May","June","July","August","September","October","November","December"},0),1)</f>
        <v>42186</v>
      </c>
      <c r="E104" s="2">
        <v>123.7</v>
      </c>
      <c r="F104" s="2">
        <v>132.5</v>
      </c>
      <c r="G104">
        <v>121</v>
      </c>
      <c r="H104">
        <v>128.30000000000001</v>
      </c>
      <c r="I104">
        <v>110.9</v>
      </c>
      <c r="J104">
        <v>133.1</v>
      </c>
      <c r="K104">
        <v>145.1</v>
      </c>
      <c r="L104">
        <v>139.1</v>
      </c>
      <c r="M104">
        <v>91.3</v>
      </c>
      <c r="N104">
        <v>126.1</v>
      </c>
      <c r="O104">
        <v>119.9</v>
      </c>
      <c r="P104">
        <v>131.4</v>
      </c>
      <c r="Q104" s="2">
        <v>128.19999999999999</v>
      </c>
      <c r="R104" s="2">
        <v>130.4</v>
      </c>
      <c r="S104" s="2">
        <v>126.7</v>
      </c>
      <c r="T104" s="2">
        <v>122.3</v>
      </c>
      <c r="U104" s="3">
        <v>126.1</v>
      </c>
      <c r="V104" s="2" t="s">
        <v>72</v>
      </c>
      <c r="W104" s="2">
        <v>120.1</v>
      </c>
      <c r="X104" s="2">
        <v>121.3</v>
      </c>
      <c r="Y104" s="2">
        <v>119</v>
      </c>
      <c r="Z104" s="2">
        <v>112.7</v>
      </c>
      <c r="AA104" s="2">
        <v>117.2</v>
      </c>
      <c r="AB104" s="2">
        <v>124.4</v>
      </c>
      <c r="AC104" s="2">
        <v>112.3</v>
      </c>
      <c r="AD104" s="2">
        <v>117.2</v>
      </c>
      <c r="AE104" s="2">
        <v>123.6</v>
      </c>
    </row>
    <row r="105" spans="1:31" x14ac:dyDescent="0.2">
      <c r="A105" t="s">
        <v>34</v>
      </c>
      <c r="B105">
        <v>2015</v>
      </c>
      <c r="C105" t="s">
        <v>45</v>
      </c>
      <c r="D105" s="1">
        <f>DATE(All_India_Index_Upto_April23__1___1[[#This Row],[Year]],MATCH(All_India_Index_Upto_April23__1___1[[#This Row],[Month]],{"January","February","March","April","May","June","July","August","September","October","November","December"},0),1)</f>
        <v>42217</v>
      </c>
      <c r="E105" s="2">
        <v>124.2</v>
      </c>
      <c r="F105" s="2">
        <v>131.4</v>
      </c>
      <c r="G105">
        <v>120.1</v>
      </c>
      <c r="H105">
        <v>128.5</v>
      </c>
      <c r="I105">
        <v>111.4</v>
      </c>
      <c r="J105">
        <v>132.30000000000001</v>
      </c>
      <c r="K105">
        <v>157.6</v>
      </c>
      <c r="L105">
        <v>144</v>
      </c>
      <c r="M105">
        <v>90.5</v>
      </c>
      <c r="N105">
        <v>126.8</v>
      </c>
      <c r="O105">
        <v>120.4</v>
      </c>
      <c r="P105">
        <v>132.1</v>
      </c>
      <c r="Q105" s="2">
        <v>130.30000000000001</v>
      </c>
      <c r="R105" s="2">
        <v>131.19999999999999</v>
      </c>
      <c r="S105" s="2">
        <v>127.2</v>
      </c>
      <c r="T105" s="2">
        <v>122.9</v>
      </c>
      <c r="U105" s="3">
        <v>126.6</v>
      </c>
      <c r="V105" s="2" t="s">
        <v>73</v>
      </c>
      <c r="W105" s="2">
        <v>120.6</v>
      </c>
      <c r="X105" s="2">
        <v>122</v>
      </c>
      <c r="Y105" s="2">
        <v>119.4</v>
      </c>
      <c r="Z105" s="2">
        <v>111.7</v>
      </c>
      <c r="AA105" s="2">
        <v>117.8</v>
      </c>
      <c r="AB105" s="2">
        <v>125.1</v>
      </c>
      <c r="AC105" s="2">
        <v>112.3</v>
      </c>
      <c r="AD105" s="2">
        <v>117.2</v>
      </c>
      <c r="AE105" s="2">
        <v>124.8</v>
      </c>
    </row>
    <row r="106" spans="1:31" x14ac:dyDescent="0.2">
      <c r="A106" t="s">
        <v>34</v>
      </c>
      <c r="B106">
        <v>2015</v>
      </c>
      <c r="C106" t="s">
        <v>47</v>
      </c>
      <c r="D106" s="1">
        <f>DATE(All_India_Index_Upto_April23__1___1[[#This Row],[Year]],MATCH(All_India_Index_Upto_April23__1___1[[#This Row],[Month]],{"January","February","March","April","May","June","July","August","September","October","November","December"},0),1)</f>
        <v>42248</v>
      </c>
      <c r="E106" s="2">
        <v>124.6</v>
      </c>
      <c r="F106" s="2">
        <v>130.4</v>
      </c>
      <c r="G106">
        <v>118.7</v>
      </c>
      <c r="H106">
        <v>128.9</v>
      </c>
      <c r="I106">
        <v>111.9</v>
      </c>
      <c r="J106">
        <v>128.4</v>
      </c>
      <c r="K106">
        <v>162.19999999999999</v>
      </c>
      <c r="L106">
        <v>150</v>
      </c>
      <c r="M106">
        <v>90.4</v>
      </c>
      <c r="N106">
        <v>128.4</v>
      </c>
      <c r="O106">
        <v>120.7</v>
      </c>
      <c r="P106">
        <v>132.5</v>
      </c>
      <c r="Q106" s="2">
        <v>131.19999999999999</v>
      </c>
      <c r="R106" s="2">
        <v>132</v>
      </c>
      <c r="S106" s="2">
        <v>127.9</v>
      </c>
      <c r="T106" s="2">
        <v>123.4</v>
      </c>
      <c r="U106" s="3">
        <v>127.2</v>
      </c>
      <c r="V106" s="2" t="s">
        <v>74</v>
      </c>
      <c r="W106" s="2">
        <v>120.4</v>
      </c>
      <c r="X106" s="2">
        <v>122.6</v>
      </c>
      <c r="Y106" s="2">
        <v>119.8</v>
      </c>
      <c r="Z106" s="2">
        <v>111.3</v>
      </c>
      <c r="AA106" s="2">
        <v>118.3</v>
      </c>
      <c r="AB106" s="2">
        <v>125.7</v>
      </c>
      <c r="AC106" s="2">
        <v>113.4</v>
      </c>
      <c r="AD106" s="2">
        <v>117.5</v>
      </c>
      <c r="AE106" s="2">
        <v>125.4</v>
      </c>
    </row>
    <row r="107" spans="1:31" x14ac:dyDescent="0.2">
      <c r="A107" t="s">
        <v>34</v>
      </c>
      <c r="B107">
        <v>2015</v>
      </c>
      <c r="C107" t="s">
        <v>49</v>
      </c>
      <c r="D107" s="1">
        <f>DATE(All_India_Index_Upto_April23__1___1[[#This Row],[Year]],MATCH(All_India_Index_Upto_April23__1___1[[#This Row],[Month]],{"January","February","March","April","May","June","July","August","September","October","November","December"},0),1)</f>
        <v>42278</v>
      </c>
      <c r="E107" s="2">
        <v>125</v>
      </c>
      <c r="F107" s="2">
        <v>129.80000000000001</v>
      </c>
      <c r="G107">
        <v>118.9</v>
      </c>
      <c r="H107">
        <v>129.1</v>
      </c>
      <c r="I107">
        <v>113.3</v>
      </c>
      <c r="J107">
        <v>129</v>
      </c>
      <c r="K107">
        <v>160.4</v>
      </c>
      <c r="L107">
        <v>165.3</v>
      </c>
      <c r="M107">
        <v>92.3</v>
      </c>
      <c r="N107">
        <v>129.69999999999999</v>
      </c>
      <c r="O107">
        <v>121.1</v>
      </c>
      <c r="P107">
        <v>133</v>
      </c>
      <c r="Q107" s="2">
        <v>132.1</v>
      </c>
      <c r="R107" s="2">
        <v>132.5</v>
      </c>
      <c r="S107" s="2">
        <v>128.5</v>
      </c>
      <c r="T107" s="2">
        <v>123.8</v>
      </c>
      <c r="U107" s="3">
        <v>127.8</v>
      </c>
      <c r="V107" s="2" t="s">
        <v>75</v>
      </c>
      <c r="W107" s="2">
        <v>120.8</v>
      </c>
      <c r="X107" s="2">
        <v>123</v>
      </c>
      <c r="Y107" s="2">
        <v>120.4</v>
      </c>
      <c r="Z107" s="2">
        <v>111.4</v>
      </c>
      <c r="AA107" s="2">
        <v>118.7</v>
      </c>
      <c r="AB107" s="2">
        <v>125.9</v>
      </c>
      <c r="AC107" s="2">
        <v>113.9</v>
      </c>
      <c r="AD107" s="2">
        <v>117.9</v>
      </c>
      <c r="AE107" s="2">
        <v>126.1</v>
      </c>
    </row>
    <row r="108" spans="1:31" x14ac:dyDescent="0.2">
      <c r="A108" t="s">
        <v>34</v>
      </c>
      <c r="B108">
        <v>2015</v>
      </c>
      <c r="C108" t="s">
        <v>51</v>
      </c>
      <c r="D108" s="1">
        <f>DATE(All_India_Index_Upto_April23__1___1[[#This Row],[Year]],MATCH(All_India_Index_Upto_April23__1___1[[#This Row],[Month]],{"January","February","March","April","May","June","July","August","September","October","November","December"},0),1)</f>
        <v>42309</v>
      </c>
      <c r="E108" s="2">
        <v>125.4</v>
      </c>
      <c r="F108" s="2">
        <v>130.30000000000001</v>
      </c>
      <c r="G108">
        <v>121.6</v>
      </c>
      <c r="H108">
        <v>129.19999999999999</v>
      </c>
      <c r="I108">
        <v>114.9</v>
      </c>
      <c r="J108">
        <v>128.19999999999999</v>
      </c>
      <c r="K108">
        <v>158.4</v>
      </c>
      <c r="L108">
        <v>171.2</v>
      </c>
      <c r="M108">
        <v>93.3</v>
      </c>
      <c r="N108">
        <v>131.19999999999999</v>
      </c>
      <c r="O108">
        <v>121.7</v>
      </c>
      <c r="P108">
        <v>134</v>
      </c>
      <c r="Q108" s="2">
        <v>132.69999999999999</v>
      </c>
      <c r="R108" s="2">
        <v>133.6</v>
      </c>
      <c r="S108" s="2">
        <v>129.30000000000001</v>
      </c>
      <c r="T108" s="2">
        <v>124.5</v>
      </c>
      <c r="U108" s="3">
        <v>128.6</v>
      </c>
      <c r="V108" s="2" t="s">
        <v>76</v>
      </c>
      <c r="W108" s="2">
        <v>121.6</v>
      </c>
      <c r="X108" s="2">
        <v>123.4</v>
      </c>
      <c r="Y108" s="2">
        <v>120.9</v>
      </c>
      <c r="Z108" s="2">
        <v>111.5</v>
      </c>
      <c r="AA108" s="2">
        <v>119.2</v>
      </c>
      <c r="AB108" s="2">
        <v>126.3</v>
      </c>
      <c r="AC108" s="2">
        <v>113.8</v>
      </c>
      <c r="AD108" s="2">
        <v>118.1</v>
      </c>
      <c r="AE108" s="2">
        <v>126.6</v>
      </c>
    </row>
    <row r="109" spans="1:31" x14ac:dyDescent="0.2">
      <c r="A109" t="s">
        <v>34</v>
      </c>
      <c r="B109">
        <v>2015</v>
      </c>
      <c r="C109" t="s">
        <v>53</v>
      </c>
      <c r="D109" s="1">
        <f>DATE(All_India_Index_Upto_April23__1___1[[#This Row],[Year]],MATCH(All_India_Index_Upto_April23__1___1[[#This Row],[Month]],{"January","February","March","April","May","June","July","August","September","October","November","December"},0),1)</f>
        <v>42339</v>
      </c>
      <c r="E109" s="2">
        <v>125.7</v>
      </c>
      <c r="F109" s="2">
        <v>131.4</v>
      </c>
      <c r="G109">
        <v>124.8</v>
      </c>
      <c r="H109">
        <v>129.4</v>
      </c>
      <c r="I109">
        <v>115.3</v>
      </c>
      <c r="J109">
        <v>126.6</v>
      </c>
      <c r="K109">
        <v>146.69999999999999</v>
      </c>
      <c r="L109">
        <v>171.5</v>
      </c>
      <c r="M109">
        <v>94.5</v>
      </c>
      <c r="N109">
        <v>132.1</v>
      </c>
      <c r="O109">
        <v>122</v>
      </c>
      <c r="P109">
        <v>134.69999999999999</v>
      </c>
      <c r="Q109" s="2">
        <v>131.4</v>
      </c>
      <c r="R109" s="2">
        <v>134.5</v>
      </c>
      <c r="S109" s="2">
        <v>129.69999999999999</v>
      </c>
      <c r="T109" s="2">
        <v>124.8</v>
      </c>
      <c r="U109" s="3">
        <v>129</v>
      </c>
      <c r="V109" s="2" t="s">
        <v>75</v>
      </c>
      <c r="W109" s="2">
        <v>122</v>
      </c>
      <c r="X109" s="2">
        <v>123.6</v>
      </c>
      <c r="Y109" s="2">
        <v>121.4</v>
      </c>
      <c r="Z109" s="2">
        <v>111.5</v>
      </c>
      <c r="AA109" s="2">
        <v>119.6</v>
      </c>
      <c r="AB109" s="2">
        <v>126.2</v>
      </c>
      <c r="AC109" s="2">
        <v>113.7</v>
      </c>
      <c r="AD109" s="2">
        <v>118.3</v>
      </c>
      <c r="AE109" s="2">
        <v>126.1</v>
      </c>
    </row>
    <row r="110" spans="1:31" x14ac:dyDescent="0.2">
      <c r="A110" t="s">
        <v>30</v>
      </c>
      <c r="B110">
        <v>2016</v>
      </c>
      <c r="C110" t="s">
        <v>31</v>
      </c>
      <c r="D110" s="1">
        <f>DATE(All_India_Index_Upto_April23__1___1[[#This Row],[Year]],MATCH(All_India_Index_Upto_April23__1___1[[#This Row],[Month]],{"January","February","March","April","May","June","July","August","September","October","November","December"},0),1)</f>
        <v>42370</v>
      </c>
      <c r="E110" s="2">
        <v>126.8</v>
      </c>
      <c r="F110" s="2">
        <v>133.19999999999999</v>
      </c>
      <c r="G110">
        <v>126.5</v>
      </c>
      <c r="H110">
        <v>130.30000000000001</v>
      </c>
      <c r="I110">
        <v>118.9</v>
      </c>
      <c r="J110">
        <v>131.6</v>
      </c>
      <c r="K110">
        <v>140.1</v>
      </c>
      <c r="L110">
        <v>163.80000000000001</v>
      </c>
      <c r="M110">
        <v>97.7</v>
      </c>
      <c r="N110">
        <v>129.6</v>
      </c>
      <c r="O110">
        <v>124.3</v>
      </c>
      <c r="P110">
        <v>135.9</v>
      </c>
      <c r="Q110" s="2">
        <v>131.4</v>
      </c>
      <c r="R110" s="2">
        <v>133.6</v>
      </c>
      <c r="S110" s="2">
        <v>133.19999999999999</v>
      </c>
      <c r="T110" s="2">
        <v>128.9</v>
      </c>
      <c r="U110" s="3">
        <v>132.6</v>
      </c>
      <c r="V110" s="2"/>
      <c r="W110">
        <v>126.2</v>
      </c>
      <c r="X110" s="2">
        <v>126.6</v>
      </c>
      <c r="Y110" s="2">
        <v>123.7</v>
      </c>
      <c r="Z110" s="2">
        <v>113.6</v>
      </c>
      <c r="AA110" s="2">
        <v>121.4</v>
      </c>
      <c r="AB110" s="2">
        <v>126.2</v>
      </c>
      <c r="AC110" s="2">
        <v>114.9</v>
      </c>
      <c r="AD110" s="2">
        <v>120.1</v>
      </c>
      <c r="AE110" s="2">
        <v>128.1</v>
      </c>
    </row>
    <row r="111" spans="1:31" x14ac:dyDescent="0.2">
      <c r="A111" t="s">
        <v>32</v>
      </c>
      <c r="B111">
        <v>2016</v>
      </c>
      <c r="C111" t="s">
        <v>31</v>
      </c>
      <c r="D111" s="1">
        <f>DATE(All_India_Index_Upto_April23__1___1[[#This Row],[Year]],MATCH(All_India_Index_Upto_April23__1___1[[#This Row],[Month]],{"January","February","March","April","May","June","July","August","September","October","November","December"},0),1)</f>
        <v>42370</v>
      </c>
      <c r="E111" s="2">
        <v>124.7</v>
      </c>
      <c r="F111" s="2">
        <v>135.9</v>
      </c>
      <c r="G111">
        <v>132</v>
      </c>
      <c r="H111">
        <v>129.19999999999999</v>
      </c>
      <c r="I111">
        <v>109.7</v>
      </c>
      <c r="J111">
        <v>119</v>
      </c>
      <c r="K111">
        <v>144.1</v>
      </c>
      <c r="L111">
        <v>184.2</v>
      </c>
      <c r="M111">
        <v>96.7</v>
      </c>
      <c r="N111">
        <v>139.5</v>
      </c>
      <c r="O111">
        <v>120.5</v>
      </c>
      <c r="P111">
        <v>134.69999999999999</v>
      </c>
      <c r="Q111" s="2">
        <v>131.19999999999999</v>
      </c>
      <c r="R111" s="2">
        <v>139.5</v>
      </c>
      <c r="S111" s="2">
        <v>125.8</v>
      </c>
      <c r="T111" s="2">
        <v>119.8</v>
      </c>
      <c r="U111" s="3">
        <v>124.9</v>
      </c>
      <c r="V111" s="2" t="s">
        <v>77</v>
      </c>
      <c r="W111" s="2">
        <v>116.9</v>
      </c>
      <c r="X111" s="2">
        <v>121.6</v>
      </c>
      <c r="Y111" s="2">
        <v>119.1</v>
      </c>
      <c r="Z111" s="2">
        <v>108.9</v>
      </c>
      <c r="AA111" s="2">
        <v>118.5</v>
      </c>
      <c r="AB111" s="2">
        <v>126.4</v>
      </c>
      <c r="AC111" s="2">
        <v>114</v>
      </c>
      <c r="AD111" s="2">
        <v>116.8</v>
      </c>
      <c r="AE111" s="2">
        <v>124.2</v>
      </c>
    </row>
    <row r="112" spans="1:31" x14ac:dyDescent="0.2">
      <c r="A112" t="s">
        <v>30</v>
      </c>
      <c r="B112">
        <v>2016</v>
      </c>
      <c r="C112" t="s">
        <v>35</v>
      </c>
      <c r="D112" s="1">
        <f>DATE(All_India_Index_Upto_April23__1___1[[#This Row],[Year]],MATCH(All_India_Index_Upto_April23__1___1[[#This Row],[Month]],{"January","February","March","April","May","June","July","August","September","October","November","December"},0),1)</f>
        <v>42401</v>
      </c>
      <c r="E112" s="2">
        <v>127.1</v>
      </c>
      <c r="F112" s="2">
        <v>133.69999999999999</v>
      </c>
      <c r="G112">
        <v>127.7</v>
      </c>
      <c r="H112">
        <v>130.69999999999999</v>
      </c>
      <c r="I112">
        <v>118.5</v>
      </c>
      <c r="J112">
        <v>130.4</v>
      </c>
      <c r="K112">
        <v>130.9</v>
      </c>
      <c r="L112">
        <v>162.80000000000001</v>
      </c>
      <c r="M112">
        <v>98.7</v>
      </c>
      <c r="N112">
        <v>130.6</v>
      </c>
      <c r="O112">
        <v>124.8</v>
      </c>
      <c r="P112">
        <v>136.4</v>
      </c>
      <c r="Q112" s="2">
        <v>130.30000000000001</v>
      </c>
      <c r="R112" s="2">
        <v>134.4</v>
      </c>
      <c r="S112" s="2">
        <v>133.9</v>
      </c>
      <c r="T112" s="2">
        <v>129.80000000000001</v>
      </c>
      <c r="U112" s="3">
        <v>133.4</v>
      </c>
      <c r="V112" s="2"/>
      <c r="W112">
        <v>127.5</v>
      </c>
      <c r="X112" s="2">
        <v>127.1</v>
      </c>
      <c r="Y112" s="2">
        <v>124.3</v>
      </c>
      <c r="Z112" s="2">
        <v>113.9</v>
      </c>
      <c r="AA112" s="2">
        <v>122.3</v>
      </c>
      <c r="AB112" s="2">
        <v>127.1</v>
      </c>
      <c r="AC112" s="2">
        <v>116.8</v>
      </c>
      <c r="AD112" s="2">
        <v>120.9</v>
      </c>
      <c r="AE112" s="2">
        <v>127.9</v>
      </c>
    </row>
    <row r="113" spans="1:31" x14ac:dyDescent="0.2">
      <c r="A113" t="s">
        <v>32</v>
      </c>
      <c r="B113">
        <v>2016</v>
      </c>
      <c r="C113" t="s">
        <v>35</v>
      </c>
      <c r="D113" s="1">
        <f>DATE(All_India_Index_Upto_April23__1___1[[#This Row],[Year]],MATCH(All_India_Index_Upto_April23__1___1[[#This Row],[Month]],{"January","February","March","April","May","June","July","August","September","October","November","December"},0),1)</f>
        <v>42401</v>
      </c>
      <c r="E113" s="2">
        <v>124.8</v>
      </c>
      <c r="F113" s="2">
        <v>135.1</v>
      </c>
      <c r="G113">
        <v>130.30000000000001</v>
      </c>
      <c r="H113">
        <v>129.6</v>
      </c>
      <c r="I113">
        <v>108.4</v>
      </c>
      <c r="J113">
        <v>118.6</v>
      </c>
      <c r="K113">
        <v>129.19999999999999</v>
      </c>
      <c r="L113">
        <v>176.4</v>
      </c>
      <c r="M113">
        <v>99.1</v>
      </c>
      <c r="N113">
        <v>139.69999999999999</v>
      </c>
      <c r="O113">
        <v>120.6</v>
      </c>
      <c r="P113">
        <v>135.19999999999999</v>
      </c>
      <c r="Q113" s="2">
        <v>129.1</v>
      </c>
      <c r="R113" s="2">
        <v>140</v>
      </c>
      <c r="S113" s="2">
        <v>126.2</v>
      </c>
      <c r="T113" s="2">
        <v>120.1</v>
      </c>
      <c r="U113" s="3">
        <v>125.3</v>
      </c>
      <c r="V113" s="2" t="s">
        <v>78</v>
      </c>
      <c r="W113" s="2">
        <v>116</v>
      </c>
      <c r="X113" s="2">
        <v>121.8</v>
      </c>
      <c r="Y113" s="2">
        <v>119.5</v>
      </c>
      <c r="Z113" s="2">
        <v>109.1</v>
      </c>
      <c r="AA113" s="2">
        <v>118.8</v>
      </c>
      <c r="AB113" s="2">
        <v>126.3</v>
      </c>
      <c r="AC113" s="2">
        <v>116.2</v>
      </c>
      <c r="AD113" s="2">
        <v>117.2</v>
      </c>
      <c r="AE113" s="2">
        <v>123.8</v>
      </c>
    </row>
    <row r="114" spans="1:31" x14ac:dyDescent="0.2">
      <c r="A114" t="s">
        <v>30</v>
      </c>
      <c r="B114">
        <v>2016</v>
      </c>
      <c r="C114" t="s">
        <v>37</v>
      </c>
      <c r="D114" s="1">
        <f>DATE(All_India_Index_Upto_April23__1___1[[#This Row],[Year]],MATCH(All_India_Index_Upto_April23__1___1[[#This Row],[Month]],{"January","February","March","April","May","June","July","August","September","October","November","December"},0),1)</f>
        <v>42430</v>
      </c>
      <c r="E114" s="2">
        <v>127.3</v>
      </c>
      <c r="F114" s="2">
        <v>134.4</v>
      </c>
      <c r="G114">
        <v>125.1</v>
      </c>
      <c r="H114">
        <v>130.5</v>
      </c>
      <c r="I114">
        <v>118.3</v>
      </c>
      <c r="J114">
        <v>131.69999999999999</v>
      </c>
      <c r="K114">
        <v>130.69999999999999</v>
      </c>
      <c r="L114">
        <v>161.19999999999999</v>
      </c>
      <c r="M114">
        <v>100.4</v>
      </c>
      <c r="N114">
        <v>130.80000000000001</v>
      </c>
      <c r="O114">
        <v>124.9</v>
      </c>
      <c r="P114">
        <v>137</v>
      </c>
      <c r="Q114" s="2">
        <v>130.4</v>
      </c>
      <c r="R114" s="2">
        <v>135</v>
      </c>
      <c r="S114" s="2">
        <v>134.4</v>
      </c>
      <c r="T114" s="2">
        <v>130.19999999999999</v>
      </c>
      <c r="U114" s="3">
        <v>133.80000000000001</v>
      </c>
      <c r="V114" s="2"/>
      <c r="W114">
        <v>127</v>
      </c>
      <c r="X114" s="2">
        <v>127.7</v>
      </c>
      <c r="Y114" s="2">
        <v>124.8</v>
      </c>
      <c r="Z114" s="2">
        <v>113.6</v>
      </c>
      <c r="AA114" s="2">
        <v>122.5</v>
      </c>
      <c r="AB114" s="2">
        <v>127.5</v>
      </c>
      <c r="AC114" s="2">
        <v>117.4</v>
      </c>
      <c r="AD114" s="2">
        <v>121.1</v>
      </c>
      <c r="AE114" s="2">
        <v>128</v>
      </c>
    </row>
    <row r="115" spans="1:31" x14ac:dyDescent="0.2">
      <c r="A115" t="s">
        <v>32</v>
      </c>
      <c r="B115">
        <v>2016</v>
      </c>
      <c r="C115" t="s">
        <v>37</v>
      </c>
      <c r="D115" s="1">
        <f>DATE(All_India_Index_Upto_April23__1___1[[#This Row],[Year]],MATCH(All_India_Index_Upto_April23__1___1[[#This Row],[Month]],{"January","February","March","April","May","June","July","August","September","October","November","December"},0),1)</f>
        <v>42430</v>
      </c>
      <c r="E115" s="2">
        <v>124.8</v>
      </c>
      <c r="F115" s="2">
        <v>136.30000000000001</v>
      </c>
      <c r="G115">
        <v>123.7</v>
      </c>
      <c r="H115">
        <v>129.69999999999999</v>
      </c>
      <c r="I115">
        <v>107.9</v>
      </c>
      <c r="J115">
        <v>119.9</v>
      </c>
      <c r="K115">
        <v>128.1</v>
      </c>
      <c r="L115">
        <v>170.3</v>
      </c>
      <c r="M115">
        <v>101.8</v>
      </c>
      <c r="N115">
        <v>140.1</v>
      </c>
      <c r="O115">
        <v>120.7</v>
      </c>
      <c r="P115">
        <v>135.4</v>
      </c>
      <c r="Q115" s="2">
        <v>128.9</v>
      </c>
      <c r="R115" s="2">
        <v>140.6</v>
      </c>
      <c r="S115" s="2">
        <v>126.4</v>
      </c>
      <c r="T115" s="2">
        <v>120.3</v>
      </c>
      <c r="U115" s="3">
        <v>125.5</v>
      </c>
      <c r="V115" s="2" t="s">
        <v>79</v>
      </c>
      <c r="W115" s="2">
        <v>114.8</v>
      </c>
      <c r="X115" s="2">
        <v>122.3</v>
      </c>
      <c r="Y115" s="2">
        <v>119.7</v>
      </c>
      <c r="Z115" s="2">
        <v>108.5</v>
      </c>
      <c r="AA115" s="2">
        <v>119.1</v>
      </c>
      <c r="AB115" s="2">
        <v>126.4</v>
      </c>
      <c r="AC115" s="2">
        <v>117.1</v>
      </c>
      <c r="AD115" s="2">
        <v>117.3</v>
      </c>
      <c r="AE115" s="2">
        <v>123.8</v>
      </c>
    </row>
    <row r="116" spans="1:31" x14ac:dyDescent="0.2">
      <c r="A116" t="s">
        <v>30</v>
      </c>
      <c r="B116">
        <v>2016</v>
      </c>
      <c r="C116" t="s">
        <v>38</v>
      </c>
      <c r="D116" s="1">
        <f>DATE(All_India_Index_Upto_April23__1___1[[#This Row],[Year]],MATCH(All_India_Index_Upto_April23__1___1[[#This Row],[Month]],{"January","February","March","April","May","June","July","August","September","October","November","December"},0),1)</f>
        <v>42461</v>
      </c>
      <c r="E116" s="2">
        <v>127.4</v>
      </c>
      <c r="F116" s="2">
        <v>135.4</v>
      </c>
      <c r="G116">
        <v>123.4</v>
      </c>
      <c r="H116">
        <v>131.30000000000001</v>
      </c>
      <c r="I116">
        <v>118.2</v>
      </c>
      <c r="J116">
        <v>138.1</v>
      </c>
      <c r="K116">
        <v>134.1</v>
      </c>
      <c r="L116">
        <v>162.69999999999999</v>
      </c>
      <c r="M116">
        <v>105</v>
      </c>
      <c r="N116">
        <v>131.4</v>
      </c>
      <c r="O116">
        <v>125.4</v>
      </c>
      <c r="P116">
        <v>137.4</v>
      </c>
      <c r="Q116" s="2">
        <v>131.80000000000001</v>
      </c>
      <c r="R116" s="2">
        <v>135.5</v>
      </c>
      <c r="S116" s="2">
        <v>135</v>
      </c>
      <c r="T116" s="2">
        <v>130.6</v>
      </c>
      <c r="U116" s="3">
        <v>134.4</v>
      </c>
      <c r="V116" s="2"/>
      <c r="W116">
        <v>127</v>
      </c>
      <c r="X116" s="2">
        <v>128</v>
      </c>
      <c r="Y116" s="2">
        <v>125.2</v>
      </c>
      <c r="Z116" s="2">
        <v>114.4</v>
      </c>
      <c r="AA116" s="2">
        <v>123.2</v>
      </c>
      <c r="AB116" s="2">
        <v>127.9</v>
      </c>
      <c r="AC116" s="2">
        <v>118.4</v>
      </c>
      <c r="AD116" s="2">
        <v>121.7</v>
      </c>
      <c r="AE116" s="2">
        <v>129</v>
      </c>
    </row>
    <row r="117" spans="1:31" x14ac:dyDescent="0.2">
      <c r="A117" t="s">
        <v>32</v>
      </c>
      <c r="B117">
        <v>2016</v>
      </c>
      <c r="C117" t="s">
        <v>38</v>
      </c>
      <c r="D117" s="1">
        <f>DATE(All_India_Index_Upto_April23__1___1[[#This Row],[Year]],MATCH(All_India_Index_Upto_April23__1___1[[#This Row],[Month]],{"January","February","March","April","May","June","July","August","September","October","November","December"},0),1)</f>
        <v>42461</v>
      </c>
      <c r="E117" s="2">
        <v>124.9</v>
      </c>
      <c r="F117" s="2">
        <v>139.30000000000001</v>
      </c>
      <c r="G117">
        <v>119.9</v>
      </c>
      <c r="H117">
        <v>130.19999999999999</v>
      </c>
      <c r="I117">
        <v>108.9</v>
      </c>
      <c r="J117">
        <v>131.1</v>
      </c>
      <c r="K117">
        <v>136.80000000000001</v>
      </c>
      <c r="L117">
        <v>176.9</v>
      </c>
      <c r="M117">
        <v>109.1</v>
      </c>
      <c r="N117">
        <v>140.4</v>
      </c>
      <c r="O117">
        <v>121.1</v>
      </c>
      <c r="P117">
        <v>135.9</v>
      </c>
      <c r="Q117" s="2">
        <v>131.80000000000001</v>
      </c>
      <c r="R117" s="2">
        <v>141.5</v>
      </c>
      <c r="S117" s="2">
        <v>126.8</v>
      </c>
      <c r="T117" s="2">
        <v>120.5</v>
      </c>
      <c r="U117" s="3">
        <v>125.8</v>
      </c>
      <c r="V117" s="2" t="s">
        <v>80</v>
      </c>
      <c r="W117" s="2">
        <v>114.6</v>
      </c>
      <c r="X117" s="2">
        <v>122.8</v>
      </c>
      <c r="Y117" s="2">
        <v>120</v>
      </c>
      <c r="Z117" s="2">
        <v>110</v>
      </c>
      <c r="AA117" s="2">
        <v>119.5</v>
      </c>
      <c r="AB117" s="2">
        <v>127.6</v>
      </c>
      <c r="AC117" s="2">
        <v>117.6</v>
      </c>
      <c r="AD117" s="2">
        <v>118.2</v>
      </c>
      <c r="AE117" s="2">
        <v>125.3</v>
      </c>
    </row>
    <row r="118" spans="1:31" x14ac:dyDescent="0.2">
      <c r="A118" t="s">
        <v>30</v>
      </c>
      <c r="B118">
        <v>2016</v>
      </c>
      <c r="C118" t="s">
        <v>40</v>
      </c>
      <c r="D118" s="1">
        <f>DATE(All_India_Index_Upto_April23__1___1[[#This Row],[Year]],MATCH(All_India_Index_Upto_April23__1___1[[#This Row],[Month]],{"January","February","March","April","May","June","July","August","September","October","November","December"},0),1)</f>
        <v>42491</v>
      </c>
      <c r="E118" s="2">
        <v>127.6</v>
      </c>
      <c r="F118" s="2">
        <v>137.5</v>
      </c>
      <c r="G118">
        <v>124.4</v>
      </c>
      <c r="H118">
        <v>132.4</v>
      </c>
      <c r="I118">
        <v>118.2</v>
      </c>
      <c r="J118">
        <v>138.1</v>
      </c>
      <c r="K118">
        <v>141.80000000000001</v>
      </c>
      <c r="L118">
        <v>166</v>
      </c>
      <c r="M118">
        <v>107.5</v>
      </c>
      <c r="N118">
        <v>132.19999999999999</v>
      </c>
      <c r="O118">
        <v>126.1</v>
      </c>
      <c r="P118">
        <v>138.30000000000001</v>
      </c>
      <c r="Q118" s="2">
        <v>133.6</v>
      </c>
      <c r="R118" s="2">
        <v>136</v>
      </c>
      <c r="S118" s="2">
        <v>135.4</v>
      </c>
      <c r="T118" s="2">
        <v>131.1</v>
      </c>
      <c r="U118" s="3">
        <v>134.80000000000001</v>
      </c>
      <c r="V118" s="2"/>
      <c r="W118">
        <v>127.4</v>
      </c>
      <c r="X118" s="2">
        <v>128.5</v>
      </c>
      <c r="Y118" s="2">
        <v>125.8</v>
      </c>
      <c r="Z118" s="2">
        <v>115.1</v>
      </c>
      <c r="AA118" s="2">
        <v>123.6</v>
      </c>
      <c r="AB118" s="2">
        <v>129.1</v>
      </c>
      <c r="AC118" s="2">
        <v>119.7</v>
      </c>
      <c r="AD118" s="2">
        <v>122.5</v>
      </c>
      <c r="AE118" s="2">
        <v>130.30000000000001</v>
      </c>
    </row>
    <row r="119" spans="1:31" x14ac:dyDescent="0.2">
      <c r="A119" t="s">
        <v>32</v>
      </c>
      <c r="B119">
        <v>2016</v>
      </c>
      <c r="C119" t="s">
        <v>40</v>
      </c>
      <c r="D119" s="1">
        <f>DATE(All_India_Index_Upto_April23__1___1[[#This Row],[Year]],MATCH(All_India_Index_Upto_April23__1___1[[#This Row],[Month]],{"January","February","March","April","May","June","July","August","September","October","November","December"},0),1)</f>
        <v>42491</v>
      </c>
      <c r="E119" s="2">
        <v>125</v>
      </c>
      <c r="F119" s="2">
        <v>142.1</v>
      </c>
      <c r="G119">
        <v>127</v>
      </c>
      <c r="H119">
        <v>130.4</v>
      </c>
      <c r="I119">
        <v>109.6</v>
      </c>
      <c r="J119">
        <v>133.5</v>
      </c>
      <c r="K119">
        <v>151.4</v>
      </c>
      <c r="L119">
        <v>182.8</v>
      </c>
      <c r="M119">
        <v>111.1</v>
      </c>
      <c r="N119">
        <v>141.5</v>
      </c>
      <c r="O119">
        <v>121.5</v>
      </c>
      <c r="P119">
        <v>136.30000000000001</v>
      </c>
      <c r="Q119" s="2">
        <v>134.6</v>
      </c>
      <c r="R119" s="2">
        <v>142.19999999999999</v>
      </c>
      <c r="S119" s="2">
        <v>127.2</v>
      </c>
      <c r="T119" s="2">
        <v>120.7</v>
      </c>
      <c r="U119" s="3">
        <v>126.2</v>
      </c>
      <c r="V119" s="2" t="s">
        <v>81</v>
      </c>
      <c r="W119" s="2">
        <v>115</v>
      </c>
      <c r="X119" s="2">
        <v>123.2</v>
      </c>
      <c r="Y119" s="2">
        <v>120.3</v>
      </c>
      <c r="Z119" s="2">
        <v>110.7</v>
      </c>
      <c r="AA119" s="2">
        <v>119.8</v>
      </c>
      <c r="AB119" s="2">
        <v>128</v>
      </c>
      <c r="AC119" s="2">
        <v>118.5</v>
      </c>
      <c r="AD119" s="2">
        <v>118.7</v>
      </c>
      <c r="AE119" s="2">
        <v>126.6</v>
      </c>
    </row>
    <row r="120" spans="1:31" x14ac:dyDescent="0.2">
      <c r="A120" t="s">
        <v>30</v>
      </c>
      <c r="B120">
        <v>2016</v>
      </c>
      <c r="C120" t="s">
        <v>41</v>
      </c>
      <c r="D120" s="1">
        <f>DATE(All_India_Index_Upto_April23__1___1[[#This Row],[Year]],MATCH(All_India_Index_Upto_April23__1___1[[#This Row],[Month]],{"January","February","March","April","May","June","July","August","September","October","November","December"},0),1)</f>
        <v>42522</v>
      </c>
      <c r="E120" s="2">
        <v>128.6</v>
      </c>
      <c r="F120" s="2">
        <v>138.6</v>
      </c>
      <c r="G120">
        <v>126.6</v>
      </c>
      <c r="H120">
        <v>133.6</v>
      </c>
      <c r="I120">
        <v>118.6</v>
      </c>
      <c r="J120">
        <v>137.4</v>
      </c>
      <c r="K120">
        <v>152.5</v>
      </c>
      <c r="L120">
        <v>169.2</v>
      </c>
      <c r="M120">
        <v>108.8</v>
      </c>
      <c r="N120">
        <v>133.1</v>
      </c>
      <c r="O120">
        <v>126.4</v>
      </c>
      <c r="P120">
        <v>139.19999999999999</v>
      </c>
      <c r="Q120" s="2">
        <v>136</v>
      </c>
      <c r="R120" s="2">
        <v>137.19999999999999</v>
      </c>
      <c r="S120" s="2">
        <v>136.30000000000001</v>
      </c>
      <c r="T120" s="2">
        <v>131.6</v>
      </c>
      <c r="U120" s="3">
        <v>135.6</v>
      </c>
      <c r="V120" s="2"/>
      <c r="W120">
        <v>128</v>
      </c>
      <c r="X120" s="2">
        <v>129.30000000000001</v>
      </c>
      <c r="Y120" s="2">
        <v>126.2</v>
      </c>
      <c r="Z120" s="2">
        <v>116.3</v>
      </c>
      <c r="AA120" s="2">
        <v>124.1</v>
      </c>
      <c r="AB120" s="2">
        <v>130.19999999999999</v>
      </c>
      <c r="AC120" s="2">
        <v>119.9</v>
      </c>
      <c r="AD120" s="2">
        <v>123.3</v>
      </c>
      <c r="AE120" s="2">
        <v>131.9</v>
      </c>
    </row>
    <row r="121" spans="1:31" x14ac:dyDescent="0.2">
      <c r="A121" t="s">
        <v>32</v>
      </c>
      <c r="B121">
        <v>2016</v>
      </c>
      <c r="C121" t="s">
        <v>41</v>
      </c>
      <c r="D121" s="1">
        <f>DATE(All_India_Index_Upto_April23__1___1[[#This Row],[Year]],MATCH(All_India_Index_Upto_April23__1___1[[#This Row],[Month]],{"January","February","March","April","May","June","July","August","September","October","November","December"},0),1)</f>
        <v>42522</v>
      </c>
      <c r="E121" s="2">
        <v>125.9</v>
      </c>
      <c r="F121" s="2">
        <v>143.9</v>
      </c>
      <c r="G121">
        <v>130.9</v>
      </c>
      <c r="H121">
        <v>131</v>
      </c>
      <c r="I121">
        <v>110.2</v>
      </c>
      <c r="J121">
        <v>135.5</v>
      </c>
      <c r="K121">
        <v>173.7</v>
      </c>
      <c r="L121">
        <v>184.4</v>
      </c>
      <c r="M121">
        <v>112</v>
      </c>
      <c r="N121">
        <v>142.80000000000001</v>
      </c>
      <c r="O121">
        <v>121.6</v>
      </c>
      <c r="P121">
        <v>136.9</v>
      </c>
      <c r="Q121" s="2">
        <v>138.19999999999999</v>
      </c>
      <c r="R121" s="2">
        <v>142.69999999999999</v>
      </c>
      <c r="S121" s="2">
        <v>127.6</v>
      </c>
      <c r="T121" s="2">
        <v>121.1</v>
      </c>
      <c r="U121" s="3">
        <v>126.6</v>
      </c>
      <c r="V121" s="2" t="s">
        <v>82</v>
      </c>
      <c r="W121" s="2">
        <v>115.5</v>
      </c>
      <c r="X121" s="2">
        <v>123.2</v>
      </c>
      <c r="Y121" s="2">
        <v>120.6</v>
      </c>
      <c r="Z121" s="2">
        <v>112.3</v>
      </c>
      <c r="AA121" s="2">
        <v>119.9</v>
      </c>
      <c r="AB121" s="2">
        <v>129.30000000000001</v>
      </c>
      <c r="AC121" s="2">
        <v>118.8</v>
      </c>
      <c r="AD121" s="2">
        <v>119.6</v>
      </c>
      <c r="AE121" s="2">
        <v>128.1</v>
      </c>
    </row>
    <row r="122" spans="1:31" x14ac:dyDescent="0.2">
      <c r="A122" t="s">
        <v>30</v>
      </c>
      <c r="B122">
        <v>2016</v>
      </c>
      <c r="C122" t="s">
        <v>43</v>
      </c>
      <c r="D122" s="1">
        <f>DATE(All_India_Index_Upto_April23__1___1[[#This Row],[Year]],MATCH(All_India_Index_Upto_April23__1___1[[#This Row],[Month]],{"January","February","March","April","May","June","July","August","September","October","November","December"},0),1)</f>
        <v>42552</v>
      </c>
      <c r="E122" s="2">
        <v>129.30000000000001</v>
      </c>
      <c r="F122" s="2">
        <v>139.5</v>
      </c>
      <c r="G122">
        <v>129.6</v>
      </c>
      <c r="H122">
        <v>134.5</v>
      </c>
      <c r="I122">
        <v>119.5</v>
      </c>
      <c r="J122">
        <v>138.5</v>
      </c>
      <c r="K122">
        <v>158.19999999999999</v>
      </c>
      <c r="L122">
        <v>171.8</v>
      </c>
      <c r="M122">
        <v>110.3</v>
      </c>
      <c r="N122">
        <v>134.30000000000001</v>
      </c>
      <c r="O122">
        <v>127.3</v>
      </c>
      <c r="P122">
        <v>139.9</v>
      </c>
      <c r="Q122" s="2">
        <v>137.6</v>
      </c>
      <c r="R122" s="2">
        <v>138</v>
      </c>
      <c r="S122" s="2">
        <v>137.19999999999999</v>
      </c>
      <c r="T122" s="2">
        <v>132.19999999999999</v>
      </c>
      <c r="U122" s="3">
        <v>136.5</v>
      </c>
      <c r="V122" s="2"/>
      <c r="W122">
        <v>128.19999999999999</v>
      </c>
      <c r="X122" s="2">
        <v>130</v>
      </c>
      <c r="Y122" s="2">
        <v>126.7</v>
      </c>
      <c r="Z122" s="2">
        <v>116.4</v>
      </c>
      <c r="AA122" s="2">
        <v>125.2</v>
      </c>
      <c r="AB122" s="2">
        <v>130.80000000000001</v>
      </c>
      <c r="AC122" s="2">
        <v>120.9</v>
      </c>
      <c r="AD122" s="2">
        <v>123.8</v>
      </c>
      <c r="AE122" s="2">
        <v>133</v>
      </c>
    </row>
    <row r="123" spans="1:31" x14ac:dyDescent="0.2">
      <c r="A123" t="s">
        <v>32</v>
      </c>
      <c r="B123">
        <v>2016</v>
      </c>
      <c r="C123" t="s">
        <v>43</v>
      </c>
      <c r="D123" s="1">
        <f>DATE(All_India_Index_Upto_April23__1___1[[#This Row],[Year]],MATCH(All_India_Index_Upto_April23__1___1[[#This Row],[Month]],{"January","February","March","April","May","June","July","August","September","October","November","December"},0),1)</f>
        <v>42552</v>
      </c>
      <c r="E123" s="2">
        <v>126.8</v>
      </c>
      <c r="F123" s="2">
        <v>144.19999999999999</v>
      </c>
      <c r="G123">
        <v>136.6</v>
      </c>
      <c r="H123">
        <v>131.80000000000001</v>
      </c>
      <c r="I123">
        <v>111</v>
      </c>
      <c r="J123">
        <v>137</v>
      </c>
      <c r="K123">
        <v>179.5</v>
      </c>
      <c r="L123">
        <v>188.4</v>
      </c>
      <c r="M123">
        <v>113.3</v>
      </c>
      <c r="N123">
        <v>143.9</v>
      </c>
      <c r="O123">
        <v>121.7</v>
      </c>
      <c r="P123">
        <v>137.5</v>
      </c>
      <c r="Q123" s="2">
        <v>139.80000000000001</v>
      </c>
      <c r="R123" s="2">
        <v>142.9</v>
      </c>
      <c r="S123" s="2">
        <v>127.9</v>
      </c>
      <c r="T123" s="2">
        <v>121.1</v>
      </c>
      <c r="U123" s="3">
        <v>126.9</v>
      </c>
      <c r="V123" s="2" t="s">
        <v>83</v>
      </c>
      <c r="W123" s="2">
        <v>115.5</v>
      </c>
      <c r="X123" s="2">
        <v>123.5</v>
      </c>
      <c r="Y123" s="2">
        <v>120.9</v>
      </c>
      <c r="Z123" s="2">
        <v>111.7</v>
      </c>
      <c r="AA123" s="2">
        <v>120.3</v>
      </c>
      <c r="AB123" s="2">
        <v>130.80000000000001</v>
      </c>
      <c r="AC123" s="2">
        <v>120</v>
      </c>
      <c r="AD123" s="2">
        <v>119.9</v>
      </c>
      <c r="AE123" s="2">
        <v>129</v>
      </c>
    </row>
    <row r="124" spans="1:31" x14ac:dyDescent="0.2">
      <c r="A124" t="s">
        <v>30</v>
      </c>
      <c r="B124">
        <v>2016</v>
      </c>
      <c r="C124" t="s">
        <v>45</v>
      </c>
      <c r="D124" s="1">
        <f>DATE(All_India_Index_Upto_April23__1___1[[#This Row],[Year]],MATCH(All_India_Index_Upto_April23__1___1[[#This Row],[Month]],{"January","February","March","April","May","June","July","August","September","October","November","December"},0),1)</f>
        <v>42583</v>
      </c>
      <c r="E124" s="2">
        <v>130.1</v>
      </c>
      <c r="F124" s="2">
        <v>138.80000000000001</v>
      </c>
      <c r="G124">
        <v>130.30000000000001</v>
      </c>
      <c r="H124">
        <v>135.30000000000001</v>
      </c>
      <c r="I124">
        <v>119.9</v>
      </c>
      <c r="J124">
        <v>140.19999999999999</v>
      </c>
      <c r="K124">
        <v>156.9</v>
      </c>
      <c r="L124">
        <v>172.2</v>
      </c>
      <c r="M124">
        <v>112.1</v>
      </c>
      <c r="N124">
        <v>134.9</v>
      </c>
      <c r="O124">
        <v>128.1</v>
      </c>
      <c r="P124">
        <v>140.69999999999999</v>
      </c>
      <c r="Q124" s="2">
        <v>138</v>
      </c>
      <c r="R124" s="2">
        <v>138.9</v>
      </c>
      <c r="S124" s="2">
        <v>137.80000000000001</v>
      </c>
      <c r="T124" s="2">
        <v>133</v>
      </c>
      <c r="U124" s="3">
        <v>137.1</v>
      </c>
      <c r="V124" s="2"/>
      <c r="W124">
        <v>129.1</v>
      </c>
      <c r="X124" s="2">
        <v>130.6</v>
      </c>
      <c r="Y124" s="2">
        <v>127</v>
      </c>
      <c r="Z124" s="2">
        <v>116</v>
      </c>
      <c r="AA124" s="2">
        <v>125.5</v>
      </c>
      <c r="AB124" s="2">
        <v>131.9</v>
      </c>
      <c r="AC124" s="2">
        <v>122</v>
      </c>
      <c r="AD124" s="2">
        <v>124.2</v>
      </c>
      <c r="AE124" s="2">
        <v>133.5</v>
      </c>
    </row>
    <row r="125" spans="1:31" x14ac:dyDescent="0.2">
      <c r="A125" t="s">
        <v>32</v>
      </c>
      <c r="B125">
        <v>2016</v>
      </c>
      <c r="C125" t="s">
        <v>45</v>
      </c>
      <c r="D125" s="1">
        <f>DATE(All_India_Index_Upto_April23__1___1[[#This Row],[Year]],MATCH(All_India_Index_Upto_April23__1___1[[#This Row],[Month]],{"January","February","March","April","May","June","July","August","September","October","November","December"},0),1)</f>
        <v>42583</v>
      </c>
      <c r="E125" s="2">
        <v>127.6</v>
      </c>
      <c r="F125" s="2">
        <v>140.30000000000001</v>
      </c>
      <c r="G125">
        <v>133.69999999999999</v>
      </c>
      <c r="H125">
        <v>132.19999999999999</v>
      </c>
      <c r="I125">
        <v>111.8</v>
      </c>
      <c r="J125">
        <v>135.80000000000001</v>
      </c>
      <c r="K125">
        <v>163.5</v>
      </c>
      <c r="L125">
        <v>182.3</v>
      </c>
      <c r="M125">
        <v>114.6</v>
      </c>
      <c r="N125">
        <v>144.6</v>
      </c>
      <c r="O125">
        <v>121.9</v>
      </c>
      <c r="P125">
        <v>138.1</v>
      </c>
      <c r="Q125" s="2">
        <v>137.6</v>
      </c>
      <c r="R125" s="2">
        <v>143.6</v>
      </c>
      <c r="S125" s="2">
        <v>128.30000000000001</v>
      </c>
      <c r="T125" s="2">
        <v>121.4</v>
      </c>
      <c r="U125" s="3">
        <v>127.3</v>
      </c>
      <c r="V125" s="2" t="s">
        <v>84</v>
      </c>
      <c r="W125" s="2">
        <v>114.7</v>
      </c>
      <c r="X125" s="2">
        <v>123.9</v>
      </c>
      <c r="Y125" s="2">
        <v>121.2</v>
      </c>
      <c r="Z125" s="2">
        <v>110.4</v>
      </c>
      <c r="AA125" s="2">
        <v>120.6</v>
      </c>
      <c r="AB125" s="2">
        <v>131.5</v>
      </c>
      <c r="AC125" s="2">
        <v>120.9</v>
      </c>
      <c r="AD125" s="2">
        <v>119.9</v>
      </c>
      <c r="AE125" s="2">
        <v>128.4</v>
      </c>
    </row>
    <row r="126" spans="1:31" x14ac:dyDescent="0.2">
      <c r="A126" t="s">
        <v>30</v>
      </c>
      <c r="B126">
        <v>2016</v>
      </c>
      <c r="C126" t="s">
        <v>47</v>
      </c>
      <c r="D126" s="1">
        <f>DATE(All_India_Index_Upto_April23__1___1[[#This Row],[Year]],MATCH(All_India_Index_Upto_April23__1___1[[#This Row],[Month]],{"January","February","March","April","May","June","July","August","September","October","November","December"},0),1)</f>
        <v>42614</v>
      </c>
      <c r="E126" s="2">
        <v>130.80000000000001</v>
      </c>
      <c r="F126" s="2">
        <v>138.19999999999999</v>
      </c>
      <c r="G126">
        <v>130.5</v>
      </c>
      <c r="H126">
        <v>135.5</v>
      </c>
      <c r="I126">
        <v>120.2</v>
      </c>
      <c r="J126">
        <v>139.19999999999999</v>
      </c>
      <c r="K126">
        <v>149.5</v>
      </c>
      <c r="L126">
        <v>170.4</v>
      </c>
      <c r="M126">
        <v>113.1</v>
      </c>
      <c r="N126">
        <v>135.80000000000001</v>
      </c>
      <c r="O126">
        <v>128.80000000000001</v>
      </c>
      <c r="P126">
        <v>141.5</v>
      </c>
      <c r="Q126" s="2">
        <v>137.19999999999999</v>
      </c>
      <c r="R126" s="2">
        <v>139.9</v>
      </c>
      <c r="S126" s="2">
        <v>138.5</v>
      </c>
      <c r="T126" s="2">
        <v>133.5</v>
      </c>
      <c r="U126" s="3">
        <v>137.80000000000001</v>
      </c>
      <c r="V126" s="2"/>
      <c r="W126">
        <v>129.69999999999999</v>
      </c>
      <c r="X126" s="2">
        <v>131.1</v>
      </c>
      <c r="Y126" s="2">
        <v>127.8</v>
      </c>
      <c r="Z126" s="2">
        <v>117</v>
      </c>
      <c r="AA126" s="2">
        <v>125.7</v>
      </c>
      <c r="AB126" s="2">
        <v>132.19999999999999</v>
      </c>
      <c r="AC126" s="2">
        <v>122.8</v>
      </c>
      <c r="AD126" s="2">
        <v>124.9</v>
      </c>
      <c r="AE126" s="2">
        <v>133.4</v>
      </c>
    </row>
    <row r="127" spans="1:31" x14ac:dyDescent="0.2">
      <c r="A127" t="s">
        <v>32</v>
      </c>
      <c r="B127">
        <v>2016</v>
      </c>
      <c r="C127" t="s">
        <v>47</v>
      </c>
      <c r="D127" s="1">
        <f>DATE(All_India_Index_Upto_April23__1___1[[#This Row],[Year]],MATCH(All_India_Index_Upto_April23__1___1[[#This Row],[Month]],{"January","February","March","April","May","June","July","August","September","October","November","December"},0),1)</f>
        <v>42614</v>
      </c>
      <c r="E127" s="2">
        <v>128.1</v>
      </c>
      <c r="F127" s="2">
        <v>137.69999999999999</v>
      </c>
      <c r="G127">
        <v>130.6</v>
      </c>
      <c r="H127">
        <v>132.6</v>
      </c>
      <c r="I127">
        <v>111.9</v>
      </c>
      <c r="J127">
        <v>132.5</v>
      </c>
      <c r="K127">
        <v>152.9</v>
      </c>
      <c r="L127">
        <v>173.6</v>
      </c>
      <c r="M127">
        <v>115.1</v>
      </c>
      <c r="N127">
        <v>144.80000000000001</v>
      </c>
      <c r="O127">
        <v>122.1</v>
      </c>
      <c r="P127">
        <v>138.80000000000001</v>
      </c>
      <c r="Q127" s="2">
        <v>135.69999999999999</v>
      </c>
      <c r="R127" s="2">
        <v>143.9</v>
      </c>
      <c r="S127" s="2">
        <v>128.69999999999999</v>
      </c>
      <c r="T127" s="2">
        <v>121.6</v>
      </c>
      <c r="U127" s="3">
        <v>127.7</v>
      </c>
      <c r="V127" s="2" t="s">
        <v>85</v>
      </c>
      <c r="W127" s="2">
        <v>114.8</v>
      </c>
      <c r="X127" s="2">
        <v>124.3</v>
      </c>
      <c r="Y127" s="2">
        <v>121.4</v>
      </c>
      <c r="Z127" s="2">
        <v>111.8</v>
      </c>
      <c r="AA127" s="2">
        <v>120.8</v>
      </c>
      <c r="AB127" s="2">
        <v>131.6</v>
      </c>
      <c r="AC127" s="2">
        <v>121.2</v>
      </c>
      <c r="AD127" s="2">
        <v>120.5</v>
      </c>
      <c r="AE127" s="2">
        <v>128</v>
      </c>
    </row>
    <row r="128" spans="1:31" x14ac:dyDescent="0.2">
      <c r="A128" t="s">
        <v>30</v>
      </c>
      <c r="B128">
        <v>2016</v>
      </c>
      <c r="C128" t="s">
        <v>49</v>
      </c>
      <c r="D128" s="1">
        <f>DATE(All_India_Index_Upto_April23__1___1[[#This Row],[Year]],MATCH(All_India_Index_Upto_April23__1___1[[#This Row],[Month]],{"January","February","March","April","May","June","July","August","September","October","November","December"},0),1)</f>
        <v>42644</v>
      </c>
      <c r="E128" s="2">
        <v>131.30000000000001</v>
      </c>
      <c r="F128" s="2">
        <v>137.6</v>
      </c>
      <c r="G128">
        <v>130.1</v>
      </c>
      <c r="H128">
        <v>136</v>
      </c>
      <c r="I128">
        <v>120.8</v>
      </c>
      <c r="J128">
        <v>138.4</v>
      </c>
      <c r="K128">
        <v>149.19999999999999</v>
      </c>
      <c r="L128">
        <v>170.2</v>
      </c>
      <c r="M128">
        <v>113.4</v>
      </c>
      <c r="N128">
        <v>136.30000000000001</v>
      </c>
      <c r="O128">
        <v>128.69999999999999</v>
      </c>
      <c r="P128">
        <v>142.4</v>
      </c>
      <c r="Q128" s="2">
        <v>137.4</v>
      </c>
      <c r="R128" s="2">
        <v>140.9</v>
      </c>
      <c r="S128" s="2">
        <v>139.6</v>
      </c>
      <c r="T128" s="2">
        <v>134.30000000000001</v>
      </c>
      <c r="U128" s="3">
        <v>138.80000000000001</v>
      </c>
      <c r="V128" s="2"/>
      <c r="W128">
        <v>129.80000000000001</v>
      </c>
      <c r="X128" s="2">
        <v>131.80000000000001</v>
      </c>
      <c r="Y128" s="2">
        <v>128.69999999999999</v>
      </c>
      <c r="Z128" s="2">
        <v>117.8</v>
      </c>
      <c r="AA128" s="2">
        <v>126.5</v>
      </c>
      <c r="AB128" s="2">
        <v>133</v>
      </c>
      <c r="AC128" s="2">
        <v>123</v>
      </c>
      <c r="AD128" s="2">
        <v>125.7</v>
      </c>
      <c r="AE128" s="2">
        <v>133.80000000000001</v>
      </c>
    </row>
    <row r="129" spans="1:31" x14ac:dyDescent="0.2">
      <c r="A129" t="s">
        <v>32</v>
      </c>
      <c r="B129">
        <v>2016</v>
      </c>
      <c r="C129" t="s">
        <v>49</v>
      </c>
      <c r="D129" s="1">
        <f>DATE(All_India_Index_Upto_April23__1___1[[#This Row],[Year]],MATCH(All_India_Index_Upto_April23__1___1[[#This Row],[Month]],{"January","February","March","April","May","June","July","August","September","October","November","December"},0),1)</f>
        <v>42644</v>
      </c>
      <c r="E129" s="2">
        <v>128.69999999999999</v>
      </c>
      <c r="F129" s="2">
        <v>138.4</v>
      </c>
      <c r="G129">
        <v>130.30000000000001</v>
      </c>
      <c r="H129">
        <v>132.69999999999999</v>
      </c>
      <c r="I129">
        <v>112.5</v>
      </c>
      <c r="J129">
        <v>130.4</v>
      </c>
      <c r="K129">
        <v>155.1</v>
      </c>
      <c r="L129">
        <v>175.7</v>
      </c>
      <c r="M129">
        <v>115.4</v>
      </c>
      <c r="N129">
        <v>145.30000000000001</v>
      </c>
      <c r="O129">
        <v>122.5</v>
      </c>
      <c r="P129">
        <v>139.6</v>
      </c>
      <c r="Q129" s="2">
        <v>136.30000000000001</v>
      </c>
      <c r="R129" s="2">
        <v>144.30000000000001</v>
      </c>
      <c r="S129" s="2">
        <v>129.1</v>
      </c>
      <c r="T129" s="2">
        <v>121.9</v>
      </c>
      <c r="U129" s="3">
        <v>128</v>
      </c>
      <c r="V129" s="2" t="s">
        <v>86</v>
      </c>
      <c r="W129" s="2">
        <v>115.2</v>
      </c>
      <c r="X129" s="2">
        <v>124.5</v>
      </c>
      <c r="Y129" s="2">
        <v>121.8</v>
      </c>
      <c r="Z129" s="2">
        <v>112.8</v>
      </c>
      <c r="AA129" s="2">
        <v>121.2</v>
      </c>
      <c r="AB129" s="2">
        <v>131.9</v>
      </c>
      <c r="AC129" s="2">
        <v>120.8</v>
      </c>
      <c r="AD129" s="2">
        <v>120.9</v>
      </c>
      <c r="AE129" s="2">
        <v>128.6</v>
      </c>
    </row>
    <row r="130" spans="1:31" x14ac:dyDescent="0.2">
      <c r="A130" t="s">
        <v>30</v>
      </c>
      <c r="B130">
        <v>2016</v>
      </c>
      <c r="C130" t="s">
        <v>51</v>
      </c>
      <c r="D130" s="1">
        <f>DATE(All_India_Index_Upto_April23__1___1[[#This Row],[Year]],MATCH(All_India_Index_Upto_April23__1___1[[#This Row],[Month]],{"January","February","March","April","May","June","July","August","September","October","November","December"},0),1)</f>
        <v>42675</v>
      </c>
      <c r="E130" s="2">
        <v>132</v>
      </c>
      <c r="F130" s="2">
        <v>137.4</v>
      </c>
      <c r="G130">
        <v>130.6</v>
      </c>
      <c r="H130">
        <v>136.19999999999999</v>
      </c>
      <c r="I130">
        <v>121.1</v>
      </c>
      <c r="J130">
        <v>136.9</v>
      </c>
      <c r="K130">
        <v>141.80000000000001</v>
      </c>
      <c r="L130">
        <v>170</v>
      </c>
      <c r="M130">
        <v>113.4</v>
      </c>
      <c r="N130">
        <v>136.80000000000001</v>
      </c>
      <c r="O130">
        <v>128.69999999999999</v>
      </c>
      <c r="P130">
        <v>143.1</v>
      </c>
      <c r="Q130" s="2">
        <v>136.6</v>
      </c>
      <c r="R130" s="2">
        <v>141.19999999999999</v>
      </c>
      <c r="S130" s="2">
        <v>139.9</v>
      </c>
      <c r="T130" s="2">
        <v>134.5</v>
      </c>
      <c r="U130" s="3">
        <v>139.19999999999999</v>
      </c>
      <c r="V130" s="2"/>
      <c r="W130">
        <v>130.30000000000001</v>
      </c>
      <c r="X130" s="2">
        <v>132.1</v>
      </c>
      <c r="Y130" s="2">
        <v>129.1</v>
      </c>
      <c r="Z130" s="2">
        <v>118.2</v>
      </c>
      <c r="AA130" s="2">
        <v>126.9</v>
      </c>
      <c r="AB130" s="2">
        <v>133.69999999999999</v>
      </c>
      <c r="AC130" s="2">
        <v>123.5</v>
      </c>
      <c r="AD130" s="2">
        <v>126.1</v>
      </c>
      <c r="AE130" s="2">
        <v>133.6</v>
      </c>
    </row>
    <row r="131" spans="1:31" x14ac:dyDescent="0.2">
      <c r="A131" t="s">
        <v>32</v>
      </c>
      <c r="B131">
        <v>2016</v>
      </c>
      <c r="C131" t="s">
        <v>51</v>
      </c>
      <c r="D131" s="1">
        <f>DATE(All_India_Index_Upto_April23__1___1[[#This Row],[Year]],MATCH(All_India_Index_Upto_April23__1___1[[#This Row],[Month]],{"January","February","March","April","May","June","July","August","September","October","November","December"},0),1)</f>
        <v>42675</v>
      </c>
      <c r="E131" s="2">
        <v>130.19999999999999</v>
      </c>
      <c r="F131" s="2">
        <v>138.5</v>
      </c>
      <c r="G131">
        <v>134.1</v>
      </c>
      <c r="H131">
        <v>132.9</v>
      </c>
      <c r="I131">
        <v>112.6</v>
      </c>
      <c r="J131">
        <v>130.80000000000001</v>
      </c>
      <c r="K131">
        <v>142</v>
      </c>
      <c r="L131">
        <v>174.9</v>
      </c>
      <c r="M131">
        <v>115.6</v>
      </c>
      <c r="N131">
        <v>145.4</v>
      </c>
      <c r="O131">
        <v>122.7</v>
      </c>
      <c r="P131">
        <v>140.30000000000001</v>
      </c>
      <c r="Q131" s="2">
        <v>135.19999999999999</v>
      </c>
      <c r="R131" s="2">
        <v>144.30000000000001</v>
      </c>
      <c r="S131" s="2">
        <v>129.6</v>
      </c>
      <c r="T131" s="2">
        <v>122.1</v>
      </c>
      <c r="U131" s="3">
        <v>128.5</v>
      </c>
      <c r="V131" s="2" t="s">
        <v>87</v>
      </c>
      <c r="W131" s="2">
        <v>116.2</v>
      </c>
      <c r="X131" s="2">
        <v>124.7</v>
      </c>
      <c r="Y131" s="2">
        <v>122.1</v>
      </c>
      <c r="Z131" s="2">
        <v>113.4</v>
      </c>
      <c r="AA131" s="2">
        <v>121.7</v>
      </c>
      <c r="AB131" s="2">
        <v>132.1</v>
      </c>
      <c r="AC131" s="2">
        <v>121.3</v>
      </c>
      <c r="AD131" s="2">
        <v>121.3</v>
      </c>
      <c r="AE131" s="2">
        <v>128.5</v>
      </c>
    </row>
    <row r="132" spans="1:31" x14ac:dyDescent="0.2">
      <c r="A132" t="s">
        <v>30</v>
      </c>
      <c r="B132">
        <v>2016</v>
      </c>
      <c r="C132" t="s">
        <v>53</v>
      </c>
      <c r="D132" s="1">
        <f>DATE(All_India_Index_Upto_April23__1___1[[#This Row],[Year]],MATCH(All_India_Index_Upto_April23__1___1[[#This Row],[Month]],{"January","February","March","April","May","June","July","August","September","October","November","December"},0),1)</f>
        <v>42705</v>
      </c>
      <c r="E132" s="2">
        <v>132.6</v>
      </c>
      <c r="F132" s="2">
        <v>137.30000000000001</v>
      </c>
      <c r="G132">
        <v>131.6</v>
      </c>
      <c r="H132">
        <v>136.30000000000001</v>
      </c>
      <c r="I132">
        <v>121.6</v>
      </c>
      <c r="J132">
        <v>135.6</v>
      </c>
      <c r="K132">
        <v>127.5</v>
      </c>
      <c r="L132">
        <v>167.9</v>
      </c>
      <c r="M132">
        <v>113.8</v>
      </c>
      <c r="N132">
        <v>137.5</v>
      </c>
      <c r="O132">
        <v>129.1</v>
      </c>
      <c r="P132">
        <v>143.6</v>
      </c>
      <c r="Q132" s="2">
        <v>134.69999999999999</v>
      </c>
      <c r="R132" s="2">
        <v>142.4</v>
      </c>
      <c r="S132" s="2">
        <v>140.4</v>
      </c>
      <c r="T132" s="2">
        <v>135.19999999999999</v>
      </c>
      <c r="U132" s="3">
        <v>139.69999999999999</v>
      </c>
      <c r="V132" s="2"/>
      <c r="W132">
        <v>132</v>
      </c>
      <c r="X132" s="2">
        <v>132.9</v>
      </c>
      <c r="Y132" s="2">
        <v>129.69999999999999</v>
      </c>
      <c r="Z132" s="2">
        <v>118.6</v>
      </c>
      <c r="AA132" s="2">
        <v>127.3</v>
      </c>
      <c r="AB132" s="2">
        <v>134.19999999999999</v>
      </c>
      <c r="AC132" s="2">
        <v>121.9</v>
      </c>
      <c r="AD132" s="2">
        <v>126.3</v>
      </c>
      <c r="AE132" s="2">
        <v>132.80000000000001</v>
      </c>
    </row>
    <row r="133" spans="1:31" x14ac:dyDescent="0.2">
      <c r="A133" t="s">
        <v>32</v>
      </c>
      <c r="B133">
        <v>2016</v>
      </c>
      <c r="C133" t="s">
        <v>53</v>
      </c>
      <c r="D133" s="1">
        <f>DATE(All_India_Index_Upto_April23__1___1[[#This Row],[Year]],MATCH(All_India_Index_Upto_April23__1___1[[#This Row],[Month]],{"January","February","March","April","May","June","July","August","September","October","November","December"},0),1)</f>
        <v>42705</v>
      </c>
      <c r="E133" s="2">
        <v>131.6</v>
      </c>
      <c r="F133" s="2">
        <v>138.19999999999999</v>
      </c>
      <c r="G133">
        <v>134.9</v>
      </c>
      <c r="H133">
        <v>133.1</v>
      </c>
      <c r="I133">
        <v>113.5</v>
      </c>
      <c r="J133">
        <v>129.30000000000001</v>
      </c>
      <c r="K133">
        <v>121.1</v>
      </c>
      <c r="L133">
        <v>170.3</v>
      </c>
      <c r="M133">
        <v>115.5</v>
      </c>
      <c r="N133">
        <v>145.5</v>
      </c>
      <c r="O133">
        <v>123.1</v>
      </c>
      <c r="P133">
        <v>140.9</v>
      </c>
      <c r="Q133" s="2">
        <v>132.80000000000001</v>
      </c>
      <c r="R133" s="2">
        <v>145</v>
      </c>
      <c r="S133" s="2">
        <v>130</v>
      </c>
      <c r="T133" s="2">
        <v>122.2</v>
      </c>
      <c r="U133" s="3">
        <v>128.80000000000001</v>
      </c>
      <c r="V133" s="2" t="s">
        <v>88</v>
      </c>
      <c r="W133" s="2">
        <v>117.8</v>
      </c>
      <c r="X133" s="2">
        <v>125</v>
      </c>
      <c r="Y133" s="2">
        <v>122.3</v>
      </c>
      <c r="Z133" s="2">
        <v>113.7</v>
      </c>
      <c r="AA133" s="2">
        <v>121.8</v>
      </c>
      <c r="AB133" s="2">
        <v>132.30000000000001</v>
      </c>
      <c r="AC133" s="2">
        <v>119.9</v>
      </c>
      <c r="AD133" s="2">
        <v>121.4</v>
      </c>
      <c r="AE133" s="2">
        <v>127.6</v>
      </c>
    </row>
    <row r="134" spans="1:31" x14ac:dyDescent="0.2">
      <c r="A134" t="s">
        <v>34</v>
      </c>
      <c r="B134">
        <v>2016</v>
      </c>
      <c r="C134" t="s">
        <v>31</v>
      </c>
      <c r="D134" s="1">
        <f>DATE(All_India_Index_Upto_April23__1___1[[#This Row],[Year]],MATCH(All_India_Index_Upto_April23__1___1[[#This Row],[Month]],{"January","February","March","April","May","June","July","August","September","October","November","December"},0),1)</f>
        <v>42370</v>
      </c>
      <c r="E134" s="2">
        <v>126.1</v>
      </c>
      <c r="F134" s="2">
        <v>134.1</v>
      </c>
      <c r="G134">
        <v>128.6</v>
      </c>
      <c r="H134">
        <v>129.9</v>
      </c>
      <c r="I134">
        <v>115.5</v>
      </c>
      <c r="J134">
        <v>125.7</v>
      </c>
      <c r="K134">
        <v>141.5</v>
      </c>
      <c r="L134">
        <v>170.7</v>
      </c>
      <c r="M134">
        <v>97.4</v>
      </c>
      <c r="N134">
        <v>132.9</v>
      </c>
      <c r="O134">
        <v>122.7</v>
      </c>
      <c r="P134">
        <v>135.30000000000001</v>
      </c>
      <c r="Q134" s="2">
        <v>131.30000000000001</v>
      </c>
      <c r="R134" s="2">
        <v>135.19999999999999</v>
      </c>
      <c r="S134" s="2">
        <v>130.30000000000001</v>
      </c>
      <c r="T134" s="2">
        <v>125.1</v>
      </c>
      <c r="U134" s="3">
        <v>129.5</v>
      </c>
      <c r="V134" s="2" t="s">
        <v>77</v>
      </c>
      <c r="W134" s="2">
        <v>122.7</v>
      </c>
      <c r="X134" s="2">
        <v>124.2</v>
      </c>
      <c r="Y134" s="2">
        <v>122</v>
      </c>
      <c r="Z134" s="2">
        <v>111.1</v>
      </c>
      <c r="AA134" s="2">
        <v>119.8</v>
      </c>
      <c r="AB134" s="2">
        <v>126.3</v>
      </c>
      <c r="AC134" s="2">
        <v>114.5</v>
      </c>
      <c r="AD134" s="2">
        <v>118.5</v>
      </c>
      <c r="AE134" s="2">
        <v>126.3</v>
      </c>
    </row>
    <row r="135" spans="1:31" x14ac:dyDescent="0.2">
      <c r="A135" t="s">
        <v>34</v>
      </c>
      <c r="B135">
        <v>2016</v>
      </c>
      <c r="C135" t="s">
        <v>35</v>
      </c>
      <c r="D135" s="1">
        <f>DATE(All_India_Index_Upto_April23__1___1[[#This Row],[Year]],MATCH(All_India_Index_Upto_April23__1___1[[#This Row],[Month]],{"January","February","March","April","May","June","July","August","September","October","November","December"},0),1)</f>
        <v>42401</v>
      </c>
      <c r="E135" s="2">
        <v>126.4</v>
      </c>
      <c r="F135" s="2">
        <v>134.19999999999999</v>
      </c>
      <c r="G135">
        <v>128.69999999999999</v>
      </c>
      <c r="H135">
        <v>130.30000000000001</v>
      </c>
      <c r="I135">
        <v>114.8</v>
      </c>
      <c r="J135">
        <v>124.9</v>
      </c>
      <c r="K135">
        <v>130.30000000000001</v>
      </c>
      <c r="L135">
        <v>167.4</v>
      </c>
      <c r="M135">
        <v>98.8</v>
      </c>
      <c r="N135">
        <v>133.6</v>
      </c>
      <c r="O135">
        <v>123</v>
      </c>
      <c r="P135">
        <v>135.80000000000001</v>
      </c>
      <c r="Q135" s="2">
        <v>129.9</v>
      </c>
      <c r="R135" s="2">
        <v>135.9</v>
      </c>
      <c r="S135" s="2">
        <v>130.9</v>
      </c>
      <c r="T135" s="2">
        <v>125.8</v>
      </c>
      <c r="U135" s="3">
        <v>130.19999999999999</v>
      </c>
      <c r="V135" s="2" t="s">
        <v>78</v>
      </c>
      <c r="W135" s="2">
        <v>123.1</v>
      </c>
      <c r="X135" s="2">
        <v>124.6</v>
      </c>
      <c r="Y135" s="2">
        <v>122.5</v>
      </c>
      <c r="Z135" s="2">
        <v>111.4</v>
      </c>
      <c r="AA135" s="2">
        <v>120.3</v>
      </c>
      <c r="AB135" s="2">
        <v>126.6</v>
      </c>
      <c r="AC135" s="2">
        <v>116.6</v>
      </c>
      <c r="AD135" s="2">
        <v>119.1</v>
      </c>
      <c r="AE135" s="2">
        <v>126</v>
      </c>
    </row>
    <row r="136" spans="1:31" x14ac:dyDescent="0.2">
      <c r="A136" t="s">
        <v>34</v>
      </c>
      <c r="B136">
        <v>2016</v>
      </c>
      <c r="C136" t="s">
        <v>37</v>
      </c>
      <c r="D136" s="1">
        <f>DATE(All_India_Index_Upto_April23__1___1[[#This Row],[Year]],MATCH(All_India_Index_Upto_April23__1___1[[#This Row],[Month]],{"January","February","March","April","May","June","July","August","September","October","November","December"},0),1)</f>
        <v>42430</v>
      </c>
      <c r="E136" s="2">
        <v>126.5</v>
      </c>
      <c r="F136" s="2">
        <v>135.1</v>
      </c>
      <c r="G136">
        <v>124.6</v>
      </c>
      <c r="H136">
        <v>130.19999999999999</v>
      </c>
      <c r="I136">
        <v>114.5</v>
      </c>
      <c r="J136">
        <v>126.2</v>
      </c>
      <c r="K136">
        <v>129.80000000000001</v>
      </c>
      <c r="L136">
        <v>164.3</v>
      </c>
      <c r="M136">
        <v>100.9</v>
      </c>
      <c r="N136">
        <v>133.9</v>
      </c>
      <c r="O136">
        <v>123.1</v>
      </c>
      <c r="P136">
        <v>136.30000000000001</v>
      </c>
      <c r="Q136" s="2">
        <v>129.80000000000001</v>
      </c>
      <c r="R136" s="2">
        <v>136.5</v>
      </c>
      <c r="S136" s="2">
        <v>131.30000000000001</v>
      </c>
      <c r="T136" s="2">
        <v>126.1</v>
      </c>
      <c r="U136" s="3">
        <v>130.5</v>
      </c>
      <c r="V136" s="2" t="s">
        <v>79</v>
      </c>
      <c r="W136" s="2">
        <v>122.4</v>
      </c>
      <c r="X136" s="2">
        <v>125.1</v>
      </c>
      <c r="Y136" s="2">
        <v>122.9</v>
      </c>
      <c r="Z136" s="2">
        <v>110.9</v>
      </c>
      <c r="AA136" s="2">
        <v>120.6</v>
      </c>
      <c r="AB136" s="2">
        <v>126.9</v>
      </c>
      <c r="AC136" s="2">
        <v>117.3</v>
      </c>
      <c r="AD136" s="2">
        <v>119.3</v>
      </c>
      <c r="AE136" s="2">
        <v>126</v>
      </c>
    </row>
    <row r="137" spans="1:31" x14ac:dyDescent="0.2">
      <c r="A137" t="s">
        <v>34</v>
      </c>
      <c r="B137">
        <v>2016</v>
      </c>
      <c r="C137" t="s">
        <v>38</v>
      </c>
      <c r="D137" s="1">
        <f>DATE(All_India_Index_Upto_April23__1___1[[#This Row],[Year]],MATCH(All_India_Index_Upto_April23__1___1[[#This Row],[Month]],{"January","February","March","April","May","June","July","August","September","October","November","December"},0),1)</f>
        <v>42461</v>
      </c>
      <c r="E137" s="2">
        <v>126.6</v>
      </c>
      <c r="F137" s="2">
        <v>136.80000000000001</v>
      </c>
      <c r="G137">
        <v>122</v>
      </c>
      <c r="H137">
        <v>130.9</v>
      </c>
      <c r="I137">
        <v>114.8</v>
      </c>
      <c r="J137">
        <v>134.80000000000001</v>
      </c>
      <c r="K137">
        <v>135</v>
      </c>
      <c r="L137">
        <v>167.5</v>
      </c>
      <c r="M137">
        <v>106.4</v>
      </c>
      <c r="N137">
        <v>134.4</v>
      </c>
      <c r="O137">
        <v>123.6</v>
      </c>
      <c r="P137">
        <v>136.69999999999999</v>
      </c>
      <c r="Q137" s="2">
        <v>131.80000000000001</v>
      </c>
      <c r="R137" s="2">
        <v>137.1</v>
      </c>
      <c r="S137" s="2">
        <v>131.80000000000001</v>
      </c>
      <c r="T137" s="2">
        <v>126.4</v>
      </c>
      <c r="U137" s="3">
        <v>131</v>
      </c>
      <c r="V137" s="2" t="s">
        <v>80</v>
      </c>
      <c r="W137" s="2">
        <v>122.3</v>
      </c>
      <c r="X137" s="2">
        <v>125.5</v>
      </c>
      <c r="Y137" s="2">
        <v>123.2</v>
      </c>
      <c r="Z137" s="2">
        <v>112.1</v>
      </c>
      <c r="AA137" s="2">
        <v>121.1</v>
      </c>
      <c r="AB137" s="2">
        <v>127.7</v>
      </c>
      <c r="AC137" s="2">
        <v>118.1</v>
      </c>
      <c r="AD137" s="2">
        <v>120</v>
      </c>
      <c r="AE137" s="2">
        <v>127.3</v>
      </c>
    </row>
    <row r="138" spans="1:31" x14ac:dyDescent="0.2">
      <c r="A138" t="s">
        <v>34</v>
      </c>
      <c r="B138">
        <v>2016</v>
      </c>
      <c r="C138" t="s">
        <v>40</v>
      </c>
      <c r="D138" s="1">
        <f>DATE(All_India_Index_Upto_April23__1___1[[#This Row],[Year]],MATCH(All_India_Index_Upto_April23__1___1[[#This Row],[Month]],{"January","February","March","April","May","June","July","August","September","October","November","December"},0),1)</f>
        <v>42491</v>
      </c>
      <c r="E138" s="2">
        <v>126.8</v>
      </c>
      <c r="F138" s="2">
        <v>139.1</v>
      </c>
      <c r="G138">
        <v>125.4</v>
      </c>
      <c r="H138">
        <v>131.69999999999999</v>
      </c>
      <c r="I138">
        <v>115</v>
      </c>
      <c r="J138">
        <v>136</v>
      </c>
      <c r="K138">
        <v>145.1</v>
      </c>
      <c r="L138">
        <v>171.7</v>
      </c>
      <c r="M138">
        <v>108.7</v>
      </c>
      <c r="N138">
        <v>135.30000000000001</v>
      </c>
      <c r="O138">
        <v>124.2</v>
      </c>
      <c r="P138">
        <v>137.4</v>
      </c>
      <c r="Q138" s="2">
        <v>134</v>
      </c>
      <c r="R138" s="2">
        <v>137.69999999999999</v>
      </c>
      <c r="S138" s="2">
        <v>132.19999999999999</v>
      </c>
      <c r="T138" s="2">
        <v>126.8</v>
      </c>
      <c r="U138" s="3">
        <v>131.4</v>
      </c>
      <c r="V138" s="2" t="s">
        <v>81</v>
      </c>
      <c r="W138" s="2">
        <v>122.7</v>
      </c>
      <c r="X138" s="2">
        <v>126</v>
      </c>
      <c r="Y138" s="2">
        <v>123.7</v>
      </c>
      <c r="Z138" s="2">
        <v>112.8</v>
      </c>
      <c r="AA138" s="2">
        <v>121.5</v>
      </c>
      <c r="AB138" s="2">
        <v>128.5</v>
      </c>
      <c r="AC138" s="2">
        <v>119.2</v>
      </c>
      <c r="AD138" s="2">
        <v>120.7</v>
      </c>
      <c r="AE138" s="2">
        <v>128.6</v>
      </c>
    </row>
    <row r="139" spans="1:31" x14ac:dyDescent="0.2">
      <c r="A139" t="s">
        <v>34</v>
      </c>
      <c r="B139">
        <v>2016</v>
      </c>
      <c r="C139" t="s">
        <v>41</v>
      </c>
      <c r="D139" s="1">
        <f>DATE(All_India_Index_Upto_April23__1___1[[#This Row],[Year]],MATCH(All_India_Index_Upto_April23__1___1[[#This Row],[Month]],{"January","February","March","April","May","June","July","August","September","October","November","December"},0),1)</f>
        <v>42522</v>
      </c>
      <c r="E139" s="2">
        <v>127.7</v>
      </c>
      <c r="F139" s="2">
        <v>140.5</v>
      </c>
      <c r="G139">
        <v>128.30000000000001</v>
      </c>
      <c r="H139">
        <v>132.6</v>
      </c>
      <c r="I139">
        <v>115.5</v>
      </c>
      <c r="J139">
        <v>136.5</v>
      </c>
      <c r="K139">
        <v>159.69999999999999</v>
      </c>
      <c r="L139">
        <v>174.3</v>
      </c>
      <c r="M139">
        <v>109.9</v>
      </c>
      <c r="N139">
        <v>136.30000000000001</v>
      </c>
      <c r="O139">
        <v>124.4</v>
      </c>
      <c r="P139">
        <v>138.1</v>
      </c>
      <c r="Q139" s="2">
        <v>136.80000000000001</v>
      </c>
      <c r="R139" s="2">
        <v>138.69999999999999</v>
      </c>
      <c r="S139" s="2">
        <v>132.9</v>
      </c>
      <c r="T139" s="2">
        <v>127.2</v>
      </c>
      <c r="U139" s="3">
        <v>132</v>
      </c>
      <c r="V139" s="2" t="s">
        <v>82</v>
      </c>
      <c r="W139" s="2">
        <v>123.3</v>
      </c>
      <c r="X139" s="2">
        <v>126.4</v>
      </c>
      <c r="Y139" s="2">
        <v>124.1</v>
      </c>
      <c r="Z139" s="2">
        <v>114.2</v>
      </c>
      <c r="AA139" s="2">
        <v>121.7</v>
      </c>
      <c r="AB139" s="2">
        <v>129.69999999999999</v>
      </c>
      <c r="AC139" s="2">
        <v>119.4</v>
      </c>
      <c r="AD139" s="2">
        <v>121.5</v>
      </c>
      <c r="AE139" s="2">
        <v>130.1</v>
      </c>
    </row>
    <row r="140" spans="1:31" x14ac:dyDescent="0.2">
      <c r="A140" t="s">
        <v>34</v>
      </c>
      <c r="B140">
        <v>2016</v>
      </c>
      <c r="C140" t="s">
        <v>43</v>
      </c>
      <c r="D140" s="1">
        <f>DATE(All_India_Index_Upto_April23__1___1[[#This Row],[Year]],MATCH(All_India_Index_Upto_April23__1___1[[#This Row],[Month]],{"January","February","March","April","May","June","July","August","September","October","November","December"},0),1)</f>
        <v>42552</v>
      </c>
      <c r="E140" s="2">
        <v>128.5</v>
      </c>
      <c r="F140" s="2">
        <v>141.19999999999999</v>
      </c>
      <c r="G140">
        <v>132.30000000000001</v>
      </c>
      <c r="H140">
        <v>133.5</v>
      </c>
      <c r="I140">
        <v>116.4</v>
      </c>
      <c r="J140">
        <v>137.80000000000001</v>
      </c>
      <c r="K140">
        <v>165.4</v>
      </c>
      <c r="L140">
        <v>177.4</v>
      </c>
      <c r="M140">
        <v>111.3</v>
      </c>
      <c r="N140">
        <v>137.5</v>
      </c>
      <c r="O140">
        <v>125</v>
      </c>
      <c r="P140">
        <v>138.80000000000001</v>
      </c>
      <c r="Q140" s="2">
        <v>138.4</v>
      </c>
      <c r="R140" s="2">
        <v>139.30000000000001</v>
      </c>
      <c r="S140" s="2">
        <v>133.5</v>
      </c>
      <c r="T140" s="2">
        <v>127.6</v>
      </c>
      <c r="U140" s="3">
        <v>132.69999999999999</v>
      </c>
      <c r="V140" s="2" t="s">
        <v>83</v>
      </c>
      <c r="W140" s="2">
        <v>123.4</v>
      </c>
      <c r="X140" s="2">
        <v>126.9</v>
      </c>
      <c r="Y140" s="2">
        <v>124.5</v>
      </c>
      <c r="Z140" s="2">
        <v>113.9</v>
      </c>
      <c r="AA140" s="2">
        <v>122.4</v>
      </c>
      <c r="AB140" s="2">
        <v>130.80000000000001</v>
      </c>
      <c r="AC140" s="2">
        <v>120.5</v>
      </c>
      <c r="AD140" s="2">
        <v>121.9</v>
      </c>
      <c r="AE140" s="2">
        <v>131.1</v>
      </c>
    </row>
    <row r="141" spans="1:31" x14ac:dyDescent="0.2">
      <c r="A141" t="s">
        <v>34</v>
      </c>
      <c r="B141">
        <v>2016</v>
      </c>
      <c r="C141" t="s">
        <v>45</v>
      </c>
      <c r="D141" s="1">
        <f>DATE(All_India_Index_Upto_April23__1___1[[#This Row],[Year]],MATCH(All_India_Index_Upto_April23__1___1[[#This Row],[Month]],{"January","February","March","April","May","June","July","August","September","October","November","December"},0),1)</f>
        <v>42583</v>
      </c>
      <c r="E141" s="2">
        <v>129.30000000000001</v>
      </c>
      <c r="F141" s="2">
        <v>139.30000000000001</v>
      </c>
      <c r="G141">
        <v>131.6</v>
      </c>
      <c r="H141">
        <v>134.1</v>
      </c>
      <c r="I141">
        <v>116.9</v>
      </c>
      <c r="J141">
        <v>138.1</v>
      </c>
      <c r="K141">
        <v>159.1</v>
      </c>
      <c r="L141">
        <v>175.6</v>
      </c>
      <c r="M141">
        <v>112.9</v>
      </c>
      <c r="N141">
        <v>138.1</v>
      </c>
      <c r="O141">
        <v>125.5</v>
      </c>
      <c r="P141">
        <v>139.5</v>
      </c>
      <c r="Q141" s="2">
        <v>137.9</v>
      </c>
      <c r="R141" s="2">
        <v>140.19999999999999</v>
      </c>
      <c r="S141" s="2">
        <v>134.1</v>
      </c>
      <c r="T141" s="2">
        <v>128.19999999999999</v>
      </c>
      <c r="U141" s="3">
        <v>133.19999999999999</v>
      </c>
      <c r="V141" s="2" t="s">
        <v>84</v>
      </c>
      <c r="W141" s="2">
        <v>123.6</v>
      </c>
      <c r="X141" s="2">
        <v>127.4</v>
      </c>
      <c r="Y141" s="2">
        <v>124.8</v>
      </c>
      <c r="Z141" s="2">
        <v>113.1</v>
      </c>
      <c r="AA141" s="2">
        <v>122.7</v>
      </c>
      <c r="AB141" s="2">
        <v>131.69999999999999</v>
      </c>
      <c r="AC141" s="2">
        <v>121.5</v>
      </c>
      <c r="AD141" s="2">
        <v>122.1</v>
      </c>
      <c r="AE141" s="2">
        <v>131.1</v>
      </c>
    </row>
    <row r="142" spans="1:31" x14ac:dyDescent="0.2">
      <c r="A142" t="s">
        <v>34</v>
      </c>
      <c r="B142">
        <v>2016</v>
      </c>
      <c r="C142" t="s">
        <v>47</v>
      </c>
      <c r="D142" s="1">
        <f>DATE(All_India_Index_Upto_April23__1___1[[#This Row],[Year]],MATCH(All_India_Index_Upto_April23__1___1[[#This Row],[Month]],{"January","February","March","April","May","June","July","August","September","October","November","December"},0),1)</f>
        <v>42614</v>
      </c>
      <c r="E142" s="2">
        <v>129.9</v>
      </c>
      <c r="F142" s="2">
        <v>138</v>
      </c>
      <c r="G142">
        <v>130.5</v>
      </c>
      <c r="H142">
        <v>134.4</v>
      </c>
      <c r="I142">
        <v>117.2</v>
      </c>
      <c r="J142">
        <v>136.1</v>
      </c>
      <c r="K142">
        <v>150.69999999999999</v>
      </c>
      <c r="L142">
        <v>171.5</v>
      </c>
      <c r="M142">
        <v>113.8</v>
      </c>
      <c r="N142">
        <v>138.80000000000001</v>
      </c>
      <c r="O142">
        <v>126</v>
      </c>
      <c r="P142">
        <v>140.19999999999999</v>
      </c>
      <c r="Q142" s="2">
        <v>136.6</v>
      </c>
      <c r="R142" s="2">
        <v>141</v>
      </c>
      <c r="S142" s="2">
        <v>134.6</v>
      </c>
      <c r="T142" s="2">
        <v>128.6</v>
      </c>
      <c r="U142" s="3">
        <v>133.80000000000001</v>
      </c>
      <c r="V142" s="2" t="s">
        <v>85</v>
      </c>
      <c r="W142" s="2">
        <v>124.1</v>
      </c>
      <c r="X142" s="2">
        <v>127.9</v>
      </c>
      <c r="Y142" s="2">
        <v>125.4</v>
      </c>
      <c r="Z142" s="2">
        <v>114.3</v>
      </c>
      <c r="AA142" s="2">
        <v>122.9</v>
      </c>
      <c r="AB142" s="2">
        <v>131.80000000000001</v>
      </c>
      <c r="AC142" s="2">
        <v>122.1</v>
      </c>
      <c r="AD142" s="2">
        <v>122.8</v>
      </c>
      <c r="AE142" s="2">
        <v>130.9</v>
      </c>
    </row>
    <row r="143" spans="1:31" x14ac:dyDescent="0.2">
      <c r="A143" t="s">
        <v>34</v>
      </c>
      <c r="B143">
        <v>2016</v>
      </c>
      <c r="C143" t="s">
        <v>49</v>
      </c>
      <c r="D143" s="1">
        <f>DATE(All_India_Index_Upto_April23__1___1[[#This Row],[Year]],MATCH(All_India_Index_Upto_April23__1___1[[#This Row],[Month]],{"January","February","March","April","May","June","July","August","September","October","November","December"},0),1)</f>
        <v>42644</v>
      </c>
      <c r="E143" s="2">
        <v>130.5</v>
      </c>
      <c r="F143" s="2">
        <v>137.9</v>
      </c>
      <c r="G143">
        <v>130.19999999999999</v>
      </c>
      <c r="H143">
        <v>134.80000000000001</v>
      </c>
      <c r="I143">
        <v>117.8</v>
      </c>
      <c r="J143">
        <v>134.69999999999999</v>
      </c>
      <c r="K143">
        <v>151.19999999999999</v>
      </c>
      <c r="L143">
        <v>172.1</v>
      </c>
      <c r="M143">
        <v>114.1</v>
      </c>
      <c r="N143">
        <v>139.30000000000001</v>
      </c>
      <c r="O143">
        <v>126.1</v>
      </c>
      <c r="P143">
        <v>141.1</v>
      </c>
      <c r="Q143" s="2">
        <v>137</v>
      </c>
      <c r="R143" s="2">
        <v>141.80000000000001</v>
      </c>
      <c r="S143" s="2">
        <v>135.5</v>
      </c>
      <c r="T143" s="2">
        <v>129.1</v>
      </c>
      <c r="U143" s="3">
        <v>134.5</v>
      </c>
      <c r="V143" s="2" t="s">
        <v>86</v>
      </c>
      <c r="W143" s="2">
        <v>124.3</v>
      </c>
      <c r="X143" s="2">
        <v>128.4</v>
      </c>
      <c r="Y143" s="2">
        <v>126.1</v>
      </c>
      <c r="Z143" s="2">
        <v>115.2</v>
      </c>
      <c r="AA143" s="2">
        <v>123.5</v>
      </c>
      <c r="AB143" s="2">
        <v>132.4</v>
      </c>
      <c r="AC143" s="2">
        <v>122.1</v>
      </c>
      <c r="AD143" s="2">
        <v>123.4</v>
      </c>
      <c r="AE143" s="2">
        <v>131.4</v>
      </c>
    </row>
    <row r="144" spans="1:31" x14ac:dyDescent="0.2">
      <c r="A144" t="s">
        <v>34</v>
      </c>
      <c r="B144">
        <v>2016</v>
      </c>
      <c r="C144" t="s">
        <v>51</v>
      </c>
      <c r="D144" s="1">
        <f>DATE(All_India_Index_Upto_April23__1___1[[#This Row],[Year]],MATCH(All_India_Index_Upto_April23__1___1[[#This Row],[Month]],{"January","February","March","April","May","June","July","August","September","October","November","December"},0),1)</f>
        <v>42675</v>
      </c>
      <c r="E144" s="2">
        <v>131.4</v>
      </c>
      <c r="F144" s="2">
        <v>137.80000000000001</v>
      </c>
      <c r="G144">
        <v>132</v>
      </c>
      <c r="H144">
        <v>135</v>
      </c>
      <c r="I144">
        <v>118</v>
      </c>
      <c r="J144">
        <v>134.1</v>
      </c>
      <c r="K144">
        <v>141.9</v>
      </c>
      <c r="L144">
        <v>171.7</v>
      </c>
      <c r="M144">
        <v>114.1</v>
      </c>
      <c r="N144">
        <v>139.69999999999999</v>
      </c>
      <c r="O144">
        <v>126.2</v>
      </c>
      <c r="P144">
        <v>141.80000000000001</v>
      </c>
      <c r="Q144" s="2">
        <v>136.1</v>
      </c>
      <c r="R144" s="2">
        <v>142</v>
      </c>
      <c r="S144" s="2">
        <v>135.80000000000001</v>
      </c>
      <c r="T144" s="2">
        <v>129.30000000000001</v>
      </c>
      <c r="U144" s="3">
        <v>135</v>
      </c>
      <c r="V144" s="2" t="s">
        <v>87</v>
      </c>
      <c r="W144" s="2">
        <v>125</v>
      </c>
      <c r="X144" s="2">
        <v>128.6</v>
      </c>
      <c r="Y144" s="2">
        <v>126.4</v>
      </c>
      <c r="Z144" s="2">
        <v>115.7</v>
      </c>
      <c r="AA144" s="2">
        <v>124</v>
      </c>
      <c r="AB144" s="2">
        <v>132.80000000000001</v>
      </c>
      <c r="AC144" s="2">
        <v>122.6</v>
      </c>
      <c r="AD144" s="2">
        <v>123.8</v>
      </c>
      <c r="AE144" s="2">
        <v>131.19999999999999</v>
      </c>
    </row>
    <row r="145" spans="1:31" x14ac:dyDescent="0.2">
      <c r="A145" t="s">
        <v>34</v>
      </c>
      <c r="B145">
        <v>2016</v>
      </c>
      <c r="C145" t="s">
        <v>53</v>
      </c>
      <c r="D145" s="1">
        <f>DATE(All_India_Index_Upto_April23__1___1[[#This Row],[Year]],MATCH(All_India_Index_Upto_April23__1___1[[#This Row],[Month]],{"January","February","March","April","May","June","July","August","September","October","November","December"},0),1)</f>
        <v>42705</v>
      </c>
      <c r="E145" s="2">
        <v>132.30000000000001</v>
      </c>
      <c r="F145" s="2">
        <v>137.6</v>
      </c>
      <c r="G145">
        <v>132.9</v>
      </c>
      <c r="H145">
        <v>135.1</v>
      </c>
      <c r="I145">
        <v>118.6</v>
      </c>
      <c r="J145">
        <v>132.69999999999999</v>
      </c>
      <c r="K145">
        <v>125.3</v>
      </c>
      <c r="L145">
        <v>168.7</v>
      </c>
      <c r="M145">
        <v>114.4</v>
      </c>
      <c r="N145">
        <v>140.19999999999999</v>
      </c>
      <c r="O145">
        <v>126.6</v>
      </c>
      <c r="P145">
        <v>142.30000000000001</v>
      </c>
      <c r="Q145" s="2">
        <v>134</v>
      </c>
      <c r="R145" s="2">
        <v>143.1</v>
      </c>
      <c r="S145" s="2">
        <v>136.30000000000001</v>
      </c>
      <c r="T145" s="2">
        <v>129.80000000000001</v>
      </c>
      <c r="U145" s="3">
        <v>135.4</v>
      </c>
      <c r="V145" s="2" t="s">
        <v>88</v>
      </c>
      <c r="W145" s="2">
        <v>126.6</v>
      </c>
      <c r="X145" s="2">
        <v>129.19999999999999</v>
      </c>
      <c r="Y145" s="2">
        <v>126.9</v>
      </c>
      <c r="Z145" s="2">
        <v>116</v>
      </c>
      <c r="AA145" s="2">
        <v>124.2</v>
      </c>
      <c r="AB145" s="2">
        <v>133.1</v>
      </c>
      <c r="AC145" s="2">
        <v>121.1</v>
      </c>
      <c r="AD145" s="2">
        <v>123.9</v>
      </c>
      <c r="AE145" s="2">
        <v>130.4</v>
      </c>
    </row>
    <row r="146" spans="1:31" x14ac:dyDescent="0.2">
      <c r="A146" t="s">
        <v>30</v>
      </c>
      <c r="B146">
        <v>2017</v>
      </c>
      <c r="C146" t="s">
        <v>31</v>
      </c>
      <c r="D146" s="1">
        <f>DATE(All_India_Index_Upto_April23__1___1[[#This Row],[Year]],MATCH(All_India_Index_Upto_April23__1___1[[#This Row],[Month]],{"January","February","March","April","May","June","July","August","September","October","November","December"},0),1)</f>
        <v>42736</v>
      </c>
      <c r="E146" s="2">
        <v>133.1</v>
      </c>
      <c r="F146" s="2">
        <v>137.80000000000001</v>
      </c>
      <c r="G146">
        <v>131.9</v>
      </c>
      <c r="H146">
        <v>136.69999999999999</v>
      </c>
      <c r="I146">
        <v>122</v>
      </c>
      <c r="J146">
        <v>136</v>
      </c>
      <c r="K146">
        <v>119.8</v>
      </c>
      <c r="L146">
        <v>161.69999999999999</v>
      </c>
      <c r="M146">
        <v>114.8</v>
      </c>
      <c r="N146">
        <v>136.9</v>
      </c>
      <c r="O146">
        <v>129</v>
      </c>
      <c r="P146">
        <v>143.9</v>
      </c>
      <c r="Q146" s="2">
        <v>133.69999999999999</v>
      </c>
      <c r="R146" s="2">
        <v>143.1</v>
      </c>
      <c r="S146" s="2">
        <v>140.69999999999999</v>
      </c>
      <c r="T146" s="2">
        <v>135.80000000000001</v>
      </c>
      <c r="U146" s="3">
        <v>140</v>
      </c>
      <c r="V146" s="2"/>
      <c r="W146">
        <v>132.1</v>
      </c>
      <c r="X146" s="2">
        <v>133.19999999999999</v>
      </c>
      <c r="Y146" s="2">
        <v>129.9</v>
      </c>
      <c r="Z146" s="2">
        <v>119.1</v>
      </c>
      <c r="AA146" s="2">
        <v>127</v>
      </c>
      <c r="AB146" s="2">
        <v>134.6</v>
      </c>
      <c r="AC146" s="2">
        <v>122.3</v>
      </c>
      <c r="AD146" s="2">
        <v>126.6</v>
      </c>
      <c r="AE146" s="2">
        <v>132.4</v>
      </c>
    </row>
    <row r="147" spans="1:31" x14ac:dyDescent="0.2">
      <c r="A147" t="s">
        <v>32</v>
      </c>
      <c r="B147">
        <v>2017</v>
      </c>
      <c r="C147" t="s">
        <v>31</v>
      </c>
      <c r="D147" s="1">
        <f>DATE(All_India_Index_Upto_April23__1___1[[#This Row],[Year]],MATCH(All_India_Index_Upto_April23__1___1[[#This Row],[Month]],{"January","February","March","April","May","June","July","August","September","October","November","December"},0),1)</f>
        <v>42736</v>
      </c>
      <c r="E147" s="2">
        <v>132.19999999999999</v>
      </c>
      <c r="F147" s="2">
        <v>138.9</v>
      </c>
      <c r="G147">
        <v>132.6</v>
      </c>
      <c r="H147">
        <v>133.1</v>
      </c>
      <c r="I147">
        <v>114</v>
      </c>
      <c r="J147">
        <v>129.6</v>
      </c>
      <c r="K147">
        <v>118.7</v>
      </c>
      <c r="L147">
        <v>155.1</v>
      </c>
      <c r="M147">
        <v>117.3</v>
      </c>
      <c r="N147">
        <v>144.9</v>
      </c>
      <c r="O147">
        <v>123.2</v>
      </c>
      <c r="P147">
        <v>141.6</v>
      </c>
      <c r="Q147" s="2">
        <v>132</v>
      </c>
      <c r="R147" s="2">
        <v>145.6</v>
      </c>
      <c r="S147" s="2">
        <v>130.19999999999999</v>
      </c>
      <c r="T147" s="2">
        <v>122.3</v>
      </c>
      <c r="U147" s="3">
        <v>129</v>
      </c>
      <c r="V147" s="2" t="s">
        <v>89</v>
      </c>
      <c r="W147" s="2">
        <v>118</v>
      </c>
      <c r="X147" s="2">
        <v>125.1</v>
      </c>
      <c r="Y147" s="2">
        <v>122.6</v>
      </c>
      <c r="Z147" s="2">
        <v>115.2</v>
      </c>
      <c r="AA147" s="2">
        <v>122</v>
      </c>
      <c r="AB147" s="2">
        <v>132.4</v>
      </c>
      <c r="AC147" s="2">
        <v>120.9</v>
      </c>
      <c r="AD147" s="2">
        <v>122.1</v>
      </c>
      <c r="AE147" s="2">
        <v>127.8</v>
      </c>
    </row>
    <row r="148" spans="1:31" x14ac:dyDescent="0.2">
      <c r="A148" t="s">
        <v>30</v>
      </c>
      <c r="B148">
        <v>2017</v>
      </c>
      <c r="C148" t="s">
        <v>35</v>
      </c>
      <c r="D148" s="1">
        <f>DATE(All_India_Index_Upto_April23__1___1[[#This Row],[Year]],MATCH(All_India_Index_Upto_April23__1___1[[#This Row],[Month]],{"January","February","March","April","May","June","July","August","September","October","November","December"},0),1)</f>
        <v>42767</v>
      </c>
      <c r="E148" s="2">
        <v>133.30000000000001</v>
      </c>
      <c r="F148" s="2">
        <v>138.30000000000001</v>
      </c>
      <c r="G148">
        <v>129.30000000000001</v>
      </c>
      <c r="H148">
        <v>137.19999999999999</v>
      </c>
      <c r="I148">
        <v>122.1</v>
      </c>
      <c r="J148">
        <v>138.69999999999999</v>
      </c>
      <c r="K148">
        <v>119.1</v>
      </c>
      <c r="L148">
        <v>156.9</v>
      </c>
      <c r="M148">
        <v>116.2</v>
      </c>
      <c r="N148">
        <v>136</v>
      </c>
      <c r="O148">
        <v>129.4</v>
      </c>
      <c r="P148">
        <v>144.4</v>
      </c>
      <c r="Q148" s="2">
        <v>133.6</v>
      </c>
      <c r="R148" s="2">
        <v>143.69999999999999</v>
      </c>
      <c r="S148" s="2">
        <v>140.9</v>
      </c>
      <c r="T148" s="2">
        <v>135.80000000000001</v>
      </c>
      <c r="U148" s="3">
        <v>140.19999999999999</v>
      </c>
      <c r="V148" s="2"/>
      <c r="W148">
        <v>133.19999999999999</v>
      </c>
      <c r="X148" s="2">
        <v>133.6</v>
      </c>
      <c r="Y148" s="2">
        <v>130.1</v>
      </c>
      <c r="Z148" s="2">
        <v>119.5</v>
      </c>
      <c r="AA148" s="2">
        <v>127.7</v>
      </c>
      <c r="AB148" s="2">
        <v>134.9</v>
      </c>
      <c r="AC148" s="2">
        <v>123.2</v>
      </c>
      <c r="AD148" s="2">
        <v>127</v>
      </c>
      <c r="AE148" s="2">
        <v>132.6</v>
      </c>
    </row>
    <row r="149" spans="1:31" x14ac:dyDescent="0.2">
      <c r="A149" t="s">
        <v>32</v>
      </c>
      <c r="B149">
        <v>2017</v>
      </c>
      <c r="C149" t="s">
        <v>35</v>
      </c>
      <c r="D149" s="1">
        <f>DATE(All_India_Index_Upto_April23__1___1[[#This Row],[Year]],MATCH(All_India_Index_Upto_April23__1___1[[#This Row],[Month]],{"January","February","March","April","May","June","July","August","September","October","November","December"},0),1)</f>
        <v>42767</v>
      </c>
      <c r="E149" s="2">
        <v>132.80000000000001</v>
      </c>
      <c r="F149" s="2">
        <v>139.80000000000001</v>
      </c>
      <c r="G149">
        <v>129.30000000000001</v>
      </c>
      <c r="H149">
        <v>133.5</v>
      </c>
      <c r="I149">
        <v>114.3</v>
      </c>
      <c r="J149">
        <v>131.4</v>
      </c>
      <c r="K149">
        <v>120.2</v>
      </c>
      <c r="L149">
        <v>143.1</v>
      </c>
      <c r="M149">
        <v>119.5</v>
      </c>
      <c r="N149">
        <v>144</v>
      </c>
      <c r="O149">
        <v>123.4</v>
      </c>
      <c r="P149">
        <v>141.9</v>
      </c>
      <c r="Q149" s="2">
        <v>132.1</v>
      </c>
      <c r="R149" s="2">
        <v>146.30000000000001</v>
      </c>
      <c r="S149" s="2">
        <v>130.5</v>
      </c>
      <c r="T149" s="2">
        <v>122.5</v>
      </c>
      <c r="U149" s="3">
        <v>129.30000000000001</v>
      </c>
      <c r="V149" s="2" t="s">
        <v>90</v>
      </c>
      <c r="W149" s="2">
        <v>119.2</v>
      </c>
      <c r="X149" s="2">
        <v>125.3</v>
      </c>
      <c r="Y149" s="2">
        <v>122.9</v>
      </c>
      <c r="Z149" s="2">
        <v>115.5</v>
      </c>
      <c r="AA149" s="2">
        <v>122.2</v>
      </c>
      <c r="AB149" s="2">
        <v>132.4</v>
      </c>
      <c r="AC149" s="2">
        <v>121.7</v>
      </c>
      <c r="AD149" s="2">
        <v>122.4</v>
      </c>
      <c r="AE149" s="2">
        <v>128.19999999999999</v>
      </c>
    </row>
    <row r="150" spans="1:31" x14ac:dyDescent="0.2">
      <c r="A150" t="s">
        <v>30</v>
      </c>
      <c r="B150">
        <v>2017</v>
      </c>
      <c r="C150" t="s">
        <v>37</v>
      </c>
      <c r="D150" s="1">
        <f>DATE(All_India_Index_Upto_April23__1___1[[#This Row],[Year]],MATCH(All_India_Index_Upto_April23__1___1[[#This Row],[Month]],{"January","February","March","April","May","June","July","August","September","October","November","December"},0),1)</f>
        <v>42795</v>
      </c>
      <c r="E150" s="2">
        <v>133.6</v>
      </c>
      <c r="F150" s="2">
        <v>138.80000000000001</v>
      </c>
      <c r="G150">
        <v>128.80000000000001</v>
      </c>
      <c r="H150">
        <v>137.19999999999999</v>
      </c>
      <c r="I150">
        <v>121.6</v>
      </c>
      <c r="J150">
        <v>139.69999999999999</v>
      </c>
      <c r="K150">
        <v>119.7</v>
      </c>
      <c r="L150">
        <v>148</v>
      </c>
      <c r="M150">
        <v>116.9</v>
      </c>
      <c r="N150">
        <v>135.6</v>
      </c>
      <c r="O150">
        <v>129.80000000000001</v>
      </c>
      <c r="P150">
        <v>145.4</v>
      </c>
      <c r="Q150" s="2">
        <v>133.4</v>
      </c>
      <c r="R150" s="2">
        <v>144.19999999999999</v>
      </c>
      <c r="S150" s="2">
        <v>141.6</v>
      </c>
      <c r="T150" s="2">
        <v>136.19999999999999</v>
      </c>
      <c r="U150" s="3">
        <v>140.80000000000001</v>
      </c>
      <c r="V150" s="2"/>
      <c r="W150">
        <v>134.19999999999999</v>
      </c>
      <c r="X150" s="2">
        <v>134.1</v>
      </c>
      <c r="Y150" s="2">
        <v>130.6</v>
      </c>
      <c r="Z150" s="2">
        <v>119.8</v>
      </c>
      <c r="AA150" s="2">
        <v>128.30000000000001</v>
      </c>
      <c r="AB150" s="2">
        <v>135.19999999999999</v>
      </c>
      <c r="AC150" s="2">
        <v>123.3</v>
      </c>
      <c r="AD150" s="2">
        <v>127.4</v>
      </c>
      <c r="AE150" s="2">
        <v>132.80000000000001</v>
      </c>
    </row>
    <row r="151" spans="1:31" x14ac:dyDescent="0.2">
      <c r="A151" t="s">
        <v>32</v>
      </c>
      <c r="B151">
        <v>2017</v>
      </c>
      <c r="C151" t="s">
        <v>37</v>
      </c>
      <c r="D151" s="1">
        <f>DATE(All_India_Index_Upto_April23__1___1[[#This Row],[Year]],MATCH(All_India_Index_Upto_April23__1___1[[#This Row],[Month]],{"January","February","March","April","May","June","July","August","September","October","November","December"},0),1)</f>
        <v>42795</v>
      </c>
      <c r="E151" s="2">
        <v>132.69999999999999</v>
      </c>
      <c r="F151" s="2">
        <v>139.4</v>
      </c>
      <c r="G151">
        <v>128.4</v>
      </c>
      <c r="H151">
        <v>134.9</v>
      </c>
      <c r="I151">
        <v>114</v>
      </c>
      <c r="J151">
        <v>136.80000000000001</v>
      </c>
      <c r="K151">
        <v>122.2</v>
      </c>
      <c r="L151">
        <v>135.80000000000001</v>
      </c>
      <c r="M151">
        <v>120.3</v>
      </c>
      <c r="N151">
        <v>142.6</v>
      </c>
      <c r="O151">
        <v>123.6</v>
      </c>
      <c r="P151">
        <v>142.4</v>
      </c>
      <c r="Q151" s="2">
        <v>132.6</v>
      </c>
      <c r="R151" s="2">
        <v>147.5</v>
      </c>
      <c r="S151" s="2">
        <v>130.80000000000001</v>
      </c>
      <c r="T151" s="2">
        <v>122.8</v>
      </c>
      <c r="U151" s="3">
        <v>129.6</v>
      </c>
      <c r="V151" s="2" t="s">
        <v>91</v>
      </c>
      <c r="W151" s="2">
        <v>120.8</v>
      </c>
      <c r="X151" s="2">
        <v>125.6</v>
      </c>
      <c r="Y151" s="2">
        <v>123.1</v>
      </c>
      <c r="Z151" s="2">
        <v>115.6</v>
      </c>
      <c r="AA151" s="2">
        <v>122.4</v>
      </c>
      <c r="AB151" s="2">
        <v>132.80000000000001</v>
      </c>
      <c r="AC151" s="2">
        <v>121.7</v>
      </c>
      <c r="AD151" s="2">
        <v>122.6</v>
      </c>
      <c r="AE151" s="2">
        <v>128.69999999999999</v>
      </c>
    </row>
    <row r="152" spans="1:31" x14ac:dyDescent="0.2">
      <c r="A152" t="s">
        <v>30</v>
      </c>
      <c r="B152">
        <v>2017</v>
      </c>
      <c r="C152" t="s">
        <v>38</v>
      </c>
      <c r="D152" s="1">
        <f>DATE(All_India_Index_Upto_April23__1___1[[#This Row],[Year]],MATCH(All_India_Index_Upto_April23__1___1[[#This Row],[Month]],{"January","February","March","April","May","June","July","August","September","October","November","December"},0),1)</f>
        <v>42826</v>
      </c>
      <c r="E152" s="2">
        <v>133.19999999999999</v>
      </c>
      <c r="F152" s="2">
        <v>138.69999999999999</v>
      </c>
      <c r="G152">
        <v>127.1</v>
      </c>
      <c r="H152">
        <v>137.69999999999999</v>
      </c>
      <c r="I152">
        <v>121.3</v>
      </c>
      <c r="J152">
        <v>141.80000000000001</v>
      </c>
      <c r="K152">
        <v>121.5</v>
      </c>
      <c r="L152">
        <v>144.5</v>
      </c>
      <c r="M152">
        <v>117.4</v>
      </c>
      <c r="N152">
        <v>134.1</v>
      </c>
      <c r="O152">
        <v>130</v>
      </c>
      <c r="P152">
        <v>145.5</v>
      </c>
      <c r="Q152" s="2">
        <v>133.5</v>
      </c>
      <c r="R152" s="2">
        <v>144.4</v>
      </c>
      <c r="S152" s="2">
        <v>142.4</v>
      </c>
      <c r="T152" s="2">
        <v>136.80000000000001</v>
      </c>
      <c r="U152" s="3">
        <v>141.6</v>
      </c>
      <c r="V152" s="2"/>
      <c r="W152">
        <v>135</v>
      </c>
      <c r="X152" s="2">
        <v>134.30000000000001</v>
      </c>
      <c r="Y152" s="2">
        <v>131</v>
      </c>
      <c r="Z152" s="2">
        <v>119.2</v>
      </c>
      <c r="AA152" s="2">
        <v>128.30000000000001</v>
      </c>
      <c r="AB152" s="2">
        <v>135.69999999999999</v>
      </c>
      <c r="AC152" s="2">
        <v>123.7</v>
      </c>
      <c r="AD152" s="2">
        <v>127.5</v>
      </c>
      <c r="AE152" s="2">
        <v>132.9</v>
      </c>
    </row>
    <row r="153" spans="1:31" x14ac:dyDescent="0.2">
      <c r="A153" t="s">
        <v>32</v>
      </c>
      <c r="B153">
        <v>2017</v>
      </c>
      <c r="C153" t="s">
        <v>38</v>
      </c>
      <c r="D153" s="1">
        <f>DATE(All_India_Index_Upto_April23__1___1[[#This Row],[Year]],MATCH(All_India_Index_Upto_April23__1___1[[#This Row],[Month]],{"January","February","March","April","May","June","July","August","September","October","November","December"},0),1)</f>
        <v>42826</v>
      </c>
      <c r="E153" s="2">
        <v>132.69999999999999</v>
      </c>
      <c r="F153" s="2">
        <v>140.6</v>
      </c>
      <c r="G153">
        <v>124.5</v>
      </c>
      <c r="H153">
        <v>136.30000000000001</v>
      </c>
      <c r="I153">
        <v>113.5</v>
      </c>
      <c r="J153">
        <v>137.69999999999999</v>
      </c>
      <c r="K153">
        <v>127.1</v>
      </c>
      <c r="L153">
        <v>133.80000000000001</v>
      </c>
      <c r="M153">
        <v>120.8</v>
      </c>
      <c r="N153">
        <v>141.30000000000001</v>
      </c>
      <c r="O153">
        <v>123.8</v>
      </c>
      <c r="P153">
        <v>142.6</v>
      </c>
      <c r="Q153" s="2">
        <v>133.4</v>
      </c>
      <c r="R153" s="2">
        <v>148</v>
      </c>
      <c r="S153" s="2">
        <v>131.19999999999999</v>
      </c>
      <c r="T153" s="2">
        <v>123</v>
      </c>
      <c r="U153" s="3">
        <v>130</v>
      </c>
      <c r="V153" s="2" t="s">
        <v>92</v>
      </c>
      <c r="W153" s="2">
        <v>121.4</v>
      </c>
      <c r="X153" s="2">
        <v>126</v>
      </c>
      <c r="Y153" s="2">
        <v>123.4</v>
      </c>
      <c r="Z153" s="2">
        <v>114.3</v>
      </c>
      <c r="AA153" s="2">
        <v>122.6</v>
      </c>
      <c r="AB153" s="2">
        <v>133.6</v>
      </c>
      <c r="AC153" s="2">
        <v>122.2</v>
      </c>
      <c r="AD153" s="2">
        <v>122.5</v>
      </c>
      <c r="AE153" s="2">
        <v>129.1</v>
      </c>
    </row>
    <row r="154" spans="1:31" x14ac:dyDescent="0.2">
      <c r="A154" t="s">
        <v>30</v>
      </c>
      <c r="B154">
        <v>2017</v>
      </c>
      <c r="C154" t="s">
        <v>40</v>
      </c>
      <c r="D154" s="1">
        <f>DATE(All_India_Index_Upto_April23__1___1[[#This Row],[Year]],MATCH(All_India_Index_Upto_April23__1___1[[#This Row],[Month]],{"January","February","March","April","May","June","July","August","September","October","November","December"},0),1)</f>
        <v>42856</v>
      </c>
      <c r="E154" s="2">
        <v>133.1</v>
      </c>
      <c r="F154" s="2">
        <v>140.30000000000001</v>
      </c>
      <c r="G154">
        <v>126.8</v>
      </c>
      <c r="H154">
        <v>138.19999999999999</v>
      </c>
      <c r="I154">
        <v>120.8</v>
      </c>
      <c r="J154">
        <v>140.19999999999999</v>
      </c>
      <c r="K154">
        <v>123.8</v>
      </c>
      <c r="L154">
        <v>141.80000000000001</v>
      </c>
      <c r="M154">
        <v>118.6</v>
      </c>
      <c r="N154">
        <v>134</v>
      </c>
      <c r="O154">
        <v>130.30000000000001</v>
      </c>
      <c r="P154">
        <v>145.80000000000001</v>
      </c>
      <c r="Q154" s="2">
        <v>133.80000000000001</v>
      </c>
      <c r="R154" s="2">
        <v>145.5</v>
      </c>
      <c r="S154" s="2">
        <v>142.5</v>
      </c>
      <c r="T154" s="2">
        <v>137.30000000000001</v>
      </c>
      <c r="U154" s="3">
        <v>141.80000000000001</v>
      </c>
      <c r="V154" s="2"/>
      <c r="W154">
        <v>135</v>
      </c>
      <c r="X154" s="2">
        <v>134.9</v>
      </c>
      <c r="Y154" s="2">
        <v>131.4</v>
      </c>
      <c r="Z154" s="2">
        <v>119.4</v>
      </c>
      <c r="AA154" s="2">
        <v>129.4</v>
      </c>
      <c r="AB154" s="2">
        <v>136.30000000000001</v>
      </c>
      <c r="AC154" s="2">
        <v>123.7</v>
      </c>
      <c r="AD154" s="2">
        <v>127.9</v>
      </c>
      <c r="AE154" s="2">
        <v>133.30000000000001</v>
      </c>
    </row>
    <row r="155" spans="1:31" x14ac:dyDescent="0.2">
      <c r="A155" t="s">
        <v>32</v>
      </c>
      <c r="B155">
        <v>2017</v>
      </c>
      <c r="C155" t="s">
        <v>40</v>
      </c>
      <c r="D155" s="1">
        <f>DATE(All_India_Index_Upto_April23__1___1[[#This Row],[Year]],MATCH(All_India_Index_Upto_April23__1___1[[#This Row],[Month]],{"January","February","March","April","May","June","July","August","September","October","November","December"},0),1)</f>
        <v>42856</v>
      </c>
      <c r="E155" s="2">
        <v>132.6</v>
      </c>
      <c r="F155" s="2">
        <v>144.1</v>
      </c>
      <c r="G155">
        <v>125.6</v>
      </c>
      <c r="H155">
        <v>136.80000000000001</v>
      </c>
      <c r="I155">
        <v>113.4</v>
      </c>
      <c r="J155">
        <v>135.19999999999999</v>
      </c>
      <c r="K155">
        <v>129.19999999999999</v>
      </c>
      <c r="L155">
        <v>131.5</v>
      </c>
      <c r="M155">
        <v>121</v>
      </c>
      <c r="N155">
        <v>139.9</v>
      </c>
      <c r="O155">
        <v>123.8</v>
      </c>
      <c r="P155">
        <v>142.9</v>
      </c>
      <c r="Q155" s="2">
        <v>133.6</v>
      </c>
      <c r="R155" s="2">
        <v>148.30000000000001</v>
      </c>
      <c r="S155" s="2">
        <v>131.5</v>
      </c>
      <c r="T155" s="2">
        <v>123.2</v>
      </c>
      <c r="U155" s="3">
        <v>130.19999999999999</v>
      </c>
      <c r="V155" s="2" t="s">
        <v>93</v>
      </c>
      <c r="W155" s="2">
        <v>120.1</v>
      </c>
      <c r="X155" s="2">
        <v>126.5</v>
      </c>
      <c r="Y155" s="2">
        <v>123.6</v>
      </c>
      <c r="Z155" s="2">
        <v>114.3</v>
      </c>
      <c r="AA155" s="2">
        <v>122.8</v>
      </c>
      <c r="AB155" s="2">
        <v>133.80000000000001</v>
      </c>
      <c r="AC155" s="2">
        <v>122</v>
      </c>
      <c r="AD155" s="2">
        <v>122.6</v>
      </c>
      <c r="AE155" s="2">
        <v>129.30000000000001</v>
      </c>
    </row>
    <row r="156" spans="1:31" x14ac:dyDescent="0.2">
      <c r="A156" t="s">
        <v>30</v>
      </c>
      <c r="B156">
        <v>2017</v>
      </c>
      <c r="C156" t="s">
        <v>41</v>
      </c>
      <c r="D156" s="1">
        <f>DATE(All_India_Index_Upto_April23__1___1[[#This Row],[Year]],MATCH(All_India_Index_Upto_April23__1___1[[#This Row],[Month]],{"January","February","March","April","May","June","July","August","September","October","November","December"},0),1)</f>
        <v>42887</v>
      </c>
      <c r="E156" s="2">
        <v>133.5</v>
      </c>
      <c r="F156" s="2">
        <v>143.69999999999999</v>
      </c>
      <c r="G156">
        <v>128</v>
      </c>
      <c r="H156">
        <v>138.6</v>
      </c>
      <c r="I156">
        <v>120.9</v>
      </c>
      <c r="J156">
        <v>140.9</v>
      </c>
      <c r="K156">
        <v>128.80000000000001</v>
      </c>
      <c r="L156">
        <v>140.19999999999999</v>
      </c>
      <c r="M156">
        <v>118.9</v>
      </c>
      <c r="N156">
        <v>133.5</v>
      </c>
      <c r="O156">
        <v>130.4</v>
      </c>
      <c r="P156">
        <v>146.5</v>
      </c>
      <c r="Q156" s="2">
        <v>134.9</v>
      </c>
      <c r="R156" s="2">
        <v>145.80000000000001</v>
      </c>
      <c r="S156" s="2">
        <v>143.1</v>
      </c>
      <c r="T156" s="2">
        <v>137.69999999999999</v>
      </c>
      <c r="U156" s="3">
        <v>142.30000000000001</v>
      </c>
      <c r="V156" s="2"/>
      <c r="W156">
        <v>134.80000000000001</v>
      </c>
      <c r="X156" s="2">
        <v>135.19999999999999</v>
      </c>
      <c r="Y156" s="2">
        <v>131.30000000000001</v>
      </c>
      <c r="Z156" s="2">
        <v>119.4</v>
      </c>
      <c r="AA156" s="2">
        <v>129.80000000000001</v>
      </c>
      <c r="AB156" s="2">
        <v>136.9</v>
      </c>
      <c r="AC156" s="2">
        <v>124.1</v>
      </c>
      <c r="AD156" s="2">
        <v>128.1</v>
      </c>
      <c r="AE156" s="2">
        <v>133.9</v>
      </c>
    </row>
    <row r="157" spans="1:31" x14ac:dyDescent="0.2">
      <c r="A157" t="s">
        <v>32</v>
      </c>
      <c r="B157">
        <v>2017</v>
      </c>
      <c r="C157" t="s">
        <v>41</v>
      </c>
      <c r="D157" s="1">
        <f>DATE(All_India_Index_Upto_April23__1___1[[#This Row],[Year]],MATCH(All_India_Index_Upto_April23__1___1[[#This Row],[Month]],{"January","February","March","April","May","June","July","August","September","October","November","December"},0),1)</f>
        <v>42887</v>
      </c>
      <c r="E157" s="2">
        <v>132.9</v>
      </c>
      <c r="F157" s="2">
        <v>148.69999999999999</v>
      </c>
      <c r="G157">
        <v>128.30000000000001</v>
      </c>
      <c r="H157">
        <v>137.30000000000001</v>
      </c>
      <c r="I157">
        <v>113.5</v>
      </c>
      <c r="J157">
        <v>137.19999999999999</v>
      </c>
      <c r="K157">
        <v>142.19999999999999</v>
      </c>
      <c r="L157">
        <v>128.19999999999999</v>
      </c>
      <c r="M157">
        <v>120.9</v>
      </c>
      <c r="N157">
        <v>138.80000000000001</v>
      </c>
      <c r="O157">
        <v>124.2</v>
      </c>
      <c r="P157">
        <v>143.1</v>
      </c>
      <c r="Q157" s="2">
        <v>135.69999999999999</v>
      </c>
      <c r="R157" s="2">
        <v>148.6</v>
      </c>
      <c r="S157" s="2">
        <v>131.5</v>
      </c>
      <c r="T157" s="2">
        <v>123.2</v>
      </c>
      <c r="U157" s="3">
        <v>130.19999999999999</v>
      </c>
      <c r="V157" s="2" t="s">
        <v>94</v>
      </c>
      <c r="W157" s="2">
        <v>119</v>
      </c>
      <c r="X157" s="2">
        <v>126.8</v>
      </c>
      <c r="Y157" s="2">
        <v>123.8</v>
      </c>
      <c r="Z157" s="2">
        <v>113.9</v>
      </c>
      <c r="AA157" s="2">
        <v>122.9</v>
      </c>
      <c r="AB157" s="2">
        <v>134.30000000000001</v>
      </c>
      <c r="AC157" s="2">
        <v>122.5</v>
      </c>
      <c r="AD157" s="2">
        <v>122.7</v>
      </c>
      <c r="AE157" s="2">
        <v>129.9</v>
      </c>
    </row>
    <row r="158" spans="1:31" x14ac:dyDescent="0.2">
      <c r="A158" t="s">
        <v>30</v>
      </c>
      <c r="B158">
        <v>2017</v>
      </c>
      <c r="C158" t="s">
        <v>43</v>
      </c>
      <c r="D158" s="1">
        <f>DATE(All_India_Index_Upto_April23__1___1[[#This Row],[Year]],MATCH(All_India_Index_Upto_April23__1___1[[#This Row],[Month]],{"January","February","March","April","May","June","July","August","September","October","November","December"},0),1)</f>
        <v>42917</v>
      </c>
      <c r="E158" s="2">
        <v>134</v>
      </c>
      <c r="F158" s="2">
        <v>144.19999999999999</v>
      </c>
      <c r="G158">
        <v>129.80000000000001</v>
      </c>
      <c r="H158">
        <v>139</v>
      </c>
      <c r="I158">
        <v>120.9</v>
      </c>
      <c r="J158">
        <v>143.9</v>
      </c>
      <c r="K158">
        <v>151.5</v>
      </c>
      <c r="L158">
        <v>138.1</v>
      </c>
      <c r="M158">
        <v>120</v>
      </c>
      <c r="N158">
        <v>133.9</v>
      </c>
      <c r="O158">
        <v>131.4</v>
      </c>
      <c r="P158">
        <v>147.69999999999999</v>
      </c>
      <c r="Q158" s="2">
        <v>138.5</v>
      </c>
      <c r="R158" s="2">
        <v>147.4</v>
      </c>
      <c r="S158" s="2">
        <v>144.30000000000001</v>
      </c>
      <c r="T158" s="2">
        <v>138.1</v>
      </c>
      <c r="U158" s="3">
        <v>143.5</v>
      </c>
      <c r="V158" s="2"/>
      <c r="W158">
        <v>135.30000000000001</v>
      </c>
      <c r="X158" s="2">
        <v>136.1</v>
      </c>
      <c r="Y158" s="2">
        <v>132.1</v>
      </c>
      <c r="Z158" s="2">
        <v>119.1</v>
      </c>
      <c r="AA158" s="2">
        <v>130.6</v>
      </c>
      <c r="AB158" s="2">
        <v>138.6</v>
      </c>
      <c r="AC158" s="2">
        <v>124.4</v>
      </c>
      <c r="AD158" s="2">
        <v>128.6</v>
      </c>
      <c r="AE158" s="2">
        <v>136.19999999999999</v>
      </c>
    </row>
    <row r="159" spans="1:31" x14ac:dyDescent="0.2">
      <c r="A159" t="s">
        <v>32</v>
      </c>
      <c r="B159">
        <v>2017</v>
      </c>
      <c r="C159" t="s">
        <v>43</v>
      </c>
      <c r="D159" s="1">
        <f>DATE(All_India_Index_Upto_April23__1___1[[#This Row],[Year]],MATCH(All_India_Index_Upto_April23__1___1[[#This Row],[Month]],{"January","February","March","April","May","June","July","August","September","October","November","December"},0),1)</f>
        <v>42917</v>
      </c>
      <c r="E159" s="2">
        <v>132.80000000000001</v>
      </c>
      <c r="F159" s="2">
        <v>148.4</v>
      </c>
      <c r="G159">
        <v>129.4</v>
      </c>
      <c r="H159">
        <v>137.69999999999999</v>
      </c>
      <c r="I159">
        <v>113.4</v>
      </c>
      <c r="J159">
        <v>139.4</v>
      </c>
      <c r="K159">
        <v>175.1</v>
      </c>
      <c r="L159">
        <v>124.7</v>
      </c>
      <c r="M159">
        <v>121.5</v>
      </c>
      <c r="N159">
        <v>137.80000000000001</v>
      </c>
      <c r="O159">
        <v>124.4</v>
      </c>
      <c r="P159">
        <v>143.69999999999999</v>
      </c>
      <c r="Q159" s="2">
        <v>139.80000000000001</v>
      </c>
      <c r="R159" s="2">
        <v>150.5</v>
      </c>
      <c r="S159" s="2">
        <v>131.6</v>
      </c>
      <c r="T159" s="2">
        <v>123.7</v>
      </c>
      <c r="U159" s="3">
        <v>130.4</v>
      </c>
      <c r="V159" s="2" t="s">
        <v>95</v>
      </c>
      <c r="W159" s="2">
        <v>119.7</v>
      </c>
      <c r="X159" s="2">
        <v>127.2</v>
      </c>
      <c r="Y159" s="2">
        <v>125</v>
      </c>
      <c r="Z159" s="2">
        <v>113.2</v>
      </c>
      <c r="AA159" s="2">
        <v>123.5</v>
      </c>
      <c r="AB159" s="2">
        <v>135.5</v>
      </c>
      <c r="AC159" s="2">
        <v>122.4</v>
      </c>
      <c r="AD159" s="2">
        <v>123</v>
      </c>
      <c r="AE159" s="2">
        <v>131.80000000000001</v>
      </c>
    </row>
    <row r="160" spans="1:31" x14ac:dyDescent="0.2">
      <c r="A160" t="s">
        <v>30</v>
      </c>
      <c r="B160">
        <v>2017</v>
      </c>
      <c r="C160" t="s">
        <v>45</v>
      </c>
      <c r="D160" s="1">
        <f>DATE(All_India_Index_Upto_April23__1___1[[#This Row],[Year]],MATCH(All_India_Index_Upto_April23__1___1[[#This Row],[Month]],{"January","February","March","April","May","June","July","August","September","October","November","December"},0),1)</f>
        <v>42948</v>
      </c>
      <c r="E160" s="2">
        <v>134.80000000000001</v>
      </c>
      <c r="F160" s="2">
        <v>143.1</v>
      </c>
      <c r="G160">
        <v>130</v>
      </c>
      <c r="H160">
        <v>139.4</v>
      </c>
      <c r="I160">
        <v>120.5</v>
      </c>
      <c r="J160">
        <v>148</v>
      </c>
      <c r="K160">
        <v>162.9</v>
      </c>
      <c r="L160">
        <v>137.4</v>
      </c>
      <c r="M160">
        <v>120.8</v>
      </c>
      <c r="N160">
        <v>134.69999999999999</v>
      </c>
      <c r="O160">
        <v>131.6</v>
      </c>
      <c r="P160">
        <v>148.69999999999999</v>
      </c>
      <c r="Q160" s="2">
        <v>140.6</v>
      </c>
      <c r="R160" s="2">
        <v>149</v>
      </c>
      <c r="S160" s="2">
        <v>145.30000000000001</v>
      </c>
      <c r="T160" s="2">
        <v>139.19999999999999</v>
      </c>
      <c r="U160" s="3">
        <v>144.5</v>
      </c>
      <c r="V160" s="2"/>
      <c r="W160">
        <v>136.4</v>
      </c>
      <c r="X160" s="2">
        <v>137.30000000000001</v>
      </c>
      <c r="Y160" s="2">
        <v>133</v>
      </c>
      <c r="Z160" s="2">
        <v>120.3</v>
      </c>
      <c r="AA160" s="2">
        <v>131.5</v>
      </c>
      <c r="AB160" s="2">
        <v>140.19999999999999</v>
      </c>
      <c r="AC160" s="2">
        <v>125.4</v>
      </c>
      <c r="AD160" s="2">
        <v>129.69999999999999</v>
      </c>
      <c r="AE160" s="2">
        <v>137.80000000000001</v>
      </c>
    </row>
    <row r="161" spans="1:31" x14ac:dyDescent="0.2">
      <c r="A161" t="s">
        <v>32</v>
      </c>
      <c r="B161">
        <v>2017</v>
      </c>
      <c r="C161" t="s">
        <v>45</v>
      </c>
      <c r="D161" s="1">
        <f>DATE(All_India_Index_Upto_April23__1___1[[#This Row],[Year]],MATCH(All_India_Index_Upto_April23__1___1[[#This Row],[Month]],{"January","February","March","April","May","June","July","August","September","October","November","December"},0),1)</f>
        <v>42948</v>
      </c>
      <c r="E161" s="2">
        <v>133.19999999999999</v>
      </c>
      <c r="F161" s="2">
        <v>143.9</v>
      </c>
      <c r="G161">
        <v>128.30000000000001</v>
      </c>
      <c r="H161">
        <v>138.30000000000001</v>
      </c>
      <c r="I161">
        <v>114.1</v>
      </c>
      <c r="J161">
        <v>142.69999999999999</v>
      </c>
      <c r="K161">
        <v>179.8</v>
      </c>
      <c r="L161">
        <v>123.5</v>
      </c>
      <c r="M161">
        <v>122.1</v>
      </c>
      <c r="N161">
        <v>137.5</v>
      </c>
      <c r="O161">
        <v>124.6</v>
      </c>
      <c r="P161">
        <v>144.5</v>
      </c>
      <c r="Q161" s="2">
        <v>140.5</v>
      </c>
      <c r="R161" s="2">
        <v>152.1</v>
      </c>
      <c r="S161" s="2">
        <v>132.69999999999999</v>
      </c>
      <c r="T161" s="2">
        <v>124.3</v>
      </c>
      <c r="U161" s="3">
        <v>131.4</v>
      </c>
      <c r="V161" s="2" t="s">
        <v>96</v>
      </c>
      <c r="W161" s="2">
        <v>118.9</v>
      </c>
      <c r="X161" s="2">
        <v>127.7</v>
      </c>
      <c r="Y161" s="2">
        <v>125.7</v>
      </c>
      <c r="Z161" s="2">
        <v>114.6</v>
      </c>
      <c r="AA161" s="2">
        <v>124.1</v>
      </c>
      <c r="AB161" s="2">
        <v>135.69999999999999</v>
      </c>
      <c r="AC161" s="2">
        <v>123.3</v>
      </c>
      <c r="AD161" s="2">
        <v>123.8</v>
      </c>
      <c r="AE161" s="2">
        <v>132.69999999999999</v>
      </c>
    </row>
    <row r="162" spans="1:31" x14ac:dyDescent="0.2">
      <c r="A162" t="s">
        <v>30</v>
      </c>
      <c r="B162">
        <v>2017</v>
      </c>
      <c r="C162" t="s">
        <v>47</v>
      </c>
      <c r="D162" s="1">
        <f>DATE(All_India_Index_Upto_April23__1___1[[#This Row],[Year]],MATCH(All_India_Index_Upto_April23__1___1[[#This Row],[Month]],{"January","February","March","April","May","June","July","August","September","October","November","December"},0),1)</f>
        <v>42979</v>
      </c>
      <c r="E162" s="2">
        <v>135.19999999999999</v>
      </c>
      <c r="F162" s="2">
        <v>142</v>
      </c>
      <c r="G162">
        <v>130.5</v>
      </c>
      <c r="H162">
        <v>140.19999999999999</v>
      </c>
      <c r="I162">
        <v>120.7</v>
      </c>
      <c r="J162">
        <v>147.80000000000001</v>
      </c>
      <c r="K162">
        <v>154.5</v>
      </c>
      <c r="L162">
        <v>137.1</v>
      </c>
      <c r="M162">
        <v>121</v>
      </c>
      <c r="N162">
        <v>134.69999999999999</v>
      </c>
      <c r="O162">
        <v>131.69999999999999</v>
      </c>
      <c r="P162">
        <v>149.30000000000001</v>
      </c>
      <c r="Q162" s="2">
        <v>139.6</v>
      </c>
      <c r="R162" s="2">
        <v>149.80000000000001</v>
      </c>
      <c r="S162" s="2">
        <v>146.1</v>
      </c>
      <c r="T162" s="2">
        <v>139.69999999999999</v>
      </c>
      <c r="U162" s="3">
        <v>145.19999999999999</v>
      </c>
      <c r="V162" s="2"/>
      <c r="W162">
        <v>137.4</v>
      </c>
      <c r="X162" s="2">
        <v>137.9</v>
      </c>
      <c r="Y162" s="2">
        <v>133.4</v>
      </c>
      <c r="Z162" s="2">
        <v>121.2</v>
      </c>
      <c r="AA162" s="2">
        <v>132.30000000000001</v>
      </c>
      <c r="AB162" s="2">
        <v>139.6</v>
      </c>
      <c r="AC162" s="2">
        <v>126.7</v>
      </c>
      <c r="AD162" s="2">
        <v>130.30000000000001</v>
      </c>
      <c r="AE162" s="2">
        <v>137.6</v>
      </c>
    </row>
    <row r="163" spans="1:31" x14ac:dyDescent="0.2">
      <c r="A163" t="s">
        <v>32</v>
      </c>
      <c r="B163">
        <v>2017</v>
      </c>
      <c r="C163" t="s">
        <v>47</v>
      </c>
      <c r="D163" s="1">
        <f>DATE(All_India_Index_Upto_April23__1___1[[#This Row],[Year]],MATCH(All_India_Index_Upto_April23__1___1[[#This Row],[Month]],{"January","February","March","April","May","June","July","August","September","October","November","December"},0),1)</f>
        <v>42979</v>
      </c>
      <c r="E163" s="2">
        <v>133.6</v>
      </c>
      <c r="F163" s="2">
        <v>143</v>
      </c>
      <c r="G163">
        <v>129.69999999999999</v>
      </c>
      <c r="H163">
        <v>138.69999999999999</v>
      </c>
      <c r="I163">
        <v>114.5</v>
      </c>
      <c r="J163">
        <v>137.5</v>
      </c>
      <c r="K163">
        <v>160.69999999999999</v>
      </c>
      <c r="L163">
        <v>124.5</v>
      </c>
      <c r="M163">
        <v>122.4</v>
      </c>
      <c r="N163">
        <v>137.30000000000001</v>
      </c>
      <c r="O163">
        <v>124.8</v>
      </c>
      <c r="P163">
        <v>145</v>
      </c>
      <c r="Q163" s="2">
        <v>138</v>
      </c>
      <c r="R163" s="2">
        <v>153.6</v>
      </c>
      <c r="S163" s="2">
        <v>133.30000000000001</v>
      </c>
      <c r="T163" s="2">
        <v>124.6</v>
      </c>
      <c r="U163" s="3">
        <v>132</v>
      </c>
      <c r="V163" s="2" t="s">
        <v>97</v>
      </c>
      <c r="W163" s="2">
        <v>120.6</v>
      </c>
      <c r="X163" s="2">
        <v>128.1</v>
      </c>
      <c r="Y163" s="2">
        <v>126.1</v>
      </c>
      <c r="Z163" s="2">
        <v>115.7</v>
      </c>
      <c r="AA163" s="2">
        <v>124.5</v>
      </c>
      <c r="AB163" s="2">
        <v>135.9</v>
      </c>
      <c r="AC163" s="2">
        <v>124.4</v>
      </c>
      <c r="AD163" s="2">
        <v>124.5</v>
      </c>
      <c r="AE163" s="2">
        <v>132.4</v>
      </c>
    </row>
    <row r="164" spans="1:31" x14ac:dyDescent="0.2">
      <c r="A164" t="s">
        <v>30</v>
      </c>
      <c r="B164">
        <v>2017</v>
      </c>
      <c r="C164" t="s">
        <v>49</v>
      </c>
      <c r="D164" s="1">
        <f>DATE(All_India_Index_Upto_April23__1___1[[#This Row],[Year]],MATCH(All_India_Index_Upto_April23__1___1[[#This Row],[Month]],{"January","February","March","April","May","June","July","August","September","October","November","December"},0),1)</f>
        <v>43009</v>
      </c>
      <c r="E164" s="2">
        <v>135.9</v>
      </c>
      <c r="F164" s="2">
        <v>141.9</v>
      </c>
      <c r="G164">
        <v>131</v>
      </c>
      <c r="H164">
        <v>141.5</v>
      </c>
      <c r="I164">
        <v>121.4</v>
      </c>
      <c r="J164">
        <v>146.69999999999999</v>
      </c>
      <c r="K164">
        <v>157.1</v>
      </c>
      <c r="L164">
        <v>136.4</v>
      </c>
      <c r="M164">
        <v>121.4</v>
      </c>
      <c r="N164">
        <v>135.6</v>
      </c>
      <c r="O164">
        <v>131.30000000000001</v>
      </c>
      <c r="P164">
        <v>150.30000000000001</v>
      </c>
      <c r="Q164" s="2">
        <v>140.4</v>
      </c>
      <c r="R164" s="2">
        <v>150.5</v>
      </c>
      <c r="S164" s="2">
        <v>147.19999999999999</v>
      </c>
      <c r="T164" s="2">
        <v>140.6</v>
      </c>
      <c r="U164" s="3">
        <v>146.19999999999999</v>
      </c>
      <c r="V164" s="2"/>
      <c r="W164">
        <v>138.1</v>
      </c>
      <c r="X164" s="2">
        <v>138.4</v>
      </c>
      <c r="Y164" s="2">
        <v>134.19999999999999</v>
      </c>
      <c r="Z164" s="2">
        <v>121</v>
      </c>
      <c r="AA164" s="2">
        <v>133</v>
      </c>
      <c r="AB164" s="2">
        <v>140.1</v>
      </c>
      <c r="AC164" s="2">
        <v>127.4</v>
      </c>
      <c r="AD164" s="2">
        <v>130.69999999999999</v>
      </c>
      <c r="AE164" s="2">
        <v>138.30000000000001</v>
      </c>
    </row>
    <row r="165" spans="1:31" x14ac:dyDescent="0.2">
      <c r="A165" t="s">
        <v>32</v>
      </c>
      <c r="B165">
        <v>2017</v>
      </c>
      <c r="C165" t="s">
        <v>49</v>
      </c>
      <c r="D165" s="1">
        <f>DATE(All_India_Index_Upto_April23__1___1[[#This Row],[Year]],MATCH(All_India_Index_Upto_April23__1___1[[#This Row],[Month]],{"January","February","March","April","May","June","July","August","September","October","November","December"},0),1)</f>
        <v>43009</v>
      </c>
      <c r="E165" s="2">
        <v>133.9</v>
      </c>
      <c r="F165" s="2">
        <v>142.80000000000001</v>
      </c>
      <c r="G165">
        <v>131.4</v>
      </c>
      <c r="H165">
        <v>139.1</v>
      </c>
      <c r="I165">
        <v>114.9</v>
      </c>
      <c r="J165">
        <v>135.6</v>
      </c>
      <c r="K165">
        <v>173.2</v>
      </c>
      <c r="L165">
        <v>124.1</v>
      </c>
      <c r="M165">
        <v>122.6</v>
      </c>
      <c r="N165">
        <v>137.80000000000001</v>
      </c>
      <c r="O165">
        <v>125.1</v>
      </c>
      <c r="P165">
        <v>145.5</v>
      </c>
      <c r="Q165" s="2">
        <v>139.69999999999999</v>
      </c>
      <c r="R165" s="2">
        <v>154.6</v>
      </c>
      <c r="S165" s="2">
        <v>134</v>
      </c>
      <c r="T165" s="2">
        <v>124.9</v>
      </c>
      <c r="U165" s="3">
        <v>132.6</v>
      </c>
      <c r="V165" s="2" t="s">
        <v>98</v>
      </c>
      <c r="W165" s="2">
        <v>122.6</v>
      </c>
      <c r="X165" s="2">
        <v>128.30000000000001</v>
      </c>
      <c r="Y165" s="2">
        <v>126.6</v>
      </c>
      <c r="Z165" s="2">
        <v>115</v>
      </c>
      <c r="AA165" s="2">
        <v>124.8</v>
      </c>
      <c r="AB165" s="2">
        <v>136.30000000000001</v>
      </c>
      <c r="AC165" s="2">
        <v>124.6</v>
      </c>
      <c r="AD165" s="2">
        <v>124.5</v>
      </c>
      <c r="AE165" s="2">
        <v>133.5</v>
      </c>
    </row>
    <row r="166" spans="1:31" x14ac:dyDescent="0.2">
      <c r="A166" t="s">
        <v>30</v>
      </c>
      <c r="B166">
        <v>2017</v>
      </c>
      <c r="C166" t="s">
        <v>51</v>
      </c>
      <c r="D166" s="1">
        <f>DATE(All_India_Index_Upto_April23__1___1[[#This Row],[Year]],MATCH(All_India_Index_Upto_April23__1___1[[#This Row],[Month]],{"January","February","March","April","May","June","July","August","September","October","November","December"},0),1)</f>
        <v>43040</v>
      </c>
      <c r="E166" s="2">
        <v>136.30000000000001</v>
      </c>
      <c r="F166" s="2">
        <v>142.5</v>
      </c>
      <c r="G166">
        <v>140.5</v>
      </c>
      <c r="H166">
        <v>141.5</v>
      </c>
      <c r="I166">
        <v>121.6</v>
      </c>
      <c r="J166">
        <v>147.30000000000001</v>
      </c>
      <c r="K166">
        <v>168</v>
      </c>
      <c r="L166">
        <v>135.80000000000001</v>
      </c>
      <c r="M166">
        <v>122.5</v>
      </c>
      <c r="N166">
        <v>136</v>
      </c>
      <c r="O166">
        <v>131.9</v>
      </c>
      <c r="P166">
        <v>151.4</v>
      </c>
      <c r="Q166" s="2">
        <v>142.4</v>
      </c>
      <c r="R166" s="2">
        <v>152.1</v>
      </c>
      <c r="S166" s="2">
        <v>148.19999999999999</v>
      </c>
      <c r="T166" s="2">
        <v>141.5</v>
      </c>
      <c r="U166" s="3">
        <v>147.30000000000001</v>
      </c>
      <c r="V166" s="2"/>
      <c r="W166">
        <v>141.1</v>
      </c>
      <c r="X166" s="2">
        <v>139.4</v>
      </c>
      <c r="Y166" s="2">
        <v>135.80000000000001</v>
      </c>
      <c r="Z166" s="2">
        <v>121.6</v>
      </c>
      <c r="AA166" s="2">
        <v>133.69999999999999</v>
      </c>
      <c r="AB166" s="2">
        <v>141.5</v>
      </c>
      <c r="AC166" s="2">
        <v>128.1</v>
      </c>
      <c r="AD166" s="2">
        <v>131.69999999999999</v>
      </c>
      <c r="AE166" s="2">
        <v>140</v>
      </c>
    </row>
    <row r="167" spans="1:31" x14ac:dyDescent="0.2">
      <c r="A167" t="s">
        <v>32</v>
      </c>
      <c r="B167">
        <v>2017</v>
      </c>
      <c r="C167" t="s">
        <v>51</v>
      </c>
      <c r="D167" s="1">
        <f>DATE(All_India_Index_Upto_April23__1___1[[#This Row],[Year]],MATCH(All_India_Index_Upto_April23__1___1[[#This Row],[Month]],{"January","February","March","April","May","June","July","August","September","October","November","December"},0),1)</f>
        <v>43040</v>
      </c>
      <c r="E167" s="2">
        <v>134.30000000000001</v>
      </c>
      <c r="F167" s="2">
        <v>142.1</v>
      </c>
      <c r="G167">
        <v>146.69999999999999</v>
      </c>
      <c r="H167">
        <v>139.5</v>
      </c>
      <c r="I167">
        <v>115.2</v>
      </c>
      <c r="J167">
        <v>136.4</v>
      </c>
      <c r="K167">
        <v>185.2</v>
      </c>
      <c r="L167">
        <v>122.2</v>
      </c>
      <c r="M167">
        <v>123.9</v>
      </c>
      <c r="N167">
        <v>138.30000000000001</v>
      </c>
      <c r="O167">
        <v>125.4</v>
      </c>
      <c r="P167">
        <v>146</v>
      </c>
      <c r="Q167" s="2">
        <v>141.5</v>
      </c>
      <c r="R167" s="2">
        <v>156.19999999999999</v>
      </c>
      <c r="S167" s="2">
        <v>135</v>
      </c>
      <c r="T167" s="2">
        <v>125.4</v>
      </c>
      <c r="U167" s="3">
        <v>133.5</v>
      </c>
      <c r="V167" s="2" t="s">
        <v>99</v>
      </c>
      <c r="W167" s="2">
        <v>125.7</v>
      </c>
      <c r="X167" s="2">
        <v>128.80000000000001</v>
      </c>
      <c r="Y167" s="2">
        <v>127.4</v>
      </c>
      <c r="Z167" s="2">
        <v>115.3</v>
      </c>
      <c r="AA167" s="2">
        <v>125.1</v>
      </c>
      <c r="AB167" s="2">
        <v>136.6</v>
      </c>
      <c r="AC167" s="2">
        <v>124.9</v>
      </c>
      <c r="AD167" s="2">
        <v>124.9</v>
      </c>
      <c r="AE167" s="2">
        <v>134.80000000000001</v>
      </c>
    </row>
    <row r="168" spans="1:31" x14ac:dyDescent="0.2">
      <c r="A168" t="s">
        <v>30</v>
      </c>
      <c r="B168">
        <v>2017</v>
      </c>
      <c r="C168" t="s">
        <v>53</v>
      </c>
      <c r="D168" s="1">
        <f>DATE(All_India_Index_Upto_April23__1___1[[#This Row],[Year]],MATCH(All_India_Index_Upto_April23__1___1[[#This Row],[Month]],{"January","February","March","April","May","June","July","August","September","October","November","December"},0),1)</f>
        <v>43070</v>
      </c>
      <c r="E168" s="2">
        <v>136.4</v>
      </c>
      <c r="F168" s="2">
        <v>143.69999999999999</v>
      </c>
      <c r="G168">
        <v>144.80000000000001</v>
      </c>
      <c r="H168">
        <v>141.9</v>
      </c>
      <c r="I168">
        <v>123.1</v>
      </c>
      <c r="J168">
        <v>147.19999999999999</v>
      </c>
      <c r="K168">
        <v>161</v>
      </c>
      <c r="L168">
        <v>133.80000000000001</v>
      </c>
      <c r="M168">
        <v>121.9</v>
      </c>
      <c r="N168">
        <v>135.80000000000001</v>
      </c>
      <c r="O168">
        <v>131.1</v>
      </c>
      <c r="P168">
        <v>151.4</v>
      </c>
      <c r="Q168" s="2">
        <v>141.5</v>
      </c>
      <c r="R168" s="2">
        <v>153.19999999999999</v>
      </c>
      <c r="S168" s="2">
        <v>148</v>
      </c>
      <c r="T168" s="2">
        <v>141.9</v>
      </c>
      <c r="U168" s="3">
        <v>147.19999999999999</v>
      </c>
      <c r="V168" s="2"/>
      <c r="W168">
        <v>142.6</v>
      </c>
      <c r="X168" s="2">
        <v>139.5</v>
      </c>
      <c r="Y168" s="2">
        <v>136.1</v>
      </c>
      <c r="Z168" s="2">
        <v>122</v>
      </c>
      <c r="AA168" s="2">
        <v>133.4</v>
      </c>
      <c r="AB168" s="2">
        <v>141.1</v>
      </c>
      <c r="AC168" s="2">
        <v>127.8</v>
      </c>
      <c r="AD168" s="2">
        <v>131.9</v>
      </c>
      <c r="AE168" s="2">
        <v>139.80000000000001</v>
      </c>
    </row>
    <row r="169" spans="1:31" x14ac:dyDescent="0.2">
      <c r="A169" t="s">
        <v>32</v>
      </c>
      <c r="B169">
        <v>2017</v>
      </c>
      <c r="C169" t="s">
        <v>53</v>
      </c>
      <c r="D169" s="1">
        <f>DATE(All_India_Index_Upto_April23__1___1[[#This Row],[Year]],MATCH(All_India_Index_Upto_April23__1___1[[#This Row],[Month]],{"January","February","March","April","May","June","July","August","September","October","November","December"},0),1)</f>
        <v>43070</v>
      </c>
      <c r="E169" s="2">
        <v>134.4</v>
      </c>
      <c r="F169" s="2">
        <v>142.6</v>
      </c>
      <c r="G169">
        <v>145.9</v>
      </c>
      <c r="H169">
        <v>139.5</v>
      </c>
      <c r="I169">
        <v>115.9</v>
      </c>
      <c r="J169">
        <v>135</v>
      </c>
      <c r="K169">
        <v>163.19999999999999</v>
      </c>
      <c r="L169">
        <v>119.8</v>
      </c>
      <c r="M169">
        <v>120.7</v>
      </c>
      <c r="N169">
        <v>139.69999999999999</v>
      </c>
      <c r="O169">
        <v>125.7</v>
      </c>
      <c r="P169">
        <v>146.30000000000001</v>
      </c>
      <c r="Q169" s="2">
        <v>138.80000000000001</v>
      </c>
      <c r="R169" s="2">
        <v>157</v>
      </c>
      <c r="S169" s="2">
        <v>135.6</v>
      </c>
      <c r="T169" s="2">
        <v>125.6</v>
      </c>
      <c r="U169" s="3">
        <v>134</v>
      </c>
      <c r="V169" s="2" t="s">
        <v>100</v>
      </c>
      <c r="W169" s="2">
        <v>126.8</v>
      </c>
      <c r="X169" s="2">
        <v>129.30000000000001</v>
      </c>
      <c r="Y169" s="2">
        <v>128.19999999999999</v>
      </c>
      <c r="Z169" s="2">
        <v>115.3</v>
      </c>
      <c r="AA169" s="2">
        <v>125.6</v>
      </c>
      <c r="AB169" s="2">
        <v>136.69999999999999</v>
      </c>
      <c r="AC169" s="2">
        <v>124.6</v>
      </c>
      <c r="AD169" s="2">
        <v>125.1</v>
      </c>
      <c r="AE169" s="2">
        <v>134.1</v>
      </c>
    </row>
    <row r="170" spans="1:31" x14ac:dyDescent="0.2">
      <c r="A170" t="s">
        <v>34</v>
      </c>
      <c r="B170">
        <v>2017</v>
      </c>
      <c r="C170" t="s">
        <v>31</v>
      </c>
      <c r="D170" s="1">
        <f>DATE(All_India_Index_Upto_April23__1___1[[#This Row],[Year]],MATCH(All_India_Index_Upto_April23__1___1[[#This Row],[Month]],{"January","February","March","April","May","June","July","August","September","October","November","December"},0),1)</f>
        <v>42736</v>
      </c>
      <c r="E170" s="2">
        <v>132.80000000000001</v>
      </c>
      <c r="F170" s="2">
        <v>138.19999999999999</v>
      </c>
      <c r="G170">
        <v>132.19999999999999</v>
      </c>
      <c r="H170">
        <v>135.4</v>
      </c>
      <c r="I170">
        <v>119.1</v>
      </c>
      <c r="J170">
        <v>133</v>
      </c>
      <c r="K170">
        <v>119.4</v>
      </c>
      <c r="L170">
        <v>159.5</v>
      </c>
      <c r="M170">
        <v>115.6</v>
      </c>
      <c r="N170">
        <v>139.6</v>
      </c>
      <c r="O170">
        <v>126.6</v>
      </c>
      <c r="P170">
        <v>142.80000000000001</v>
      </c>
      <c r="Q170" s="2">
        <v>133.1</v>
      </c>
      <c r="R170" s="2">
        <v>143.80000000000001</v>
      </c>
      <c r="S170" s="2">
        <v>136.6</v>
      </c>
      <c r="T170" s="2">
        <v>130.19999999999999</v>
      </c>
      <c r="U170" s="3">
        <v>135.6</v>
      </c>
      <c r="V170" s="2" t="s">
        <v>89</v>
      </c>
      <c r="W170" s="2">
        <v>126.8</v>
      </c>
      <c r="X170" s="2">
        <v>129.4</v>
      </c>
      <c r="Y170" s="2">
        <v>127.1</v>
      </c>
      <c r="Z170" s="2">
        <v>117</v>
      </c>
      <c r="AA170" s="2">
        <v>124.2</v>
      </c>
      <c r="AB170" s="2">
        <v>133.30000000000001</v>
      </c>
      <c r="AC170" s="2">
        <v>121.7</v>
      </c>
      <c r="AD170" s="2">
        <v>124.4</v>
      </c>
      <c r="AE170" s="2">
        <v>130.30000000000001</v>
      </c>
    </row>
    <row r="171" spans="1:31" x14ac:dyDescent="0.2">
      <c r="A171" t="s">
        <v>34</v>
      </c>
      <c r="B171">
        <v>2017</v>
      </c>
      <c r="C171" t="s">
        <v>35</v>
      </c>
      <c r="D171" s="1">
        <f>DATE(All_India_Index_Upto_April23__1___1[[#This Row],[Year]],MATCH(All_India_Index_Upto_April23__1___1[[#This Row],[Month]],{"January","February","March","April","May","June","July","August","September","October","November","December"},0),1)</f>
        <v>42767</v>
      </c>
      <c r="E171" s="2">
        <v>133.1</v>
      </c>
      <c r="F171" s="2">
        <v>138.80000000000001</v>
      </c>
      <c r="G171">
        <v>129.30000000000001</v>
      </c>
      <c r="H171">
        <v>135.80000000000001</v>
      </c>
      <c r="I171">
        <v>119.2</v>
      </c>
      <c r="J171">
        <v>135.30000000000001</v>
      </c>
      <c r="K171">
        <v>119.5</v>
      </c>
      <c r="L171">
        <v>152.19999999999999</v>
      </c>
      <c r="M171">
        <v>117.3</v>
      </c>
      <c r="N171">
        <v>138.69999999999999</v>
      </c>
      <c r="O171">
        <v>126.9</v>
      </c>
      <c r="P171">
        <v>143.19999999999999</v>
      </c>
      <c r="Q171" s="2">
        <v>133</v>
      </c>
      <c r="R171" s="2">
        <v>144.4</v>
      </c>
      <c r="S171" s="2">
        <v>136.80000000000001</v>
      </c>
      <c r="T171" s="2">
        <v>130.30000000000001</v>
      </c>
      <c r="U171" s="3">
        <v>135.9</v>
      </c>
      <c r="V171" s="2" t="s">
        <v>90</v>
      </c>
      <c r="W171" s="2">
        <v>127.9</v>
      </c>
      <c r="X171" s="2">
        <v>129.69999999999999</v>
      </c>
      <c r="Y171" s="2">
        <v>127.4</v>
      </c>
      <c r="Z171" s="2">
        <v>117.4</v>
      </c>
      <c r="AA171" s="2">
        <v>124.6</v>
      </c>
      <c r="AB171" s="2">
        <v>133.4</v>
      </c>
      <c r="AC171" s="2">
        <v>122.6</v>
      </c>
      <c r="AD171" s="2">
        <v>124.8</v>
      </c>
      <c r="AE171" s="2">
        <v>130.6</v>
      </c>
    </row>
    <row r="172" spans="1:31" x14ac:dyDescent="0.2">
      <c r="A172" t="s">
        <v>34</v>
      </c>
      <c r="B172">
        <v>2017</v>
      </c>
      <c r="C172" t="s">
        <v>37</v>
      </c>
      <c r="D172" s="1">
        <f>DATE(All_India_Index_Upto_April23__1___1[[#This Row],[Year]],MATCH(All_India_Index_Upto_April23__1___1[[#This Row],[Month]],{"January","February","March","April","May","June","July","August","September","October","November","December"},0),1)</f>
        <v>42795</v>
      </c>
      <c r="E172" s="2">
        <v>133.30000000000001</v>
      </c>
      <c r="F172" s="2">
        <v>139</v>
      </c>
      <c r="G172">
        <v>128.6</v>
      </c>
      <c r="H172">
        <v>136.30000000000001</v>
      </c>
      <c r="I172">
        <v>118.8</v>
      </c>
      <c r="J172">
        <v>138.30000000000001</v>
      </c>
      <c r="K172">
        <v>120.5</v>
      </c>
      <c r="L172">
        <v>143.9</v>
      </c>
      <c r="M172">
        <v>118</v>
      </c>
      <c r="N172">
        <v>137.9</v>
      </c>
      <c r="O172">
        <v>127.2</v>
      </c>
      <c r="P172">
        <v>144</v>
      </c>
      <c r="Q172" s="2">
        <v>133.1</v>
      </c>
      <c r="R172" s="2">
        <v>145.1</v>
      </c>
      <c r="S172" s="2">
        <v>137.30000000000001</v>
      </c>
      <c r="T172" s="2">
        <v>130.6</v>
      </c>
      <c r="U172" s="3">
        <v>136.4</v>
      </c>
      <c r="V172" s="2" t="s">
        <v>91</v>
      </c>
      <c r="W172" s="2">
        <v>129.1</v>
      </c>
      <c r="X172" s="2">
        <v>130.1</v>
      </c>
      <c r="Y172" s="2">
        <v>127.8</v>
      </c>
      <c r="Z172" s="2">
        <v>117.6</v>
      </c>
      <c r="AA172" s="2">
        <v>125</v>
      </c>
      <c r="AB172" s="2">
        <v>133.80000000000001</v>
      </c>
      <c r="AC172" s="2">
        <v>122.6</v>
      </c>
      <c r="AD172" s="2">
        <v>125.1</v>
      </c>
      <c r="AE172" s="2">
        <v>130.9</v>
      </c>
    </row>
    <row r="173" spans="1:31" x14ac:dyDescent="0.2">
      <c r="A173" t="s">
        <v>34</v>
      </c>
      <c r="B173">
        <v>2017</v>
      </c>
      <c r="C173" t="s">
        <v>38</v>
      </c>
      <c r="D173" s="1">
        <f>DATE(All_India_Index_Upto_April23__1___1[[#This Row],[Year]],MATCH(All_India_Index_Upto_April23__1___1[[#This Row],[Month]],{"January","February","March","April","May","June","July","August","September","October","November","December"},0),1)</f>
        <v>42826</v>
      </c>
      <c r="E173" s="2">
        <v>133</v>
      </c>
      <c r="F173" s="2">
        <v>139.4</v>
      </c>
      <c r="G173">
        <v>126.1</v>
      </c>
      <c r="H173">
        <v>137.19999999999999</v>
      </c>
      <c r="I173">
        <v>118.4</v>
      </c>
      <c r="J173">
        <v>139.9</v>
      </c>
      <c r="K173">
        <v>123.4</v>
      </c>
      <c r="L173">
        <v>140.9</v>
      </c>
      <c r="M173">
        <v>118.5</v>
      </c>
      <c r="N173">
        <v>136.5</v>
      </c>
      <c r="O173">
        <v>127.4</v>
      </c>
      <c r="P173">
        <v>144.19999999999999</v>
      </c>
      <c r="Q173" s="2">
        <v>133.5</v>
      </c>
      <c r="R173" s="2">
        <v>145.4</v>
      </c>
      <c r="S173" s="2">
        <v>138</v>
      </c>
      <c r="T173" s="2">
        <v>131.1</v>
      </c>
      <c r="U173" s="3">
        <v>137</v>
      </c>
      <c r="V173" s="2" t="s">
        <v>92</v>
      </c>
      <c r="W173" s="2">
        <v>129.80000000000001</v>
      </c>
      <c r="X173" s="2">
        <v>130.4</v>
      </c>
      <c r="Y173" s="2">
        <v>128.1</v>
      </c>
      <c r="Z173" s="2">
        <v>116.6</v>
      </c>
      <c r="AA173" s="2">
        <v>125.1</v>
      </c>
      <c r="AB173" s="2">
        <v>134.5</v>
      </c>
      <c r="AC173" s="2">
        <v>123.1</v>
      </c>
      <c r="AD173" s="2">
        <v>125.1</v>
      </c>
      <c r="AE173" s="2">
        <v>131.1</v>
      </c>
    </row>
    <row r="174" spans="1:31" x14ac:dyDescent="0.2">
      <c r="A174" t="s">
        <v>34</v>
      </c>
      <c r="B174">
        <v>2017</v>
      </c>
      <c r="C174" t="s">
        <v>40</v>
      </c>
      <c r="D174" s="1">
        <f>DATE(All_India_Index_Upto_April23__1___1[[#This Row],[Year]],MATCH(All_India_Index_Upto_April23__1___1[[#This Row],[Month]],{"January","February","March","April","May","June","July","August","September","October","November","December"},0),1)</f>
        <v>42856</v>
      </c>
      <c r="E174" s="2">
        <v>132.9</v>
      </c>
      <c r="F174" s="2">
        <v>141.6</v>
      </c>
      <c r="G174">
        <v>126.3</v>
      </c>
      <c r="H174">
        <v>137.69999999999999</v>
      </c>
      <c r="I174">
        <v>118.1</v>
      </c>
      <c r="J174">
        <v>137.9</v>
      </c>
      <c r="K174">
        <v>125.6</v>
      </c>
      <c r="L174">
        <v>138.30000000000001</v>
      </c>
      <c r="M174">
        <v>119.4</v>
      </c>
      <c r="N174">
        <v>136</v>
      </c>
      <c r="O174">
        <v>127.6</v>
      </c>
      <c r="P174">
        <v>144.5</v>
      </c>
      <c r="Q174" s="2">
        <v>133.69999999999999</v>
      </c>
      <c r="R174" s="2">
        <v>146.19999999999999</v>
      </c>
      <c r="S174" s="2">
        <v>138.19999999999999</v>
      </c>
      <c r="T174" s="2">
        <v>131.4</v>
      </c>
      <c r="U174" s="3">
        <v>137.19999999999999</v>
      </c>
      <c r="V174" s="2" t="s">
        <v>93</v>
      </c>
      <c r="W174" s="2">
        <v>129.4</v>
      </c>
      <c r="X174" s="2">
        <v>130.9</v>
      </c>
      <c r="Y174" s="2">
        <v>128.4</v>
      </c>
      <c r="Z174" s="2">
        <v>116.7</v>
      </c>
      <c r="AA174" s="2">
        <v>125.7</v>
      </c>
      <c r="AB174" s="2">
        <v>134.80000000000001</v>
      </c>
      <c r="AC174" s="2">
        <v>123</v>
      </c>
      <c r="AD174" s="2">
        <v>125.3</v>
      </c>
      <c r="AE174" s="2">
        <v>131.4</v>
      </c>
    </row>
    <row r="175" spans="1:31" x14ac:dyDescent="0.2">
      <c r="A175" t="s">
        <v>34</v>
      </c>
      <c r="B175">
        <v>2017</v>
      </c>
      <c r="C175" t="s">
        <v>41</v>
      </c>
      <c r="D175" s="1">
        <f>DATE(All_India_Index_Upto_April23__1___1[[#This Row],[Year]],MATCH(All_India_Index_Upto_April23__1___1[[#This Row],[Month]],{"January","February","March","April","May","June","July","August","September","October","November","December"},0),1)</f>
        <v>42887</v>
      </c>
      <c r="E175" s="2">
        <v>133.30000000000001</v>
      </c>
      <c r="F175" s="2">
        <v>145.5</v>
      </c>
      <c r="G175">
        <v>128.1</v>
      </c>
      <c r="H175">
        <v>138.1</v>
      </c>
      <c r="I175">
        <v>118.2</v>
      </c>
      <c r="J175">
        <v>139.19999999999999</v>
      </c>
      <c r="K175">
        <v>133.30000000000001</v>
      </c>
      <c r="L175">
        <v>136.19999999999999</v>
      </c>
      <c r="M175">
        <v>119.6</v>
      </c>
      <c r="N175">
        <v>135.30000000000001</v>
      </c>
      <c r="O175">
        <v>127.8</v>
      </c>
      <c r="P175">
        <v>144.9</v>
      </c>
      <c r="Q175" s="2">
        <v>135.19999999999999</v>
      </c>
      <c r="R175" s="2">
        <v>146.5</v>
      </c>
      <c r="S175" s="2">
        <v>138.5</v>
      </c>
      <c r="T175" s="2">
        <v>131.69999999999999</v>
      </c>
      <c r="U175" s="3">
        <v>137.5</v>
      </c>
      <c r="V175" s="2" t="s">
        <v>94</v>
      </c>
      <c r="W175" s="2">
        <v>128.80000000000001</v>
      </c>
      <c r="X175" s="2">
        <v>131.19999999999999</v>
      </c>
      <c r="Y175" s="2">
        <v>128.5</v>
      </c>
      <c r="Z175" s="2">
        <v>116.5</v>
      </c>
      <c r="AA175" s="2">
        <v>125.9</v>
      </c>
      <c r="AB175" s="2">
        <v>135.4</v>
      </c>
      <c r="AC175" s="2">
        <v>123.4</v>
      </c>
      <c r="AD175" s="2">
        <v>125.5</v>
      </c>
      <c r="AE175" s="2">
        <v>132</v>
      </c>
    </row>
    <row r="176" spans="1:31" x14ac:dyDescent="0.2">
      <c r="A176" t="s">
        <v>34</v>
      </c>
      <c r="B176">
        <v>2017</v>
      </c>
      <c r="C176" t="s">
        <v>43</v>
      </c>
      <c r="D176" s="1">
        <f>DATE(All_India_Index_Upto_April23__1___1[[#This Row],[Year]],MATCH(All_India_Index_Upto_April23__1___1[[#This Row],[Month]],{"January","February","March","April","May","June","July","August","September","October","November","December"},0),1)</f>
        <v>42917</v>
      </c>
      <c r="E176" s="2">
        <v>133.6</v>
      </c>
      <c r="F176" s="2">
        <v>145.69999999999999</v>
      </c>
      <c r="G176">
        <v>129.6</v>
      </c>
      <c r="H176">
        <v>138.5</v>
      </c>
      <c r="I176">
        <v>118.1</v>
      </c>
      <c r="J176">
        <v>141.80000000000001</v>
      </c>
      <c r="K176">
        <v>159.5</v>
      </c>
      <c r="L176">
        <v>133.6</v>
      </c>
      <c r="M176">
        <v>120.5</v>
      </c>
      <c r="N176">
        <v>135.19999999999999</v>
      </c>
      <c r="O176">
        <v>128.5</v>
      </c>
      <c r="P176">
        <v>145.80000000000001</v>
      </c>
      <c r="Q176" s="2">
        <v>139</v>
      </c>
      <c r="R176" s="2">
        <v>148.19999999999999</v>
      </c>
      <c r="S176" s="2">
        <v>139.30000000000001</v>
      </c>
      <c r="T176" s="2">
        <v>132.1</v>
      </c>
      <c r="U176" s="3">
        <v>138.30000000000001</v>
      </c>
      <c r="V176" s="2" t="s">
        <v>95</v>
      </c>
      <c r="W176" s="2">
        <v>129.4</v>
      </c>
      <c r="X176" s="2">
        <v>131.9</v>
      </c>
      <c r="Y176" s="2">
        <v>129.4</v>
      </c>
      <c r="Z176" s="2">
        <v>116</v>
      </c>
      <c r="AA176" s="2">
        <v>126.6</v>
      </c>
      <c r="AB176" s="2">
        <v>136.80000000000001</v>
      </c>
      <c r="AC176" s="2">
        <v>123.6</v>
      </c>
      <c r="AD176" s="2">
        <v>125.9</v>
      </c>
      <c r="AE176" s="2">
        <v>134.19999999999999</v>
      </c>
    </row>
    <row r="177" spans="1:31" x14ac:dyDescent="0.2">
      <c r="A177" t="s">
        <v>34</v>
      </c>
      <c r="B177">
        <v>2017</v>
      </c>
      <c r="C177" t="s">
        <v>45</v>
      </c>
      <c r="D177" s="1">
        <f>DATE(All_India_Index_Upto_April23__1___1[[#This Row],[Year]],MATCH(All_India_Index_Upto_April23__1___1[[#This Row],[Month]],{"January","February","March","April","May","June","July","August","September","October","November","December"},0),1)</f>
        <v>42948</v>
      </c>
      <c r="E177" s="2">
        <v>134.30000000000001</v>
      </c>
      <c r="F177" s="2">
        <v>143.4</v>
      </c>
      <c r="G177">
        <v>129.30000000000001</v>
      </c>
      <c r="H177">
        <v>139</v>
      </c>
      <c r="I177">
        <v>118.1</v>
      </c>
      <c r="J177">
        <v>145.5</v>
      </c>
      <c r="K177">
        <v>168.6</v>
      </c>
      <c r="L177">
        <v>132.69999999999999</v>
      </c>
      <c r="M177">
        <v>121.2</v>
      </c>
      <c r="N177">
        <v>135.6</v>
      </c>
      <c r="O177">
        <v>128.69999999999999</v>
      </c>
      <c r="P177">
        <v>146.80000000000001</v>
      </c>
      <c r="Q177" s="2">
        <v>140.6</v>
      </c>
      <c r="R177" s="2">
        <v>149.80000000000001</v>
      </c>
      <c r="S177" s="2">
        <v>140.30000000000001</v>
      </c>
      <c r="T177" s="2">
        <v>133</v>
      </c>
      <c r="U177" s="3">
        <v>139.30000000000001</v>
      </c>
      <c r="V177" s="2" t="s">
        <v>96</v>
      </c>
      <c r="W177" s="2">
        <v>129.80000000000001</v>
      </c>
      <c r="X177" s="2">
        <v>132.80000000000001</v>
      </c>
      <c r="Y177" s="2">
        <v>130.19999999999999</v>
      </c>
      <c r="Z177" s="2">
        <v>117.3</v>
      </c>
      <c r="AA177" s="2">
        <v>127.3</v>
      </c>
      <c r="AB177" s="2">
        <v>137.6</v>
      </c>
      <c r="AC177" s="2">
        <v>124.5</v>
      </c>
      <c r="AD177" s="2">
        <v>126.8</v>
      </c>
      <c r="AE177" s="2">
        <v>135.4</v>
      </c>
    </row>
    <row r="178" spans="1:31" x14ac:dyDescent="0.2">
      <c r="A178" t="s">
        <v>34</v>
      </c>
      <c r="B178">
        <v>2017</v>
      </c>
      <c r="C178" t="s">
        <v>47</v>
      </c>
      <c r="D178" s="1">
        <f>DATE(All_India_Index_Upto_April23__1___1[[#This Row],[Year]],MATCH(All_India_Index_Upto_April23__1___1[[#This Row],[Month]],{"January","February","March","April","May","June","July","August","September","October","November","December"},0),1)</f>
        <v>42979</v>
      </c>
      <c r="E178" s="2">
        <v>134.69999999999999</v>
      </c>
      <c r="F178" s="2">
        <v>142.4</v>
      </c>
      <c r="G178">
        <v>130.19999999999999</v>
      </c>
      <c r="H178">
        <v>139.6</v>
      </c>
      <c r="I178">
        <v>118.4</v>
      </c>
      <c r="J178">
        <v>143</v>
      </c>
      <c r="K178">
        <v>156.6</v>
      </c>
      <c r="L178">
        <v>132.9</v>
      </c>
      <c r="M178">
        <v>121.5</v>
      </c>
      <c r="N178">
        <v>135.6</v>
      </c>
      <c r="O178">
        <v>128.80000000000001</v>
      </c>
      <c r="P178">
        <v>147.30000000000001</v>
      </c>
      <c r="Q178" s="2">
        <v>139</v>
      </c>
      <c r="R178" s="2">
        <v>150.80000000000001</v>
      </c>
      <c r="S178" s="2">
        <v>141.1</v>
      </c>
      <c r="T178" s="2">
        <v>133.4</v>
      </c>
      <c r="U178" s="3">
        <v>140</v>
      </c>
      <c r="V178" s="2" t="s">
        <v>97</v>
      </c>
      <c r="W178" s="2">
        <v>131</v>
      </c>
      <c r="X178" s="2">
        <v>133.30000000000001</v>
      </c>
      <c r="Y178" s="2">
        <v>130.6</v>
      </c>
      <c r="Z178" s="2">
        <v>118.3</v>
      </c>
      <c r="AA178" s="2">
        <v>127.9</v>
      </c>
      <c r="AB178" s="2">
        <v>137.4</v>
      </c>
      <c r="AC178" s="2">
        <v>125.7</v>
      </c>
      <c r="AD178" s="2">
        <v>127.5</v>
      </c>
      <c r="AE178" s="2">
        <v>135.19999999999999</v>
      </c>
    </row>
    <row r="179" spans="1:31" x14ac:dyDescent="0.2">
      <c r="A179" t="s">
        <v>34</v>
      </c>
      <c r="B179">
        <v>2017</v>
      </c>
      <c r="C179" t="s">
        <v>49</v>
      </c>
      <c r="D179" s="1">
        <f>DATE(All_India_Index_Upto_April23__1___1[[#This Row],[Year]],MATCH(All_India_Index_Upto_April23__1___1[[#This Row],[Month]],{"January","February","March","April","May","June","July","August","September","October","November","December"},0),1)</f>
        <v>43009</v>
      </c>
      <c r="E179" s="2">
        <v>135.30000000000001</v>
      </c>
      <c r="F179" s="2">
        <v>142.19999999999999</v>
      </c>
      <c r="G179">
        <v>131.19999999999999</v>
      </c>
      <c r="H179">
        <v>140.6</v>
      </c>
      <c r="I179">
        <v>119</v>
      </c>
      <c r="J179">
        <v>141.5</v>
      </c>
      <c r="K179">
        <v>162.6</v>
      </c>
      <c r="L179">
        <v>132.30000000000001</v>
      </c>
      <c r="M179">
        <v>121.8</v>
      </c>
      <c r="N179">
        <v>136.30000000000001</v>
      </c>
      <c r="O179">
        <v>128.69999999999999</v>
      </c>
      <c r="P179">
        <v>148.1</v>
      </c>
      <c r="Q179" s="2">
        <v>140.1</v>
      </c>
      <c r="R179" s="2">
        <v>151.6</v>
      </c>
      <c r="S179" s="2">
        <v>142</v>
      </c>
      <c r="T179" s="2">
        <v>134.1</v>
      </c>
      <c r="U179" s="3">
        <v>140.80000000000001</v>
      </c>
      <c r="V179" s="2" t="s">
        <v>98</v>
      </c>
      <c r="W179" s="2">
        <v>132.19999999999999</v>
      </c>
      <c r="X179" s="2">
        <v>133.6</v>
      </c>
      <c r="Y179" s="2">
        <v>131.30000000000001</v>
      </c>
      <c r="Z179" s="2">
        <v>117.8</v>
      </c>
      <c r="AA179" s="2">
        <v>128.4</v>
      </c>
      <c r="AB179" s="2">
        <v>137.9</v>
      </c>
      <c r="AC179" s="2">
        <v>126.2</v>
      </c>
      <c r="AD179" s="2">
        <v>127.7</v>
      </c>
      <c r="AE179" s="2">
        <v>136.1</v>
      </c>
    </row>
    <row r="180" spans="1:31" x14ac:dyDescent="0.2">
      <c r="A180" t="s">
        <v>34</v>
      </c>
      <c r="B180">
        <v>2017</v>
      </c>
      <c r="C180" t="s">
        <v>51</v>
      </c>
      <c r="D180" s="1">
        <f>DATE(All_India_Index_Upto_April23__1___1[[#This Row],[Year]],MATCH(All_India_Index_Upto_April23__1___1[[#This Row],[Month]],{"January","February","March","April","May","June","July","August","September","October","November","December"},0),1)</f>
        <v>43040</v>
      </c>
      <c r="E180" s="2">
        <v>135.69999999999999</v>
      </c>
      <c r="F180" s="2">
        <v>142.4</v>
      </c>
      <c r="G180">
        <v>142.9</v>
      </c>
      <c r="H180">
        <v>140.80000000000001</v>
      </c>
      <c r="I180">
        <v>119.2</v>
      </c>
      <c r="J180">
        <v>142.19999999999999</v>
      </c>
      <c r="K180">
        <v>173.8</v>
      </c>
      <c r="L180">
        <v>131.19999999999999</v>
      </c>
      <c r="M180">
        <v>123</v>
      </c>
      <c r="N180">
        <v>136.80000000000001</v>
      </c>
      <c r="O180">
        <v>129.19999999999999</v>
      </c>
      <c r="P180">
        <v>148.9</v>
      </c>
      <c r="Q180" s="2">
        <v>142.1</v>
      </c>
      <c r="R180" s="2">
        <v>153.19999999999999</v>
      </c>
      <c r="S180" s="2">
        <v>143</v>
      </c>
      <c r="T180" s="2">
        <v>134.80000000000001</v>
      </c>
      <c r="U180" s="3">
        <v>141.80000000000001</v>
      </c>
      <c r="V180" s="2" t="s">
        <v>99</v>
      </c>
      <c r="W180" s="2">
        <v>135.30000000000001</v>
      </c>
      <c r="X180" s="2">
        <v>134.4</v>
      </c>
      <c r="Y180" s="2">
        <v>132.6</v>
      </c>
      <c r="Z180" s="2">
        <v>118.3</v>
      </c>
      <c r="AA180" s="2">
        <v>128.9</v>
      </c>
      <c r="AB180" s="2">
        <v>138.6</v>
      </c>
      <c r="AC180" s="2">
        <v>126.8</v>
      </c>
      <c r="AD180" s="2">
        <v>128.4</v>
      </c>
      <c r="AE180" s="2">
        <v>137.6</v>
      </c>
    </row>
    <row r="181" spans="1:31" x14ac:dyDescent="0.2">
      <c r="A181" t="s">
        <v>34</v>
      </c>
      <c r="B181">
        <v>2017</v>
      </c>
      <c r="C181" t="s">
        <v>53</v>
      </c>
      <c r="D181" s="1">
        <f>DATE(All_India_Index_Upto_April23__1___1[[#This Row],[Year]],MATCH(All_India_Index_Upto_April23__1___1[[#This Row],[Month]],{"January","February","March","April","May","June","July","August","September","October","November","December"},0),1)</f>
        <v>43070</v>
      </c>
      <c r="E181" s="2">
        <v>135.80000000000001</v>
      </c>
      <c r="F181" s="2">
        <v>143.30000000000001</v>
      </c>
      <c r="G181">
        <v>145.19999999999999</v>
      </c>
      <c r="H181">
        <v>141</v>
      </c>
      <c r="I181">
        <v>120.5</v>
      </c>
      <c r="J181">
        <v>141.5</v>
      </c>
      <c r="K181">
        <v>161.69999999999999</v>
      </c>
      <c r="L181">
        <v>129.1</v>
      </c>
      <c r="M181">
        <v>121.5</v>
      </c>
      <c r="N181">
        <v>137.1</v>
      </c>
      <c r="O181">
        <v>128.80000000000001</v>
      </c>
      <c r="P181">
        <v>149</v>
      </c>
      <c r="Q181" s="2">
        <v>140.5</v>
      </c>
      <c r="R181" s="2">
        <v>154.19999999999999</v>
      </c>
      <c r="S181" s="2">
        <v>143.1</v>
      </c>
      <c r="T181" s="2">
        <v>135.1</v>
      </c>
      <c r="U181" s="3">
        <v>142</v>
      </c>
      <c r="V181" s="2" t="s">
        <v>100</v>
      </c>
      <c r="W181" s="2">
        <v>136.6</v>
      </c>
      <c r="X181" s="2">
        <v>134.69999999999999</v>
      </c>
      <c r="Y181" s="2">
        <v>133.1</v>
      </c>
      <c r="Z181" s="2">
        <v>118.5</v>
      </c>
      <c r="AA181" s="2">
        <v>129</v>
      </c>
      <c r="AB181" s="2">
        <v>138.5</v>
      </c>
      <c r="AC181" s="2">
        <v>126.5</v>
      </c>
      <c r="AD181" s="2">
        <v>128.6</v>
      </c>
      <c r="AE181" s="2">
        <v>137.19999999999999</v>
      </c>
    </row>
    <row r="182" spans="1:31" x14ac:dyDescent="0.2">
      <c r="A182" t="s">
        <v>34</v>
      </c>
      <c r="B182">
        <v>2018</v>
      </c>
      <c r="C182" t="s">
        <v>31</v>
      </c>
      <c r="D182" s="1">
        <f>DATE(All_India_Index_Upto_April23__1___1[[#This Row],[Year]],MATCH(All_India_Index_Upto_April23__1___1[[#This Row],[Month]],{"January","February","March","April","May","June","July","August","September","October","November","December"},0),1)</f>
        <v>43101</v>
      </c>
      <c r="E182" s="2">
        <v>136</v>
      </c>
      <c r="F182" s="2">
        <v>144.19999999999999</v>
      </c>
      <c r="G182">
        <v>143.69999999999999</v>
      </c>
      <c r="H182">
        <v>141.1</v>
      </c>
      <c r="I182">
        <v>120.7</v>
      </c>
      <c r="J182">
        <v>141.30000000000001</v>
      </c>
      <c r="K182">
        <v>151.6</v>
      </c>
      <c r="L182">
        <v>127.3</v>
      </c>
      <c r="M182">
        <v>118.8</v>
      </c>
      <c r="N182">
        <v>137.5</v>
      </c>
      <c r="O182">
        <v>129</v>
      </c>
      <c r="P182">
        <v>149.5</v>
      </c>
      <c r="Q182" s="2">
        <v>139.19999999999999</v>
      </c>
      <c r="R182" s="2">
        <v>154.69999999999999</v>
      </c>
      <c r="S182" s="2">
        <v>143.5</v>
      </c>
      <c r="T182" s="2">
        <v>135.5</v>
      </c>
      <c r="U182" s="3">
        <v>142.30000000000001</v>
      </c>
      <c r="V182" s="2" t="s">
        <v>101</v>
      </c>
      <c r="W182" s="2">
        <v>136.6</v>
      </c>
      <c r="X182" s="2">
        <v>134.9</v>
      </c>
      <c r="Y182" s="2">
        <v>133.30000000000001</v>
      </c>
      <c r="Z182" s="2">
        <v>119.3</v>
      </c>
      <c r="AA182" s="2">
        <v>129.69999999999999</v>
      </c>
      <c r="AB182" s="2">
        <v>139</v>
      </c>
      <c r="AC182" s="2">
        <v>127.3</v>
      </c>
      <c r="AD182" s="2">
        <v>129.1</v>
      </c>
      <c r="AE182" s="2">
        <v>136.9</v>
      </c>
    </row>
    <row r="183" spans="1:31" x14ac:dyDescent="0.2">
      <c r="A183" t="s">
        <v>34</v>
      </c>
      <c r="B183">
        <v>2018</v>
      </c>
      <c r="C183" t="s">
        <v>35</v>
      </c>
      <c r="D183" s="1">
        <f>DATE(All_India_Index_Upto_April23__1___1[[#This Row],[Year]],MATCH(All_India_Index_Upto_April23__1___1[[#This Row],[Month]],{"January","February","March","April","May","June","July","August","September","October","November","December"},0),1)</f>
        <v>43132</v>
      </c>
      <c r="E183" s="2">
        <v>135.9</v>
      </c>
      <c r="F183" s="2">
        <v>143.5</v>
      </c>
      <c r="G183">
        <v>140.30000000000001</v>
      </c>
      <c r="H183">
        <v>140.9</v>
      </c>
      <c r="I183">
        <v>120.4</v>
      </c>
      <c r="J183">
        <v>142.9</v>
      </c>
      <c r="K183">
        <v>140.5</v>
      </c>
      <c r="L183">
        <v>125.8</v>
      </c>
      <c r="M183">
        <v>117.1</v>
      </c>
      <c r="N183">
        <v>137.30000000000001</v>
      </c>
      <c r="O183">
        <v>128.6</v>
      </c>
      <c r="P183">
        <v>149.6</v>
      </c>
      <c r="Q183" s="2">
        <v>137.6</v>
      </c>
      <c r="R183" s="2">
        <v>154.9</v>
      </c>
      <c r="S183" s="2">
        <v>143.80000000000001</v>
      </c>
      <c r="T183" s="2">
        <v>135.6</v>
      </c>
      <c r="U183" s="3">
        <v>142.6</v>
      </c>
      <c r="V183" s="2" t="s">
        <v>102</v>
      </c>
      <c r="W183" s="2">
        <v>136.69999999999999</v>
      </c>
      <c r="X183" s="2">
        <v>135.19999999999999</v>
      </c>
      <c r="Y183" s="2">
        <v>133.80000000000001</v>
      </c>
      <c r="Z183" s="2">
        <v>120.2</v>
      </c>
      <c r="AA183" s="2">
        <v>129.9</v>
      </c>
      <c r="AB183" s="2">
        <v>139</v>
      </c>
      <c r="AC183" s="2">
        <v>127.7</v>
      </c>
      <c r="AD183" s="2">
        <v>129.6</v>
      </c>
      <c r="AE183" s="2">
        <v>136.4</v>
      </c>
    </row>
    <row r="184" spans="1:31" x14ac:dyDescent="0.2">
      <c r="A184" t="s">
        <v>34</v>
      </c>
      <c r="B184">
        <v>2018</v>
      </c>
      <c r="C184" t="s">
        <v>37</v>
      </c>
      <c r="D184" s="1">
        <f>DATE(All_India_Index_Upto_April23__1___1[[#This Row],[Year]],MATCH(All_India_Index_Upto_April23__1___1[[#This Row],[Month]],{"January","February","March","April","May","June","July","August","September","October","November","December"},0),1)</f>
        <v>43160</v>
      </c>
      <c r="E184" s="2">
        <v>136.19999999999999</v>
      </c>
      <c r="F184" s="2">
        <v>143.6</v>
      </c>
      <c r="G184">
        <v>138.30000000000001</v>
      </c>
      <c r="H184">
        <v>141.19999999999999</v>
      </c>
      <c r="I184">
        <v>120.7</v>
      </c>
      <c r="J184">
        <v>146.19999999999999</v>
      </c>
      <c r="K184">
        <v>134.6</v>
      </c>
      <c r="L184">
        <v>124.6</v>
      </c>
      <c r="M184">
        <v>116.1</v>
      </c>
      <c r="N184">
        <v>137.80000000000001</v>
      </c>
      <c r="O184">
        <v>129.1</v>
      </c>
      <c r="P184">
        <v>150.4</v>
      </c>
      <c r="Q184" s="2">
        <v>137.19999999999999</v>
      </c>
      <c r="R184" s="2">
        <v>156.30000000000001</v>
      </c>
      <c r="S184" s="2">
        <v>144.30000000000001</v>
      </c>
      <c r="T184" s="2">
        <v>136.19999999999999</v>
      </c>
      <c r="U184" s="3">
        <v>143.1</v>
      </c>
      <c r="V184" s="2" t="s">
        <v>103</v>
      </c>
      <c r="W184" s="2">
        <v>136.5</v>
      </c>
      <c r="X184" s="2">
        <v>135.6</v>
      </c>
      <c r="Y184" s="2">
        <v>134.30000000000001</v>
      </c>
      <c r="Z184" s="2">
        <v>121</v>
      </c>
      <c r="AA184" s="2">
        <v>130.4</v>
      </c>
      <c r="AB184" s="2">
        <v>139.80000000000001</v>
      </c>
      <c r="AC184" s="2">
        <v>128.19999999999999</v>
      </c>
      <c r="AD184" s="2">
        <v>130.30000000000001</v>
      </c>
      <c r="AE184" s="2">
        <v>136.5</v>
      </c>
    </row>
    <row r="185" spans="1:31" x14ac:dyDescent="0.2">
      <c r="A185" t="s">
        <v>34</v>
      </c>
      <c r="B185">
        <v>2018</v>
      </c>
      <c r="C185" t="s">
        <v>38</v>
      </c>
      <c r="D185" s="1">
        <f>DATE(All_India_Index_Upto_April23__1___1[[#This Row],[Year]],MATCH(All_India_Index_Upto_April23__1___1[[#This Row],[Month]],{"January","February","March","April","May","June","July","August","September","October","November","December"},0),1)</f>
        <v>43191</v>
      </c>
      <c r="E185" s="2">
        <v>136.4</v>
      </c>
      <c r="F185" s="2">
        <v>144.4</v>
      </c>
      <c r="G185">
        <v>133.9</v>
      </c>
      <c r="H185">
        <v>141.6</v>
      </c>
      <c r="I185">
        <v>121</v>
      </c>
      <c r="J185">
        <v>153.5</v>
      </c>
      <c r="K185">
        <v>132.6</v>
      </c>
      <c r="L185">
        <v>123.5</v>
      </c>
      <c r="M185">
        <v>113.7</v>
      </c>
      <c r="N185">
        <v>138.19999999999999</v>
      </c>
      <c r="O185">
        <v>129.6</v>
      </c>
      <c r="P185">
        <v>151.19999999999999</v>
      </c>
      <c r="Q185" s="2">
        <v>137.5</v>
      </c>
      <c r="R185" s="2">
        <v>156.9</v>
      </c>
      <c r="S185" s="2">
        <v>145.30000000000001</v>
      </c>
      <c r="T185" s="2">
        <v>136.69999999999999</v>
      </c>
      <c r="U185" s="3">
        <v>144</v>
      </c>
      <c r="V185" s="2" t="s">
        <v>104</v>
      </c>
      <c r="W185" s="2">
        <v>136.5</v>
      </c>
      <c r="X185" s="2">
        <v>136.6</v>
      </c>
      <c r="Y185" s="2">
        <v>135.19999999999999</v>
      </c>
      <c r="Z185" s="2">
        <v>121.9</v>
      </c>
      <c r="AA185" s="2">
        <v>131.30000000000001</v>
      </c>
      <c r="AB185" s="2">
        <v>141.4</v>
      </c>
      <c r="AC185" s="2">
        <v>129.19999999999999</v>
      </c>
      <c r="AD185" s="2">
        <v>131.30000000000001</v>
      </c>
      <c r="AE185" s="2">
        <v>137.1</v>
      </c>
    </row>
    <row r="186" spans="1:31" x14ac:dyDescent="0.2">
      <c r="A186" t="s">
        <v>34</v>
      </c>
      <c r="B186">
        <v>2018</v>
      </c>
      <c r="C186" t="s">
        <v>40</v>
      </c>
      <c r="D186" s="1">
        <f>DATE(All_India_Index_Upto_April23__1___1[[#This Row],[Year]],MATCH(All_India_Index_Upto_April23__1___1[[#This Row],[Month]],{"January","February","March","April","May","June","July","August","September","October","November","December"},0),1)</f>
        <v>43221</v>
      </c>
      <c r="E186" s="2">
        <v>136.6</v>
      </c>
      <c r="F186" s="2">
        <v>146.6</v>
      </c>
      <c r="G186">
        <v>133.6</v>
      </c>
      <c r="H186">
        <v>142.1</v>
      </c>
      <c r="I186">
        <v>121</v>
      </c>
      <c r="J186">
        <v>154.6</v>
      </c>
      <c r="K186">
        <v>135.6</v>
      </c>
      <c r="L186">
        <v>122.3</v>
      </c>
      <c r="M186">
        <v>109.6</v>
      </c>
      <c r="N186">
        <v>138.1</v>
      </c>
      <c r="O186">
        <v>129.9</v>
      </c>
      <c r="P186">
        <v>151.69999999999999</v>
      </c>
      <c r="Q186" s="2">
        <v>138.1</v>
      </c>
      <c r="R186" s="2">
        <v>157.9</v>
      </c>
      <c r="S186" s="2">
        <v>146</v>
      </c>
      <c r="T186" s="2">
        <v>137.4</v>
      </c>
      <c r="U186" s="3">
        <v>144.69999999999999</v>
      </c>
      <c r="V186" s="2" t="s">
        <v>105</v>
      </c>
      <c r="W186" s="2">
        <v>136.9</v>
      </c>
      <c r="X186" s="2">
        <v>137.4</v>
      </c>
      <c r="Y186" s="2">
        <v>136</v>
      </c>
      <c r="Z186" s="2">
        <v>122.9</v>
      </c>
      <c r="AA186" s="2">
        <v>131.80000000000001</v>
      </c>
      <c r="AB186" s="2">
        <v>142.1</v>
      </c>
      <c r="AC186" s="2">
        <v>129.9</v>
      </c>
      <c r="AD186" s="2">
        <v>132.1</v>
      </c>
      <c r="AE186" s="2">
        <v>137.80000000000001</v>
      </c>
    </row>
    <row r="187" spans="1:31" x14ac:dyDescent="0.2">
      <c r="A187" t="s">
        <v>34</v>
      </c>
      <c r="B187">
        <v>2018</v>
      </c>
      <c r="C187" t="s">
        <v>41</v>
      </c>
      <c r="D187" s="1">
        <f>DATE(All_India_Index_Upto_April23__1___1[[#This Row],[Year]],MATCH(All_India_Index_Upto_April23__1___1[[#This Row],[Month]],{"January","February","March","April","May","June","July","August","September","October","November","December"},0),1)</f>
        <v>43252</v>
      </c>
      <c r="E187" s="2">
        <v>136.9</v>
      </c>
      <c r="F187" s="2">
        <v>148.69999999999999</v>
      </c>
      <c r="G187">
        <v>135.6</v>
      </c>
      <c r="H187">
        <v>142.30000000000001</v>
      </c>
      <c r="I187">
        <v>121.3</v>
      </c>
      <c r="J187">
        <v>153.19999999999999</v>
      </c>
      <c r="K187">
        <v>143.69999999999999</v>
      </c>
      <c r="L187">
        <v>121.4</v>
      </c>
      <c r="M187">
        <v>111.1</v>
      </c>
      <c r="N187">
        <v>138.4</v>
      </c>
      <c r="O187">
        <v>130.30000000000001</v>
      </c>
      <c r="P187">
        <v>151.80000000000001</v>
      </c>
      <c r="Q187" s="2">
        <v>139.4</v>
      </c>
      <c r="R187" s="2">
        <v>158.30000000000001</v>
      </c>
      <c r="S187" s="2">
        <v>146.4</v>
      </c>
      <c r="T187" s="2">
        <v>138.1</v>
      </c>
      <c r="U187" s="3">
        <v>145.19999999999999</v>
      </c>
      <c r="V187" s="2" t="s">
        <v>106</v>
      </c>
      <c r="W187" s="2">
        <v>138.1</v>
      </c>
      <c r="X187" s="2">
        <v>137.9</v>
      </c>
      <c r="Y187" s="2">
        <v>136.19999999999999</v>
      </c>
      <c r="Z187" s="2">
        <v>123.7</v>
      </c>
      <c r="AA187" s="2">
        <v>132.6</v>
      </c>
      <c r="AB187" s="2">
        <v>142.80000000000001</v>
      </c>
      <c r="AC187" s="2">
        <v>130.1</v>
      </c>
      <c r="AD187" s="2">
        <v>132.6</v>
      </c>
      <c r="AE187" s="2">
        <v>138.5</v>
      </c>
    </row>
    <row r="188" spans="1:31" x14ac:dyDescent="0.2">
      <c r="A188" t="s">
        <v>34</v>
      </c>
      <c r="B188">
        <v>2018</v>
      </c>
      <c r="C188" t="s">
        <v>43</v>
      </c>
      <c r="D188" s="1">
        <f>DATE(All_India_Index_Upto_April23__1___1[[#This Row],[Year]],MATCH(All_India_Index_Upto_April23__1___1[[#This Row],[Month]],{"January","February","March","April","May","June","July","August","September","October","November","December"},0),1)</f>
        <v>43282</v>
      </c>
      <c r="E188" s="2">
        <v>137.5</v>
      </c>
      <c r="F188" s="2">
        <v>149.1</v>
      </c>
      <c r="G188">
        <v>139.19999999999999</v>
      </c>
      <c r="H188">
        <v>142.5</v>
      </c>
      <c r="I188">
        <v>121.4</v>
      </c>
      <c r="J188">
        <v>151.6</v>
      </c>
      <c r="K188">
        <v>155.9</v>
      </c>
      <c r="L188">
        <v>121.7</v>
      </c>
      <c r="M188">
        <v>113.5</v>
      </c>
      <c r="N188">
        <v>138.9</v>
      </c>
      <c r="O188">
        <v>130.30000000000001</v>
      </c>
      <c r="P188">
        <v>152.30000000000001</v>
      </c>
      <c r="Q188" s="2">
        <v>141.4</v>
      </c>
      <c r="R188" s="2">
        <v>157.5</v>
      </c>
      <c r="S188" s="2">
        <v>146.80000000000001</v>
      </c>
      <c r="T188" s="2">
        <v>138.4</v>
      </c>
      <c r="U188" s="3">
        <v>145.6</v>
      </c>
      <c r="V188" s="2" t="s">
        <v>107</v>
      </c>
      <c r="W188" s="2">
        <v>139.69999999999999</v>
      </c>
      <c r="X188" s="2">
        <v>138.6</v>
      </c>
      <c r="Y188" s="2">
        <v>137</v>
      </c>
      <c r="Z188" s="2">
        <v>123.6</v>
      </c>
      <c r="AA188" s="2">
        <v>133.1</v>
      </c>
      <c r="AB188" s="2">
        <v>144.69999999999999</v>
      </c>
      <c r="AC188" s="2">
        <v>130.1</v>
      </c>
      <c r="AD188" s="2">
        <v>133.19999999999999</v>
      </c>
      <c r="AE188" s="2">
        <v>139.80000000000001</v>
      </c>
    </row>
    <row r="189" spans="1:31" x14ac:dyDescent="0.2">
      <c r="A189" t="s">
        <v>34</v>
      </c>
      <c r="B189">
        <v>2018</v>
      </c>
      <c r="C189" t="s">
        <v>45</v>
      </c>
      <c r="D189" s="1">
        <f>DATE(All_India_Index_Upto_April23__1___1[[#This Row],[Year]],MATCH(All_India_Index_Upto_April23__1___1[[#This Row],[Month]],{"January","February","March","April","May","June","July","August","September","October","November","December"},0),1)</f>
        <v>43313</v>
      </c>
      <c r="E189" s="2">
        <v>138.30000000000001</v>
      </c>
      <c r="F189" s="2">
        <v>148</v>
      </c>
      <c r="G189">
        <v>138.1</v>
      </c>
      <c r="H189">
        <v>142.6</v>
      </c>
      <c r="I189">
        <v>122.2</v>
      </c>
      <c r="J189">
        <v>150.6</v>
      </c>
      <c r="K189">
        <v>156.6</v>
      </c>
      <c r="L189">
        <v>122.4</v>
      </c>
      <c r="M189">
        <v>114.7</v>
      </c>
      <c r="N189">
        <v>139.4</v>
      </c>
      <c r="O189">
        <v>131.1</v>
      </c>
      <c r="P189">
        <v>153</v>
      </c>
      <c r="Q189" s="2">
        <v>141.69999999999999</v>
      </c>
      <c r="R189" s="2">
        <v>157.9</v>
      </c>
      <c r="S189" s="2">
        <v>147.30000000000001</v>
      </c>
      <c r="T189" s="2">
        <v>138.80000000000001</v>
      </c>
      <c r="U189" s="3">
        <v>146.1</v>
      </c>
      <c r="V189" s="2" t="s">
        <v>108</v>
      </c>
      <c r="W189" s="2">
        <v>140.9</v>
      </c>
      <c r="X189" s="2">
        <v>139.4</v>
      </c>
      <c r="Y189" s="2">
        <v>137.69999999999999</v>
      </c>
      <c r="Z189" s="2">
        <v>124.3</v>
      </c>
      <c r="AA189" s="2">
        <v>133.6</v>
      </c>
      <c r="AB189" s="2">
        <v>146</v>
      </c>
      <c r="AC189" s="2">
        <v>130.1</v>
      </c>
      <c r="AD189" s="2">
        <v>133.9</v>
      </c>
      <c r="AE189" s="2">
        <v>140.4</v>
      </c>
    </row>
    <row r="190" spans="1:31" x14ac:dyDescent="0.2">
      <c r="A190" t="s">
        <v>30</v>
      </c>
      <c r="B190">
        <v>2018</v>
      </c>
      <c r="C190" t="s">
        <v>31</v>
      </c>
      <c r="D190" s="1">
        <f>DATE(All_India_Index_Upto_April23__1___1[[#This Row],[Year]],MATCH(All_India_Index_Upto_April23__1___1[[#This Row],[Month]],{"January","February","March","April","May","June","July","August","September","October","November","December"},0),1)</f>
        <v>43101</v>
      </c>
      <c r="E190" s="2">
        <v>136.6</v>
      </c>
      <c r="F190" s="2">
        <v>144.4</v>
      </c>
      <c r="G190">
        <v>143.80000000000001</v>
      </c>
      <c r="H190">
        <v>142</v>
      </c>
      <c r="I190">
        <v>123.2</v>
      </c>
      <c r="J190">
        <v>147.9</v>
      </c>
      <c r="K190">
        <v>152.1</v>
      </c>
      <c r="L190">
        <v>131.80000000000001</v>
      </c>
      <c r="M190">
        <v>119.5</v>
      </c>
      <c r="N190">
        <v>136</v>
      </c>
      <c r="O190">
        <v>131.19999999999999</v>
      </c>
      <c r="P190">
        <v>151.80000000000001</v>
      </c>
      <c r="Q190" s="2">
        <v>140.4</v>
      </c>
      <c r="R190" s="2">
        <v>153.6</v>
      </c>
      <c r="S190" s="2">
        <v>148.30000000000001</v>
      </c>
      <c r="T190" s="2">
        <v>142.30000000000001</v>
      </c>
      <c r="U190" s="3">
        <v>147.5</v>
      </c>
      <c r="V190" s="2"/>
      <c r="W190">
        <v>142.30000000000001</v>
      </c>
      <c r="X190" s="2">
        <v>139.80000000000001</v>
      </c>
      <c r="Y190" s="2">
        <v>136</v>
      </c>
      <c r="Z190" s="2">
        <v>122.7</v>
      </c>
      <c r="AA190" s="2">
        <v>134.30000000000001</v>
      </c>
      <c r="AB190" s="2">
        <v>141.6</v>
      </c>
      <c r="AC190" s="2">
        <v>128.6</v>
      </c>
      <c r="AD190" s="2">
        <v>132.30000000000001</v>
      </c>
      <c r="AE190" s="2">
        <v>139.30000000000001</v>
      </c>
    </row>
    <row r="191" spans="1:31" x14ac:dyDescent="0.2">
      <c r="A191" t="s">
        <v>32</v>
      </c>
      <c r="B191">
        <v>2018</v>
      </c>
      <c r="C191" t="s">
        <v>31</v>
      </c>
      <c r="D191" s="1">
        <f>DATE(All_India_Index_Upto_April23__1___1[[#This Row],[Year]],MATCH(All_India_Index_Upto_April23__1___1[[#This Row],[Month]],{"January","February","March","April","May","June","July","August","September","October","November","December"},0),1)</f>
        <v>43101</v>
      </c>
      <c r="E191" s="2">
        <v>134.6</v>
      </c>
      <c r="F191" s="2">
        <v>143.69999999999999</v>
      </c>
      <c r="G191">
        <v>143.6</v>
      </c>
      <c r="H191">
        <v>139.6</v>
      </c>
      <c r="I191">
        <v>116.4</v>
      </c>
      <c r="J191">
        <v>133.80000000000001</v>
      </c>
      <c r="K191">
        <v>150.5</v>
      </c>
      <c r="L191">
        <v>118.4</v>
      </c>
      <c r="M191">
        <v>117.3</v>
      </c>
      <c r="N191">
        <v>140.5</v>
      </c>
      <c r="O191">
        <v>125.9</v>
      </c>
      <c r="P191">
        <v>146.80000000000001</v>
      </c>
      <c r="Q191" s="2">
        <v>137.19999999999999</v>
      </c>
      <c r="R191" s="2">
        <v>157.69999999999999</v>
      </c>
      <c r="S191" s="2">
        <v>136</v>
      </c>
      <c r="T191" s="2">
        <v>125.9</v>
      </c>
      <c r="U191" s="3">
        <v>134.4</v>
      </c>
      <c r="V191" s="2" t="s">
        <v>101</v>
      </c>
      <c r="W191" s="2">
        <v>127.3</v>
      </c>
      <c r="X191" s="2">
        <v>129.5</v>
      </c>
      <c r="Y191" s="2">
        <v>129</v>
      </c>
      <c r="Z191" s="2">
        <v>116.3</v>
      </c>
      <c r="AA191" s="2">
        <v>126.2</v>
      </c>
      <c r="AB191" s="2">
        <v>137.1</v>
      </c>
      <c r="AC191" s="2">
        <v>125.5</v>
      </c>
      <c r="AD191" s="2">
        <v>125.8</v>
      </c>
      <c r="AE191" s="2">
        <v>134.1</v>
      </c>
    </row>
    <row r="192" spans="1:31" x14ac:dyDescent="0.2">
      <c r="A192" t="s">
        <v>34</v>
      </c>
      <c r="B192">
        <v>2018</v>
      </c>
      <c r="C192" t="s">
        <v>47</v>
      </c>
      <c r="D192" s="1">
        <f>DATE(All_India_Index_Upto_April23__1___1[[#This Row],[Year]],MATCH(All_India_Index_Upto_April23__1___1[[#This Row],[Month]],{"January","February","March","April","May","June","July","August","September","October","November","December"},0),1)</f>
        <v>43344</v>
      </c>
      <c r="E192" s="2">
        <v>138.6</v>
      </c>
      <c r="F192" s="2">
        <v>145.80000000000001</v>
      </c>
      <c r="G192">
        <v>135.1</v>
      </c>
      <c r="H192">
        <v>142.9</v>
      </c>
      <c r="I192">
        <v>122.1</v>
      </c>
      <c r="J192">
        <v>145.4</v>
      </c>
      <c r="K192">
        <v>150</v>
      </c>
      <c r="L192">
        <v>121.4</v>
      </c>
      <c r="M192">
        <v>113.7</v>
      </c>
      <c r="N192">
        <v>139.5</v>
      </c>
      <c r="O192">
        <v>130.80000000000001</v>
      </c>
      <c r="P192">
        <v>153.80000000000001</v>
      </c>
      <c r="Q192" s="2">
        <v>140.4</v>
      </c>
      <c r="R192" s="2">
        <v>159.19999999999999</v>
      </c>
      <c r="S192" s="2">
        <v>147.69999999999999</v>
      </c>
      <c r="T192" s="2">
        <v>139.1</v>
      </c>
      <c r="U192" s="3">
        <v>146.5</v>
      </c>
      <c r="V192" s="2" t="s">
        <v>109</v>
      </c>
      <c r="W192" s="2">
        <v>142.30000000000001</v>
      </c>
      <c r="X192" s="2">
        <v>139.69999999999999</v>
      </c>
      <c r="Y192" s="2">
        <v>138.4</v>
      </c>
      <c r="Z192" s="2">
        <v>126</v>
      </c>
      <c r="AA192" s="2">
        <v>134.5</v>
      </c>
      <c r="AB192" s="2">
        <v>146.19999999999999</v>
      </c>
      <c r="AC192" s="2">
        <v>130.9</v>
      </c>
      <c r="AD192" s="2">
        <v>134.69999999999999</v>
      </c>
      <c r="AE192" s="2">
        <v>140.19999999999999</v>
      </c>
    </row>
    <row r="193" spans="1:31" x14ac:dyDescent="0.2">
      <c r="A193" t="s">
        <v>30</v>
      </c>
      <c r="B193">
        <v>2018</v>
      </c>
      <c r="C193" t="s">
        <v>35</v>
      </c>
      <c r="D193" s="1">
        <f>DATE(All_India_Index_Upto_April23__1___1[[#This Row],[Year]],MATCH(All_India_Index_Upto_April23__1___1[[#This Row],[Month]],{"January","February","March","April","May","June","July","August","September","October","November","December"},0),1)</f>
        <v>43132</v>
      </c>
      <c r="E193" s="2">
        <v>136.4</v>
      </c>
      <c r="F193" s="2">
        <v>143.69999999999999</v>
      </c>
      <c r="G193">
        <v>140.6</v>
      </c>
      <c r="H193">
        <v>141.5</v>
      </c>
      <c r="I193">
        <v>122.9</v>
      </c>
      <c r="J193">
        <v>149.4</v>
      </c>
      <c r="K193">
        <v>142.4</v>
      </c>
      <c r="L193">
        <v>130.19999999999999</v>
      </c>
      <c r="M193">
        <v>117.9</v>
      </c>
      <c r="N193">
        <v>135.6</v>
      </c>
      <c r="O193">
        <v>130.5</v>
      </c>
      <c r="P193">
        <v>151.69999999999999</v>
      </c>
      <c r="Q193" s="2">
        <v>138.69999999999999</v>
      </c>
      <c r="R193" s="2">
        <v>153.30000000000001</v>
      </c>
      <c r="S193" s="2">
        <v>148.69999999999999</v>
      </c>
      <c r="T193" s="2">
        <v>142.4</v>
      </c>
      <c r="U193" s="3">
        <v>147.80000000000001</v>
      </c>
      <c r="V193" s="2"/>
      <c r="W193">
        <v>142.4</v>
      </c>
      <c r="X193" s="2">
        <v>139.9</v>
      </c>
      <c r="Y193" s="2">
        <v>136.19999999999999</v>
      </c>
      <c r="Z193" s="2">
        <v>123.3</v>
      </c>
      <c r="AA193" s="2">
        <v>134.30000000000001</v>
      </c>
      <c r="AB193" s="2">
        <v>141.5</v>
      </c>
      <c r="AC193" s="2">
        <v>128.80000000000001</v>
      </c>
      <c r="AD193" s="2">
        <v>132.5</v>
      </c>
      <c r="AE193" s="2">
        <v>138.5</v>
      </c>
    </row>
    <row r="194" spans="1:31" x14ac:dyDescent="0.2">
      <c r="A194" t="s">
        <v>32</v>
      </c>
      <c r="B194">
        <v>2018</v>
      </c>
      <c r="C194" t="s">
        <v>35</v>
      </c>
      <c r="D194" s="1">
        <f>DATE(All_India_Index_Upto_April23__1___1[[#This Row],[Year]],MATCH(All_India_Index_Upto_April23__1___1[[#This Row],[Month]],{"January","February","March","April","May","June","July","August","September","October","November","December"},0),1)</f>
        <v>43132</v>
      </c>
      <c r="E194" s="2">
        <v>134.80000000000001</v>
      </c>
      <c r="F194" s="2">
        <v>143</v>
      </c>
      <c r="G194">
        <v>139.9</v>
      </c>
      <c r="H194">
        <v>139.9</v>
      </c>
      <c r="I194">
        <v>116.2</v>
      </c>
      <c r="J194">
        <v>135.5</v>
      </c>
      <c r="K194">
        <v>136.9</v>
      </c>
      <c r="L194">
        <v>117</v>
      </c>
      <c r="M194">
        <v>115.4</v>
      </c>
      <c r="N194">
        <v>140.69999999999999</v>
      </c>
      <c r="O194">
        <v>125.9</v>
      </c>
      <c r="P194">
        <v>147.1</v>
      </c>
      <c r="Q194" s="2">
        <v>135.6</v>
      </c>
      <c r="R194" s="2">
        <v>159.30000000000001</v>
      </c>
      <c r="S194" s="2">
        <v>136.30000000000001</v>
      </c>
      <c r="T194" s="2">
        <v>126.1</v>
      </c>
      <c r="U194" s="3">
        <v>134.69999999999999</v>
      </c>
      <c r="V194" s="2" t="s">
        <v>102</v>
      </c>
      <c r="W194" s="2">
        <v>127.3</v>
      </c>
      <c r="X194" s="2">
        <v>129.9</v>
      </c>
      <c r="Y194" s="2">
        <v>129.80000000000001</v>
      </c>
      <c r="Z194" s="2">
        <v>117.4</v>
      </c>
      <c r="AA194" s="2">
        <v>126.5</v>
      </c>
      <c r="AB194" s="2">
        <v>137.19999999999999</v>
      </c>
      <c r="AC194" s="2">
        <v>126.2</v>
      </c>
      <c r="AD194" s="2">
        <v>126.5</v>
      </c>
      <c r="AE194" s="2">
        <v>134</v>
      </c>
    </row>
    <row r="195" spans="1:31" x14ac:dyDescent="0.2">
      <c r="A195" t="s">
        <v>34</v>
      </c>
      <c r="B195">
        <v>2018</v>
      </c>
      <c r="C195" t="s">
        <v>49</v>
      </c>
      <c r="D195" s="1">
        <f>DATE(All_India_Index_Upto_April23__1___1[[#This Row],[Year]],MATCH(All_India_Index_Upto_April23__1___1[[#This Row],[Month]],{"January","February","March","April","May","June","July","August","September","October","November","December"},0),1)</f>
        <v>43374</v>
      </c>
      <c r="E195" s="2">
        <v>137.4</v>
      </c>
      <c r="F195" s="2">
        <v>149.5</v>
      </c>
      <c r="G195">
        <v>137.30000000000001</v>
      </c>
      <c r="H195">
        <v>141.9</v>
      </c>
      <c r="I195">
        <v>121.1</v>
      </c>
      <c r="J195">
        <v>142.5</v>
      </c>
      <c r="K195">
        <v>146.69999999999999</v>
      </c>
      <c r="L195">
        <v>119.1</v>
      </c>
      <c r="M195">
        <v>111.9</v>
      </c>
      <c r="N195">
        <v>141</v>
      </c>
      <c r="O195">
        <v>133.6</v>
      </c>
      <c r="P195">
        <v>154.5</v>
      </c>
      <c r="Q195" s="2">
        <v>139.69999999999999</v>
      </c>
      <c r="R195" s="2">
        <v>162.6</v>
      </c>
      <c r="S195" s="2">
        <v>148</v>
      </c>
      <c r="T195" s="2">
        <v>139.19999999999999</v>
      </c>
      <c r="U195" s="3">
        <v>146.80000000000001</v>
      </c>
      <c r="V195" s="2" t="s">
        <v>111</v>
      </c>
      <c r="W195" s="2">
        <v>145.30000000000001</v>
      </c>
      <c r="X195" s="2">
        <v>142.19999999999999</v>
      </c>
      <c r="Y195" s="2">
        <v>142.1</v>
      </c>
      <c r="Z195" s="2">
        <v>125.5</v>
      </c>
      <c r="AA195" s="2">
        <v>136.5</v>
      </c>
      <c r="AB195" s="2">
        <v>147.80000000000001</v>
      </c>
      <c r="AC195" s="2">
        <v>132</v>
      </c>
      <c r="AD195" s="2">
        <v>136.30000000000001</v>
      </c>
      <c r="AE195" s="2">
        <v>140.80000000000001</v>
      </c>
    </row>
    <row r="196" spans="1:31" x14ac:dyDescent="0.2">
      <c r="A196" t="s">
        <v>30</v>
      </c>
      <c r="B196">
        <v>2018</v>
      </c>
      <c r="C196" t="s">
        <v>37</v>
      </c>
      <c r="D196" s="1">
        <f>DATE(All_India_Index_Upto_April23__1___1[[#This Row],[Year]],MATCH(All_India_Index_Upto_April23__1___1[[#This Row],[Month]],{"January","February","March","April","May","June","July","August","September","October","November","December"},0),1)</f>
        <v>43160</v>
      </c>
      <c r="E196" s="2">
        <v>136.80000000000001</v>
      </c>
      <c r="F196" s="2">
        <v>143.80000000000001</v>
      </c>
      <c r="G196">
        <v>140</v>
      </c>
      <c r="H196">
        <v>142</v>
      </c>
      <c r="I196">
        <v>123.2</v>
      </c>
      <c r="J196">
        <v>152.9</v>
      </c>
      <c r="K196">
        <v>138</v>
      </c>
      <c r="L196">
        <v>129.30000000000001</v>
      </c>
      <c r="M196">
        <v>117.1</v>
      </c>
      <c r="N196">
        <v>136.30000000000001</v>
      </c>
      <c r="O196">
        <v>131.19999999999999</v>
      </c>
      <c r="P196">
        <v>152.80000000000001</v>
      </c>
      <c r="Q196" s="2">
        <v>138.6</v>
      </c>
      <c r="R196" s="2">
        <v>155.1</v>
      </c>
      <c r="S196" s="2">
        <v>149.19999999999999</v>
      </c>
      <c r="T196" s="2">
        <v>143</v>
      </c>
      <c r="U196" s="3">
        <v>148.30000000000001</v>
      </c>
      <c r="V196" s="2"/>
      <c r="W196">
        <v>142.6</v>
      </c>
      <c r="X196" s="2">
        <v>139.9</v>
      </c>
      <c r="Y196" s="2">
        <v>136.69999999999999</v>
      </c>
      <c r="Z196" s="2">
        <v>124.6</v>
      </c>
      <c r="AA196" s="2">
        <v>135.1</v>
      </c>
      <c r="AB196" s="2">
        <v>142.69999999999999</v>
      </c>
      <c r="AC196" s="2">
        <v>129.30000000000001</v>
      </c>
      <c r="AD196" s="2">
        <v>133.30000000000001</v>
      </c>
      <c r="AE196" s="2">
        <v>138.69999999999999</v>
      </c>
    </row>
    <row r="197" spans="1:31" x14ac:dyDescent="0.2">
      <c r="A197" t="s">
        <v>32</v>
      </c>
      <c r="B197">
        <v>2018</v>
      </c>
      <c r="C197" t="s">
        <v>37</v>
      </c>
      <c r="D197" s="1">
        <f>DATE(All_India_Index_Upto_April23__1___1[[#This Row],[Year]],MATCH(All_India_Index_Upto_April23__1___1[[#This Row],[Month]],{"January","February","March","April","May","June","July","August","September","October","November","December"},0),1)</f>
        <v>43160</v>
      </c>
      <c r="E197" s="2">
        <v>135</v>
      </c>
      <c r="F197" s="2">
        <v>143.1</v>
      </c>
      <c r="G197">
        <v>135.5</v>
      </c>
      <c r="H197">
        <v>139.9</v>
      </c>
      <c r="I197">
        <v>116.5</v>
      </c>
      <c r="J197">
        <v>138.5</v>
      </c>
      <c r="K197">
        <v>128</v>
      </c>
      <c r="L197">
        <v>115.5</v>
      </c>
      <c r="M197">
        <v>114.2</v>
      </c>
      <c r="N197">
        <v>140.69999999999999</v>
      </c>
      <c r="O197">
        <v>126.2</v>
      </c>
      <c r="P197">
        <v>147.6</v>
      </c>
      <c r="Q197" s="2">
        <v>134.80000000000001</v>
      </c>
      <c r="R197" s="2">
        <v>159.69999999999999</v>
      </c>
      <c r="S197" s="2">
        <v>136.69999999999999</v>
      </c>
      <c r="T197" s="2">
        <v>126.7</v>
      </c>
      <c r="U197" s="3">
        <v>135.19999999999999</v>
      </c>
      <c r="V197" s="2" t="s">
        <v>103</v>
      </c>
      <c r="W197" s="2">
        <v>126.4</v>
      </c>
      <c r="X197" s="2">
        <v>130.80000000000001</v>
      </c>
      <c r="Y197" s="2">
        <v>130.5</v>
      </c>
      <c r="Z197" s="2">
        <v>117.8</v>
      </c>
      <c r="AA197" s="2">
        <v>126.8</v>
      </c>
      <c r="AB197" s="2">
        <v>137.80000000000001</v>
      </c>
      <c r="AC197" s="2">
        <v>126.7</v>
      </c>
      <c r="AD197" s="2">
        <v>127.1</v>
      </c>
      <c r="AE197" s="2">
        <v>134</v>
      </c>
    </row>
    <row r="198" spans="1:31" x14ac:dyDescent="0.2">
      <c r="A198" t="s">
        <v>34</v>
      </c>
      <c r="B198">
        <v>2018</v>
      </c>
      <c r="C198" t="s">
        <v>51</v>
      </c>
      <c r="D198" s="1">
        <f>DATE(All_India_Index_Upto_April23__1___1[[#This Row],[Year]],MATCH(All_India_Index_Upto_April23__1___1[[#This Row],[Month]],{"January","February","March","April","May","June","July","August","September","October","November","December"},0),1)</f>
        <v>43405</v>
      </c>
      <c r="E198" s="2">
        <v>137.4</v>
      </c>
      <c r="F198" s="2">
        <v>149.19999999999999</v>
      </c>
      <c r="G198">
        <v>137.1</v>
      </c>
      <c r="H198">
        <v>141.80000000000001</v>
      </c>
      <c r="I198">
        <v>121.1</v>
      </c>
      <c r="J198">
        <v>142.80000000000001</v>
      </c>
      <c r="K198">
        <v>146.69999999999999</v>
      </c>
      <c r="L198">
        <v>119.1</v>
      </c>
      <c r="M198">
        <v>111.9</v>
      </c>
      <c r="N198">
        <v>140.9</v>
      </c>
      <c r="O198">
        <v>133.5</v>
      </c>
      <c r="P198">
        <v>154.5</v>
      </c>
      <c r="Q198" s="2">
        <v>139.69999999999999</v>
      </c>
      <c r="R198" s="2">
        <v>162.6</v>
      </c>
      <c r="S198" s="2">
        <v>148</v>
      </c>
      <c r="T198" s="2">
        <v>139.1</v>
      </c>
      <c r="U198" s="3">
        <v>146.69999999999999</v>
      </c>
      <c r="V198" s="2" t="s">
        <v>111</v>
      </c>
      <c r="W198" s="2">
        <v>145.1</v>
      </c>
      <c r="X198" s="2">
        <v>142.19999999999999</v>
      </c>
      <c r="Y198" s="2">
        <v>142.1</v>
      </c>
      <c r="Z198" s="2">
        <v>125.5</v>
      </c>
      <c r="AA198" s="2">
        <v>136.5</v>
      </c>
      <c r="AB198" s="2">
        <v>147.80000000000001</v>
      </c>
      <c r="AC198" s="2">
        <v>132</v>
      </c>
      <c r="AD198" s="2">
        <v>136.30000000000001</v>
      </c>
      <c r="AE198" s="2">
        <v>140.80000000000001</v>
      </c>
    </row>
    <row r="199" spans="1:31" x14ac:dyDescent="0.2">
      <c r="A199" t="s">
        <v>30</v>
      </c>
      <c r="B199">
        <v>2018</v>
      </c>
      <c r="C199" t="s">
        <v>38</v>
      </c>
      <c r="D199" s="1">
        <f>DATE(All_India_Index_Upto_April23__1___1[[#This Row],[Year]],MATCH(All_India_Index_Upto_April23__1___1[[#This Row],[Month]],{"January","February","March","April","May","June","July","August","September","October","November","December"},0),1)</f>
        <v>43191</v>
      </c>
      <c r="E199" s="2">
        <v>137.1</v>
      </c>
      <c r="F199" s="2">
        <v>144.5</v>
      </c>
      <c r="G199">
        <v>135.9</v>
      </c>
      <c r="H199">
        <v>142.4</v>
      </c>
      <c r="I199">
        <v>123.5</v>
      </c>
      <c r="J199">
        <v>156.4</v>
      </c>
      <c r="K199">
        <v>135.1</v>
      </c>
      <c r="L199">
        <v>128.4</v>
      </c>
      <c r="M199">
        <v>115.2</v>
      </c>
      <c r="N199">
        <v>137.19999999999999</v>
      </c>
      <c r="O199">
        <v>131.9</v>
      </c>
      <c r="P199">
        <v>153.80000000000001</v>
      </c>
      <c r="Q199" s="2">
        <v>138.6</v>
      </c>
      <c r="R199" s="2">
        <v>156.1</v>
      </c>
      <c r="S199" s="2">
        <v>150.1</v>
      </c>
      <c r="T199" s="2">
        <v>143.30000000000001</v>
      </c>
      <c r="U199" s="3">
        <v>149.1</v>
      </c>
      <c r="V199" s="2"/>
      <c r="W199">
        <v>143.80000000000001</v>
      </c>
      <c r="X199" s="2">
        <v>140.9</v>
      </c>
      <c r="Y199" s="2">
        <v>137.6</v>
      </c>
      <c r="Z199" s="2">
        <v>125.3</v>
      </c>
      <c r="AA199" s="2">
        <v>136</v>
      </c>
      <c r="AB199" s="2">
        <v>143.69999999999999</v>
      </c>
      <c r="AC199" s="2">
        <v>130.4</v>
      </c>
      <c r="AD199" s="2">
        <v>134.19999999999999</v>
      </c>
      <c r="AE199" s="2">
        <v>139.1</v>
      </c>
    </row>
    <row r="200" spans="1:31" x14ac:dyDescent="0.2">
      <c r="A200" t="s">
        <v>32</v>
      </c>
      <c r="B200">
        <v>2018</v>
      </c>
      <c r="C200" t="s">
        <v>38</v>
      </c>
      <c r="D200" s="1">
        <f>DATE(All_India_Index_Upto_April23__1___1[[#This Row],[Year]],MATCH(All_India_Index_Upto_April23__1___1[[#This Row],[Month]],{"January","February","March","April","May","June","July","August","September","October","November","December"},0),1)</f>
        <v>43191</v>
      </c>
      <c r="E200" s="2">
        <v>135</v>
      </c>
      <c r="F200" s="2">
        <v>144.30000000000001</v>
      </c>
      <c r="G200">
        <v>130.80000000000001</v>
      </c>
      <c r="H200">
        <v>140.30000000000001</v>
      </c>
      <c r="I200">
        <v>116.6</v>
      </c>
      <c r="J200">
        <v>150.1</v>
      </c>
      <c r="K200">
        <v>127.6</v>
      </c>
      <c r="L200">
        <v>114</v>
      </c>
      <c r="M200">
        <v>110.6</v>
      </c>
      <c r="N200">
        <v>140.19999999999999</v>
      </c>
      <c r="O200">
        <v>126.5</v>
      </c>
      <c r="P200">
        <v>148.30000000000001</v>
      </c>
      <c r="Q200" s="2">
        <v>135.69999999999999</v>
      </c>
      <c r="R200" s="2">
        <v>159.19999999999999</v>
      </c>
      <c r="S200" s="2">
        <v>137.80000000000001</v>
      </c>
      <c r="T200" s="2">
        <v>127.4</v>
      </c>
      <c r="U200" s="3">
        <v>136.19999999999999</v>
      </c>
      <c r="V200" s="2" t="s">
        <v>104</v>
      </c>
      <c r="W200" s="2">
        <v>124.6</v>
      </c>
      <c r="X200" s="2">
        <v>131.80000000000001</v>
      </c>
      <c r="Y200" s="2">
        <v>131.30000000000001</v>
      </c>
      <c r="Z200" s="2">
        <v>118.9</v>
      </c>
      <c r="AA200" s="2">
        <v>127.6</v>
      </c>
      <c r="AB200" s="2">
        <v>139.69999999999999</v>
      </c>
      <c r="AC200" s="2">
        <v>127.6</v>
      </c>
      <c r="AD200" s="2">
        <v>128.19999999999999</v>
      </c>
      <c r="AE200" s="2">
        <v>134.80000000000001</v>
      </c>
    </row>
    <row r="201" spans="1:31" x14ac:dyDescent="0.2">
      <c r="A201" t="s">
        <v>34</v>
      </c>
      <c r="B201">
        <v>2018</v>
      </c>
      <c r="C201" t="s">
        <v>53</v>
      </c>
      <c r="D201" s="1">
        <f>DATE(All_India_Index_Upto_April23__1___1[[#This Row],[Year]],MATCH(All_India_Index_Upto_April23__1___1[[#This Row],[Month]],{"January","February","March","April","May","June","July","August","September","October","November","December"},0),1)</f>
        <v>43435</v>
      </c>
      <c r="E201" s="2">
        <v>137.5</v>
      </c>
      <c r="F201" s="2">
        <v>150.5</v>
      </c>
      <c r="G201">
        <v>138.80000000000001</v>
      </c>
      <c r="H201">
        <v>142.1</v>
      </c>
      <c r="I201">
        <v>122</v>
      </c>
      <c r="J201">
        <v>139.4</v>
      </c>
      <c r="K201">
        <v>135.19999999999999</v>
      </c>
      <c r="L201">
        <v>119.8</v>
      </c>
      <c r="M201">
        <v>110.3</v>
      </c>
      <c r="N201">
        <v>140.6</v>
      </c>
      <c r="O201">
        <v>133.80000000000001</v>
      </c>
      <c r="P201">
        <v>154.6</v>
      </c>
      <c r="Q201" s="2">
        <v>138.19999999999999</v>
      </c>
      <c r="R201" s="2">
        <v>163</v>
      </c>
      <c r="S201" s="2">
        <v>148.1</v>
      </c>
      <c r="T201" s="2">
        <v>139.4</v>
      </c>
      <c r="U201" s="3">
        <v>146.80000000000001</v>
      </c>
      <c r="V201" s="2" t="s">
        <v>112</v>
      </c>
      <c r="W201" s="2">
        <v>142.69999999999999</v>
      </c>
      <c r="X201" s="2">
        <v>143.19999999999999</v>
      </c>
      <c r="Y201" s="2">
        <v>144.9</v>
      </c>
      <c r="Z201" s="2">
        <v>123.6</v>
      </c>
      <c r="AA201" s="2">
        <v>136.80000000000001</v>
      </c>
      <c r="AB201" s="2">
        <v>150.1</v>
      </c>
      <c r="AC201" s="2">
        <v>132.19999999999999</v>
      </c>
      <c r="AD201" s="2">
        <v>136.80000000000001</v>
      </c>
      <c r="AE201" s="2">
        <v>140.1</v>
      </c>
    </row>
    <row r="202" spans="1:31" x14ac:dyDescent="0.2">
      <c r="A202" t="s">
        <v>30</v>
      </c>
      <c r="B202">
        <v>2018</v>
      </c>
      <c r="C202" t="s">
        <v>40</v>
      </c>
      <c r="D202" s="1">
        <f>DATE(All_India_Index_Upto_April23__1___1[[#This Row],[Year]],MATCH(All_India_Index_Upto_April23__1___1[[#This Row],[Month]],{"January","February","March","April","May","June","July","August","September","October","November","December"},0),1)</f>
        <v>43221</v>
      </c>
      <c r="E202" s="2">
        <v>137.4</v>
      </c>
      <c r="F202" s="2">
        <v>145.69999999999999</v>
      </c>
      <c r="G202">
        <v>135.5</v>
      </c>
      <c r="H202">
        <v>142.9</v>
      </c>
      <c r="I202">
        <v>123.6</v>
      </c>
      <c r="J202">
        <v>157.5</v>
      </c>
      <c r="K202">
        <v>137.80000000000001</v>
      </c>
      <c r="L202">
        <v>127.2</v>
      </c>
      <c r="M202">
        <v>111.8</v>
      </c>
      <c r="N202">
        <v>137.4</v>
      </c>
      <c r="O202">
        <v>132.19999999999999</v>
      </c>
      <c r="P202">
        <v>154.30000000000001</v>
      </c>
      <c r="Q202" s="2">
        <v>139.1</v>
      </c>
      <c r="R202" s="2">
        <v>157</v>
      </c>
      <c r="S202" s="2">
        <v>150.80000000000001</v>
      </c>
      <c r="T202" s="2">
        <v>144.1</v>
      </c>
      <c r="U202" s="3">
        <v>149.80000000000001</v>
      </c>
      <c r="V202" s="2"/>
      <c r="W202">
        <v>144.30000000000001</v>
      </c>
      <c r="X202" s="2">
        <v>141.80000000000001</v>
      </c>
      <c r="Y202" s="2">
        <v>138.4</v>
      </c>
      <c r="Z202" s="2">
        <v>126.4</v>
      </c>
      <c r="AA202" s="2">
        <v>136.80000000000001</v>
      </c>
      <c r="AB202" s="2">
        <v>144.4</v>
      </c>
      <c r="AC202" s="2">
        <v>131.19999999999999</v>
      </c>
      <c r="AD202" s="2">
        <v>135.1</v>
      </c>
      <c r="AE202" s="2">
        <v>139.80000000000001</v>
      </c>
    </row>
    <row r="203" spans="1:31" x14ac:dyDescent="0.2">
      <c r="A203" t="s">
        <v>32</v>
      </c>
      <c r="B203">
        <v>2018</v>
      </c>
      <c r="C203" t="s">
        <v>40</v>
      </c>
      <c r="D203" s="1">
        <f>DATE(All_India_Index_Upto_April23__1___1[[#This Row],[Year]],MATCH(All_India_Index_Upto_April23__1___1[[#This Row],[Month]],{"January","February","March","April","May","June","July","August","September","October","November","December"},0),1)</f>
        <v>43221</v>
      </c>
      <c r="E203" s="2">
        <v>135</v>
      </c>
      <c r="F203" s="2">
        <v>148.19999999999999</v>
      </c>
      <c r="G203">
        <v>130.5</v>
      </c>
      <c r="H203">
        <v>140.69999999999999</v>
      </c>
      <c r="I203">
        <v>116.4</v>
      </c>
      <c r="J203">
        <v>151.30000000000001</v>
      </c>
      <c r="K203">
        <v>131.4</v>
      </c>
      <c r="L203">
        <v>112.8</v>
      </c>
      <c r="M203">
        <v>105.3</v>
      </c>
      <c r="N203">
        <v>139.6</v>
      </c>
      <c r="O203">
        <v>126.6</v>
      </c>
      <c r="P203">
        <v>148.69999999999999</v>
      </c>
      <c r="Q203" s="2">
        <v>136.4</v>
      </c>
      <c r="R203" s="2">
        <v>160.30000000000001</v>
      </c>
      <c r="S203" s="2">
        <v>138.6</v>
      </c>
      <c r="T203" s="2">
        <v>127.9</v>
      </c>
      <c r="U203" s="3">
        <v>137</v>
      </c>
      <c r="V203" s="2" t="s">
        <v>105</v>
      </c>
      <c r="W203" s="2">
        <v>124.7</v>
      </c>
      <c r="X203" s="2">
        <v>132.5</v>
      </c>
      <c r="Y203" s="2">
        <v>132</v>
      </c>
      <c r="Z203" s="2">
        <v>119.8</v>
      </c>
      <c r="AA203" s="2">
        <v>128</v>
      </c>
      <c r="AB203" s="2">
        <v>140.4</v>
      </c>
      <c r="AC203" s="2">
        <v>128.1</v>
      </c>
      <c r="AD203" s="2">
        <v>128.9</v>
      </c>
      <c r="AE203" s="2">
        <v>135.4</v>
      </c>
    </row>
    <row r="204" spans="1:31" x14ac:dyDescent="0.2">
      <c r="A204" t="s">
        <v>30</v>
      </c>
      <c r="B204">
        <v>2018</v>
      </c>
      <c r="C204" t="s">
        <v>41</v>
      </c>
      <c r="D204" s="1">
        <f>DATE(All_India_Index_Upto_April23__1___1[[#This Row],[Year]],MATCH(All_India_Index_Upto_April23__1___1[[#This Row],[Month]],{"January","February","March","April","May","June","July","August","September","October","November","December"},0),1)</f>
        <v>43252</v>
      </c>
      <c r="E204" s="2">
        <v>137.6</v>
      </c>
      <c r="F204" s="2">
        <v>148.1</v>
      </c>
      <c r="G204">
        <v>136.69999999999999</v>
      </c>
      <c r="H204">
        <v>143.19999999999999</v>
      </c>
      <c r="I204">
        <v>124</v>
      </c>
      <c r="J204">
        <v>154.1</v>
      </c>
      <c r="K204">
        <v>143.5</v>
      </c>
      <c r="L204">
        <v>126</v>
      </c>
      <c r="M204">
        <v>112.4</v>
      </c>
      <c r="N204">
        <v>137.6</v>
      </c>
      <c r="O204">
        <v>132.80000000000001</v>
      </c>
      <c r="P204">
        <v>154.30000000000001</v>
      </c>
      <c r="Q204" s="2">
        <v>140</v>
      </c>
      <c r="R204" s="2">
        <v>157.30000000000001</v>
      </c>
      <c r="S204" s="2">
        <v>151.30000000000001</v>
      </c>
      <c r="T204" s="2">
        <v>144.69999999999999</v>
      </c>
      <c r="U204" s="3">
        <v>150.30000000000001</v>
      </c>
      <c r="V204" s="2"/>
      <c r="W204">
        <v>145.1</v>
      </c>
      <c r="X204" s="2">
        <v>142.19999999999999</v>
      </c>
      <c r="Y204" s="2">
        <v>138.4</v>
      </c>
      <c r="Z204" s="2">
        <v>127.4</v>
      </c>
      <c r="AA204" s="2">
        <v>137.80000000000001</v>
      </c>
      <c r="AB204" s="2">
        <v>145.1</v>
      </c>
      <c r="AC204" s="2">
        <v>131.4</v>
      </c>
      <c r="AD204" s="2">
        <v>135.6</v>
      </c>
      <c r="AE204" s="2">
        <v>140.5</v>
      </c>
    </row>
    <row r="205" spans="1:31" x14ac:dyDescent="0.2">
      <c r="A205" t="s">
        <v>32</v>
      </c>
      <c r="B205">
        <v>2018</v>
      </c>
      <c r="C205" t="s">
        <v>41</v>
      </c>
      <c r="D205" s="1">
        <f>DATE(All_India_Index_Upto_April23__1___1[[#This Row],[Year]],MATCH(All_India_Index_Upto_April23__1___1[[#This Row],[Month]],{"January","February","March","April","May","June","July","August","September","October","November","December"},0),1)</f>
        <v>43252</v>
      </c>
      <c r="E205" s="2">
        <v>135.30000000000001</v>
      </c>
      <c r="F205" s="2">
        <v>149.69999999999999</v>
      </c>
      <c r="G205">
        <v>133.9</v>
      </c>
      <c r="H205">
        <v>140.80000000000001</v>
      </c>
      <c r="I205">
        <v>116.6</v>
      </c>
      <c r="J205">
        <v>152.19999999999999</v>
      </c>
      <c r="K205">
        <v>144</v>
      </c>
      <c r="L205">
        <v>112.3</v>
      </c>
      <c r="M205">
        <v>108.4</v>
      </c>
      <c r="N205">
        <v>140</v>
      </c>
      <c r="O205">
        <v>126.7</v>
      </c>
      <c r="P205">
        <v>149</v>
      </c>
      <c r="Q205" s="2">
        <v>138.4</v>
      </c>
      <c r="R205" s="2">
        <v>161</v>
      </c>
      <c r="S205" s="2">
        <v>138.9</v>
      </c>
      <c r="T205" s="2">
        <v>128.69999999999999</v>
      </c>
      <c r="U205" s="3">
        <v>137.4</v>
      </c>
      <c r="V205" s="2" t="s">
        <v>106</v>
      </c>
      <c r="W205" s="2">
        <v>126.5</v>
      </c>
      <c r="X205" s="2">
        <v>133.1</v>
      </c>
      <c r="Y205" s="2">
        <v>132.6</v>
      </c>
      <c r="Z205" s="2">
        <v>120.4</v>
      </c>
      <c r="AA205" s="2">
        <v>128.5</v>
      </c>
      <c r="AB205" s="2">
        <v>141.19999999999999</v>
      </c>
      <c r="AC205" s="2">
        <v>128.19999999999999</v>
      </c>
      <c r="AD205" s="2">
        <v>129.5</v>
      </c>
      <c r="AE205" s="2">
        <v>136.19999999999999</v>
      </c>
    </row>
    <row r="206" spans="1:31" x14ac:dyDescent="0.2">
      <c r="A206" t="s">
        <v>30</v>
      </c>
      <c r="B206">
        <v>2018</v>
      </c>
      <c r="C206" t="s">
        <v>43</v>
      </c>
      <c r="D206" s="1">
        <f>DATE(All_India_Index_Upto_April23__1___1[[#This Row],[Year]],MATCH(All_India_Index_Upto_April23__1___1[[#This Row],[Month]],{"January","February","March","April","May","June","July","August","September","October","November","December"},0),1)</f>
        <v>43282</v>
      </c>
      <c r="E206" s="2">
        <v>138.4</v>
      </c>
      <c r="F206" s="2">
        <v>149.30000000000001</v>
      </c>
      <c r="G206">
        <v>139.30000000000001</v>
      </c>
      <c r="H206">
        <v>143.4</v>
      </c>
      <c r="I206">
        <v>124.1</v>
      </c>
      <c r="J206">
        <v>153.30000000000001</v>
      </c>
      <c r="K206">
        <v>154.19999999999999</v>
      </c>
      <c r="L206">
        <v>126.4</v>
      </c>
      <c r="M206">
        <v>114.3</v>
      </c>
      <c r="N206">
        <v>138.19999999999999</v>
      </c>
      <c r="O206">
        <v>132.80000000000001</v>
      </c>
      <c r="P206">
        <v>154.80000000000001</v>
      </c>
      <c r="Q206" s="2">
        <v>142</v>
      </c>
      <c r="R206" s="2">
        <v>156.1</v>
      </c>
      <c r="S206" s="2">
        <v>151.5</v>
      </c>
      <c r="T206" s="2">
        <v>145.1</v>
      </c>
      <c r="U206" s="3">
        <v>150.6</v>
      </c>
      <c r="V206" s="2"/>
      <c r="W206">
        <v>146.80000000000001</v>
      </c>
      <c r="X206" s="2">
        <v>143.1</v>
      </c>
      <c r="Y206" s="2">
        <v>139</v>
      </c>
      <c r="Z206" s="2">
        <v>127.5</v>
      </c>
      <c r="AA206" s="2">
        <v>138.4</v>
      </c>
      <c r="AB206" s="2">
        <v>145.80000000000001</v>
      </c>
      <c r="AC206" s="2">
        <v>131.4</v>
      </c>
      <c r="AD206" s="2">
        <v>136</v>
      </c>
      <c r="AE206" s="2">
        <v>141.80000000000001</v>
      </c>
    </row>
    <row r="207" spans="1:31" x14ac:dyDescent="0.2">
      <c r="A207" t="s">
        <v>32</v>
      </c>
      <c r="B207">
        <v>2018</v>
      </c>
      <c r="C207" t="s">
        <v>43</v>
      </c>
      <c r="D207" s="1">
        <f>DATE(All_India_Index_Upto_April23__1___1[[#This Row],[Year]],MATCH(All_India_Index_Upto_April23__1___1[[#This Row],[Month]],{"January","February","March","April","May","June","July","August","September","October","November","December"},0),1)</f>
        <v>43282</v>
      </c>
      <c r="E207" s="2">
        <v>135.6</v>
      </c>
      <c r="F207" s="2">
        <v>148.6</v>
      </c>
      <c r="G207">
        <v>139.1</v>
      </c>
      <c r="H207">
        <v>141</v>
      </c>
      <c r="I207">
        <v>116.7</v>
      </c>
      <c r="J207">
        <v>149.69999999999999</v>
      </c>
      <c r="K207">
        <v>159.19999999999999</v>
      </c>
      <c r="L207">
        <v>112.6</v>
      </c>
      <c r="M207">
        <v>111.8</v>
      </c>
      <c r="N207">
        <v>140.30000000000001</v>
      </c>
      <c r="O207">
        <v>126.8</v>
      </c>
      <c r="P207">
        <v>149.4</v>
      </c>
      <c r="Q207" s="2">
        <v>140.30000000000001</v>
      </c>
      <c r="R207" s="2">
        <v>161.4</v>
      </c>
      <c r="S207" s="2">
        <v>139.6</v>
      </c>
      <c r="T207" s="2">
        <v>128.9</v>
      </c>
      <c r="U207" s="3">
        <v>137.9</v>
      </c>
      <c r="V207" s="2" t="s">
        <v>107</v>
      </c>
      <c r="W207" s="2">
        <v>128.1</v>
      </c>
      <c r="X207" s="2">
        <v>133.6</v>
      </c>
      <c r="Y207" s="2">
        <v>133.6</v>
      </c>
      <c r="Z207" s="2">
        <v>120.1</v>
      </c>
      <c r="AA207" s="2">
        <v>129</v>
      </c>
      <c r="AB207" s="2">
        <v>144</v>
      </c>
      <c r="AC207" s="2">
        <v>128.19999999999999</v>
      </c>
      <c r="AD207" s="2">
        <v>130.19999999999999</v>
      </c>
      <c r="AE207" s="2">
        <v>137.5</v>
      </c>
    </row>
    <row r="208" spans="1:31" x14ac:dyDescent="0.2">
      <c r="A208" t="s">
        <v>30</v>
      </c>
      <c r="B208">
        <v>2018</v>
      </c>
      <c r="C208" t="s">
        <v>45</v>
      </c>
      <c r="D208" s="1">
        <f>DATE(All_India_Index_Upto_April23__1___1[[#This Row],[Year]],MATCH(All_India_Index_Upto_April23__1___1[[#This Row],[Month]],{"January","February","March","April","May","June","July","August","September","October","November","December"},0),1)</f>
        <v>43313</v>
      </c>
      <c r="E208" s="2">
        <v>139.19999999999999</v>
      </c>
      <c r="F208" s="2">
        <v>148.80000000000001</v>
      </c>
      <c r="G208">
        <v>139.1</v>
      </c>
      <c r="H208">
        <v>143.5</v>
      </c>
      <c r="I208">
        <v>125</v>
      </c>
      <c r="J208">
        <v>154.4</v>
      </c>
      <c r="K208">
        <v>156.30000000000001</v>
      </c>
      <c r="L208">
        <v>126.8</v>
      </c>
      <c r="M208">
        <v>115.4</v>
      </c>
      <c r="N208">
        <v>138.6</v>
      </c>
      <c r="O208">
        <v>133.80000000000001</v>
      </c>
      <c r="P208">
        <v>155.19999999999999</v>
      </c>
      <c r="Q208" s="2">
        <v>142.69999999999999</v>
      </c>
      <c r="R208" s="2">
        <v>156.4</v>
      </c>
      <c r="S208" s="2">
        <v>152.1</v>
      </c>
      <c r="T208" s="2">
        <v>145.80000000000001</v>
      </c>
      <c r="U208" s="3">
        <v>151.30000000000001</v>
      </c>
      <c r="V208" s="2"/>
      <c r="W208">
        <v>147.69999999999999</v>
      </c>
      <c r="X208" s="2">
        <v>143.80000000000001</v>
      </c>
      <c r="Y208" s="2">
        <v>139.4</v>
      </c>
      <c r="Z208" s="2">
        <v>128.30000000000001</v>
      </c>
      <c r="AA208" s="2">
        <v>138.6</v>
      </c>
      <c r="AB208" s="2">
        <v>146.9</v>
      </c>
      <c r="AC208" s="2">
        <v>131.30000000000001</v>
      </c>
      <c r="AD208" s="2">
        <v>136.6</v>
      </c>
      <c r="AE208" s="2">
        <v>142.5</v>
      </c>
    </row>
    <row r="209" spans="1:31" x14ac:dyDescent="0.2">
      <c r="A209" t="s">
        <v>32</v>
      </c>
      <c r="B209">
        <v>2018</v>
      </c>
      <c r="C209" t="s">
        <v>45</v>
      </c>
      <c r="D209" s="1">
        <f>DATE(All_India_Index_Upto_April23__1___1[[#This Row],[Year]],MATCH(All_India_Index_Upto_April23__1___1[[#This Row],[Month]],{"January","February","March","April","May","June","July","August","September","October","November","December"},0),1)</f>
        <v>43313</v>
      </c>
      <c r="E209" s="2">
        <v>136.5</v>
      </c>
      <c r="F209" s="2">
        <v>146.4</v>
      </c>
      <c r="G209">
        <v>136.6</v>
      </c>
      <c r="H209">
        <v>141.19999999999999</v>
      </c>
      <c r="I209">
        <v>117.4</v>
      </c>
      <c r="J209">
        <v>146.30000000000001</v>
      </c>
      <c r="K209">
        <v>157.30000000000001</v>
      </c>
      <c r="L209">
        <v>113.6</v>
      </c>
      <c r="M209">
        <v>113.3</v>
      </c>
      <c r="N209">
        <v>141.1</v>
      </c>
      <c r="O209">
        <v>127.4</v>
      </c>
      <c r="P209">
        <v>150.4</v>
      </c>
      <c r="Q209" s="2">
        <v>140.1</v>
      </c>
      <c r="R209" s="2">
        <v>162.1</v>
      </c>
      <c r="S209" s="2">
        <v>140</v>
      </c>
      <c r="T209" s="2">
        <v>129</v>
      </c>
      <c r="U209" s="3">
        <v>138.30000000000001</v>
      </c>
      <c r="V209" s="2" t="s">
        <v>108</v>
      </c>
      <c r="W209" s="2">
        <v>129.80000000000001</v>
      </c>
      <c r="X209" s="2">
        <v>134.4</v>
      </c>
      <c r="Y209" s="2">
        <v>134.9</v>
      </c>
      <c r="Z209" s="2">
        <v>120.7</v>
      </c>
      <c r="AA209" s="2">
        <v>129.80000000000001</v>
      </c>
      <c r="AB209" s="2">
        <v>145.30000000000001</v>
      </c>
      <c r="AC209" s="2">
        <v>128.30000000000001</v>
      </c>
      <c r="AD209" s="2">
        <v>131</v>
      </c>
      <c r="AE209" s="2">
        <v>138</v>
      </c>
    </row>
    <row r="210" spans="1:31" x14ac:dyDescent="0.2">
      <c r="A210" t="s">
        <v>30</v>
      </c>
      <c r="B210">
        <v>2018</v>
      </c>
      <c r="C210" t="s">
        <v>47</v>
      </c>
      <c r="D210" s="1">
        <f>DATE(All_India_Index_Upto_April23__1___1[[#This Row],[Year]],MATCH(All_India_Index_Upto_April23__1___1[[#This Row],[Month]],{"January","February","March","April","May","June","July","August","September","October","November","December"},0),1)</f>
        <v>43344</v>
      </c>
      <c r="E210" s="2">
        <v>139.4</v>
      </c>
      <c r="F210" s="2">
        <v>147.19999999999999</v>
      </c>
      <c r="G210">
        <v>136.6</v>
      </c>
      <c r="H210">
        <v>143.69999999999999</v>
      </c>
      <c r="I210">
        <v>124.6</v>
      </c>
      <c r="J210">
        <v>150.1</v>
      </c>
      <c r="K210">
        <v>149.4</v>
      </c>
      <c r="L210">
        <v>125.4</v>
      </c>
      <c r="M210">
        <v>114.4</v>
      </c>
      <c r="N210">
        <v>138.69999999999999</v>
      </c>
      <c r="O210">
        <v>133.1</v>
      </c>
      <c r="P210">
        <v>155.9</v>
      </c>
      <c r="Q210" s="2">
        <v>141.30000000000001</v>
      </c>
      <c r="R210" s="2">
        <v>157.69999999999999</v>
      </c>
      <c r="S210" s="2">
        <v>152.1</v>
      </c>
      <c r="T210" s="2">
        <v>146.1</v>
      </c>
      <c r="U210" s="3">
        <v>151.30000000000001</v>
      </c>
      <c r="V210" s="2"/>
      <c r="W210">
        <v>149</v>
      </c>
      <c r="X210" s="2">
        <v>144</v>
      </c>
      <c r="Y210" s="2">
        <v>140</v>
      </c>
      <c r="Z210" s="2">
        <v>129.9</v>
      </c>
      <c r="AA210" s="2">
        <v>140</v>
      </c>
      <c r="AB210" s="2">
        <v>147.6</v>
      </c>
      <c r="AC210" s="2">
        <v>132</v>
      </c>
      <c r="AD210" s="2">
        <v>137.4</v>
      </c>
      <c r="AE210" s="2">
        <v>142.1</v>
      </c>
    </row>
    <row r="211" spans="1:31" x14ac:dyDescent="0.2">
      <c r="A211" t="s">
        <v>32</v>
      </c>
      <c r="B211">
        <v>2018</v>
      </c>
      <c r="C211" t="s">
        <v>47</v>
      </c>
      <c r="D211" s="1">
        <f>DATE(All_India_Index_Upto_April23__1___1[[#This Row],[Year]],MATCH(All_India_Index_Upto_April23__1___1[[#This Row],[Month]],{"January","February","March","April","May","June","July","August","September","October","November","December"},0),1)</f>
        <v>43344</v>
      </c>
      <c r="E211" s="2">
        <v>137</v>
      </c>
      <c r="F211" s="2">
        <v>143.1</v>
      </c>
      <c r="G211">
        <v>132.80000000000001</v>
      </c>
      <c r="H211">
        <v>141.5</v>
      </c>
      <c r="I211">
        <v>117.8</v>
      </c>
      <c r="J211">
        <v>140</v>
      </c>
      <c r="K211">
        <v>151.30000000000001</v>
      </c>
      <c r="L211">
        <v>113.5</v>
      </c>
      <c r="M211">
        <v>112.3</v>
      </c>
      <c r="N211">
        <v>141.19999999999999</v>
      </c>
      <c r="O211">
        <v>127.7</v>
      </c>
      <c r="P211">
        <v>151.30000000000001</v>
      </c>
      <c r="Q211" s="2">
        <v>138.9</v>
      </c>
      <c r="R211" s="2">
        <v>163.30000000000001</v>
      </c>
      <c r="S211" s="2">
        <v>140.80000000000001</v>
      </c>
      <c r="T211" s="2">
        <v>129.30000000000001</v>
      </c>
      <c r="U211" s="3">
        <v>139.1</v>
      </c>
      <c r="V211" s="2" t="s">
        <v>109</v>
      </c>
      <c r="W211" s="2">
        <v>131.19999999999999</v>
      </c>
      <c r="X211" s="2">
        <v>134.9</v>
      </c>
      <c r="Y211" s="2">
        <v>135.69999999999999</v>
      </c>
      <c r="Z211" s="2">
        <v>122.5</v>
      </c>
      <c r="AA211" s="2">
        <v>130.19999999999999</v>
      </c>
      <c r="AB211" s="2">
        <v>145.19999999999999</v>
      </c>
      <c r="AC211" s="2">
        <v>129.30000000000001</v>
      </c>
      <c r="AD211" s="2">
        <v>131.9</v>
      </c>
      <c r="AE211" s="2">
        <v>138.1</v>
      </c>
    </row>
    <row r="212" spans="1:31" x14ac:dyDescent="0.2">
      <c r="A212" t="s">
        <v>30</v>
      </c>
      <c r="B212">
        <v>2018</v>
      </c>
      <c r="C212" t="s">
        <v>49</v>
      </c>
      <c r="D212" s="1">
        <f>DATE(All_India_Index_Upto_April23__1___1[[#This Row],[Year]],MATCH(All_India_Index_Upto_April23__1___1[[#This Row],[Month]],{"January","February","March","April","May","June","July","August","September","October","November","December"},0),1)</f>
        <v>43374</v>
      </c>
      <c r="E212" s="2">
        <v>139.30000000000001</v>
      </c>
      <c r="F212" s="2">
        <v>147.6</v>
      </c>
      <c r="G212">
        <v>134.6</v>
      </c>
      <c r="H212">
        <v>141.9</v>
      </c>
      <c r="I212">
        <v>123.5</v>
      </c>
      <c r="J212">
        <v>144.5</v>
      </c>
      <c r="K212">
        <v>147.6</v>
      </c>
      <c r="L212">
        <v>121.4</v>
      </c>
      <c r="M212">
        <v>112.3</v>
      </c>
      <c r="N212">
        <v>139.5</v>
      </c>
      <c r="O212">
        <v>134.6</v>
      </c>
      <c r="P212">
        <v>155.19999999999999</v>
      </c>
      <c r="Q212" s="2">
        <v>140.19999999999999</v>
      </c>
      <c r="R212" s="2">
        <v>159.6</v>
      </c>
      <c r="S212" s="2">
        <v>150.69999999999999</v>
      </c>
      <c r="T212" s="2">
        <v>144.5</v>
      </c>
      <c r="U212" s="3">
        <v>149.80000000000001</v>
      </c>
      <c r="V212" s="2"/>
      <c r="W212">
        <v>149.69999999999999</v>
      </c>
      <c r="X212" s="2">
        <v>147.5</v>
      </c>
      <c r="Y212" s="2">
        <v>144.80000000000001</v>
      </c>
      <c r="Z212" s="2">
        <v>130.80000000000001</v>
      </c>
      <c r="AA212" s="2">
        <v>140.1</v>
      </c>
      <c r="AB212" s="2">
        <v>148</v>
      </c>
      <c r="AC212" s="2">
        <v>134.4</v>
      </c>
      <c r="AD212" s="2">
        <v>139.80000000000001</v>
      </c>
      <c r="AE212" s="2">
        <v>142.19999999999999</v>
      </c>
    </row>
    <row r="213" spans="1:31" x14ac:dyDescent="0.2">
      <c r="A213" t="s">
        <v>32</v>
      </c>
      <c r="B213">
        <v>2018</v>
      </c>
      <c r="C213" t="s">
        <v>49</v>
      </c>
      <c r="D213" s="1">
        <f>DATE(All_India_Index_Upto_April23__1___1[[#This Row],[Year]],MATCH(All_India_Index_Upto_April23__1___1[[#This Row],[Month]],{"January","February","March","April","May","June","July","August","September","October","November","December"},0),1)</f>
        <v>43374</v>
      </c>
      <c r="E213" s="2">
        <v>137.6</v>
      </c>
      <c r="F213" s="2">
        <v>144.9</v>
      </c>
      <c r="G213">
        <v>133.5</v>
      </c>
      <c r="H213">
        <v>141.5</v>
      </c>
      <c r="I213">
        <v>118</v>
      </c>
      <c r="J213">
        <v>139.5</v>
      </c>
      <c r="K213">
        <v>153</v>
      </c>
      <c r="L213">
        <v>113.2</v>
      </c>
      <c r="M213">
        <v>112.8</v>
      </c>
      <c r="N213">
        <v>141.1</v>
      </c>
      <c r="O213">
        <v>127.6</v>
      </c>
      <c r="P213">
        <v>152</v>
      </c>
      <c r="Q213" s="2">
        <v>139.4</v>
      </c>
      <c r="R213" s="2">
        <v>164</v>
      </c>
      <c r="S213" s="2">
        <v>141.5</v>
      </c>
      <c r="T213" s="2">
        <v>129.80000000000001</v>
      </c>
      <c r="U213" s="3">
        <v>139.69999999999999</v>
      </c>
      <c r="V213" s="2" t="s">
        <v>110</v>
      </c>
      <c r="W213" s="2">
        <v>133.4</v>
      </c>
      <c r="X213" s="2">
        <v>135.1</v>
      </c>
      <c r="Y213" s="2">
        <v>136.19999999999999</v>
      </c>
      <c r="Z213" s="2">
        <v>123.3</v>
      </c>
      <c r="AA213" s="2">
        <v>130.69999999999999</v>
      </c>
      <c r="AB213" s="2">
        <v>145.5</v>
      </c>
      <c r="AC213" s="2">
        <v>130.4</v>
      </c>
      <c r="AD213" s="2">
        <v>132.5</v>
      </c>
      <c r="AE213" s="2">
        <v>138.9</v>
      </c>
    </row>
    <row r="214" spans="1:31" x14ac:dyDescent="0.2">
      <c r="A214" t="s">
        <v>30</v>
      </c>
      <c r="B214">
        <v>2018</v>
      </c>
      <c r="C214" t="s">
        <v>51</v>
      </c>
      <c r="D214" s="1">
        <f>DATE(All_India_Index_Upto_April23__1___1[[#This Row],[Year]],MATCH(All_India_Index_Upto_April23__1___1[[#This Row],[Month]],{"January","February","March","April","May","June","July","August","September","October","November","December"},0),1)</f>
        <v>43405</v>
      </c>
      <c r="E214" s="2">
        <v>137.1</v>
      </c>
      <c r="F214" s="2">
        <v>150.80000000000001</v>
      </c>
      <c r="G214">
        <v>136.69999999999999</v>
      </c>
      <c r="H214">
        <v>141.9</v>
      </c>
      <c r="I214">
        <v>122.8</v>
      </c>
      <c r="J214">
        <v>143.9</v>
      </c>
      <c r="K214">
        <v>147.5</v>
      </c>
      <c r="L214">
        <v>121</v>
      </c>
      <c r="M214">
        <v>111.6</v>
      </c>
      <c r="N214">
        <v>140.6</v>
      </c>
      <c r="O214">
        <v>137.5</v>
      </c>
      <c r="P214">
        <v>156.1</v>
      </c>
      <c r="Q214" s="2">
        <v>140</v>
      </c>
      <c r="R214" s="2">
        <v>161.9</v>
      </c>
      <c r="S214" s="2">
        <v>151.69999999999999</v>
      </c>
      <c r="T214" s="2">
        <v>145.5</v>
      </c>
      <c r="U214" s="3">
        <v>150.80000000000001</v>
      </c>
      <c r="V214" s="2"/>
      <c r="W214">
        <v>150.30000000000001</v>
      </c>
      <c r="X214" s="2">
        <v>148</v>
      </c>
      <c r="Y214" s="2">
        <v>145.4</v>
      </c>
      <c r="Z214" s="2">
        <v>130.30000000000001</v>
      </c>
      <c r="AA214" s="2">
        <v>143.1</v>
      </c>
      <c r="AB214" s="2">
        <v>150.19999999999999</v>
      </c>
      <c r="AC214" s="2">
        <v>133.1</v>
      </c>
      <c r="AD214" s="2">
        <v>140.1</v>
      </c>
      <c r="AE214" s="2">
        <v>142.4</v>
      </c>
    </row>
    <row r="215" spans="1:31" x14ac:dyDescent="0.2">
      <c r="A215" t="s">
        <v>32</v>
      </c>
      <c r="B215">
        <v>2018</v>
      </c>
      <c r="C215" t="s">
        <v>51</v>
      </c>
      <c r="D215" s="1">
        <f>DATE(All_India_Index_Upto_April23__1___1[[#This Row],[Year]],MATCH(All_India_Index_Upto_April23__1___1[[#This Row],[Month]],{"January","February","March","April","May","June","July","August","September","October","November","December"},0),1)</f>
        <v>43405</v>
      </c>
      <c r="E215" s="2">
        <v>138.1</v>
      </c>
      <c r="F215" s="2">
        <v>146.30000000000001</v>
      </c>
      <c r="G215">
        <v>137.80000000000001</v>
      </c>
      <c r="H215">
        <v>141.6</v>
      </c>
      <c r="I215">
        <v>118.1</v>
      </c>
      <c r="J215">
        <v>141.5</v>
      </c>
      <c r="K215">
        <v>145.19999999999999</v>
      </c>
      <c r="L215">
        <v>115.3</v>
      </c>
      <c r="M215">
        <v>112.5</v>
      </c>
      <c r="N215">
        <v>141.4</v>
      </c>
      <c r="O215">
        <v>128</v>
      </c>
      <c r="P215">
        <v>152.6</v>
      </c>
      <c r="Q215" s="2">
        <v>139.1</v>
      </c>
      <c r="R215" s="2">
        <v>164.4</v>
      </c>
      <c r="S215" s="2">
        <v>142.4</v>
      </c>
      <c r="T215" s="2">
        <v>130.19999999999999</v>
      </c>
      <c r="U215" s="3">
        <v>140.5</v>
      </c>
      <c r="V215" s="2" t="s">
        <v>111</v>
      </c>
      <c r="W215" s="2">
        <v>136.69999999999999</v>
      </c>
      <c r="X215" s="2">
        <v>135.80000000000001</v>
      </c>
      <c r="Y215" s="2">
        <v>136.80000000000001</v>
      </c>
      <c r="Z215" s="2">
        <v>121.2</v>
      </c>
      <c r="AA215" s="2">
        <v>131.30000000000001</v>
      </c>
      <c r="AB215" s="2">
        <v>146.1</v>
      </c>
      <c r="AC215" s="2">
        <v>130.5</v>
      </c>
      <c r="AD215" s="2">
        <v>132.19999999999999</v>
      </c>
      <c r="AE215" s="2">
        <v>139</v>
      </c>
    </row>
    <row r="216" spans="1:31" x14ac:dyDescent="0.2">
      <c r="A216" t="s">
        <v>30</v>
      </c>
      <c r="B216">
        <v>2018</v>
      </c>
      <c r="C216" t="s">
        <v>53</v>
      </c>
      <c r="D216" s="1">
        <f>DATE(All_India_Index_Upto_April23__1___1[[#This Row],[Year]],MATCH(All_India_Index_Upto_April23__1___1[[#This Row],[Month]],{"January","February","March","April","May","June","July","August","September","October","November","December"},0),1)</f>
        <v>43435</v>
      </c>
      <c r="E216" s="2">
        <v>137.1</v>
      </c>
      <c r="F216" s="2">
        <v>151.9</v>
      </c>
      <c r="G216">
        <v>137.4</v>
      </c>
      <c r="H216">
        <v>142.4</v>
      </c>
      <c r="I216">
        <v>124.2</v>
      </c>
      <c r="J216">
        <v>140.19999999999999</v>
      </c>
      <c r="K216">
        <v>136.6</v>
      </c>
      <c r="L216">
        <v>120.9</v>
      </c>
      <c r="M216">
        <v>109.9</v>
      </c>
      <c r="N216">
        <v>140.19999999999999</v>
      </c>
      <c r="O216">
        <v>137.80000000000001</v>
      </c>
      <c r="P216">
        <v>156</v>
      </c>
      <c r="Q216" s="2">
        <v>138.5</v>
      </c>
      <c r="R216" s="2">
        <v>162.4</v>
      </c>
      <c r="S216" s="2">
        <v>151.6</v>
      </c>
      <c r="T216" s="2">
        <v>145.9</v>
      </c>
      <c r="U216" s="3">
        <v>150.80000000000001</v>
      </c>
      <c r="V216" s="2"/>
      <c r="W216">
        <v>149</v>
      </c>
      <c r="X216" s="2">
        <v>149.5</v>
      </c>
      <c r="Y216" s="2">
        <v>149.6</v>
      </c>
      <c r="Z216" s="2">
        <v>128.9</v>
      </c>
      <c r="AA216" s="2">
        <v>143.30000000000001</v>
      </c>
      <c r="AB216" s="2">
        <v>155.1</v>
      </c>
      <c r="AC216" s="2">
        <v>133.19999999999999</v>
      </c>
      <c r="AD216" s="2">
        <v>141.6</v>
      </c>
      <c r="AE216" s="2">
        <v>141.9</v>
      </c>
    </row>
    <row r="217" spans="1:31" x14ac:dyDescent="0.2">
      <c r="A217" t="s">
        <v>32</v>
      </c>
      <c r="B217">
        <v>2018</v>
      </c>
      <c r="C217" t="s">
        <v>53</v>
      </c>
      <c r="D217" s="1">
        <f>DATE(All_India_Index_Upto_April23__1___1[[#This Row],[Year]],MATCH(All_India_Index_Upto_April23__1___1[[#This Row],[Month]],{"January","February","March","April","May","June","July","August","September","October","November","December"},0),1)</f>
        <v>43435</v>
      </c>
      <c r="E217" s="2">
        <v>138.5</v>
      </c>
      <c r="F217" s="2">
        <v>147.80000000000001</v>
      </c>
      <c r="G217">
        <v>141.1</v>
      </c>
      <c r="H217">
        <v>141.6</v>
      </c>
      <c r="I217">
        <v>118.1</v>
      </c>
      <c r="J217">
        <v>138.5</v>
      </c>
      <c r="K217">
        <v>132.4</v>
      </c>
      <c r="L217">
        <v>117.5</v>
      </c>
      <c r="M217">
        <v>111</v>
      </c>
      <c r="N217">
        <v>141.5</v>
      </c>
      <c r="O217">
        <v>128.1</v>
      </c>
      <c r="P217">
        <v>152.9</v>
      </c>
      <c r="Q217" s="2">
        <v>137.6</v>
      </c>
      <c r="R217" s="2">
        <v>164.6</v>
      </c>
      <c r="S217" s="2">
        <v>142.69999999999999</v>
      </c>
      <c r="T217" s="2">
        <v>130.30000000000001</v>
      </c>
      <c r="U217" s="3">
        <v>140.80000000000001</v>
      </c>
      <c r="V217" s="2" t="s">
        <v>112</v>
      </c>
      <c r="W217" s="2">
        <v>132.4</v>
      </c>
      <c r="X217" s="2">
        <v>136.19999999999999</v>
      </c>
      <c r="Y217" s="2">
        <v>137.30000000000001</v>
      </c>
      <c r="Z217" s="2">
        <v>118.8</v>
      </c>
      <c r="AA217" s="2">
        <v>131.69999999999999</v>
      </c>
      <c r="AB217" s="2">
        <v>146.5</v>
      </c>
      <c r="AC217" s="2">
        <v>130.80000000000001</v>
      </c>
      <c r="AD217" s="2">
        <v>131.69999999999999</v>
      </c>
      <c r="AE217" s="2">
        <v>138</v>
      </c>
    </row>
    <row r="218" spans="1:31" x14ac:dyDescent="0.2">
      <c r="A218" t="s">
        <v>34</v>
      </c>
      <c r="B218">
        <v>2019</v>
      </c>
      <c r="C218" t="s">
        <v>31</v>
      </c>
      <c r="D218" s="1">
        <f>DATE(All_India_Index_Upto_April23__1___1[[#This Row],[Year]],MATCH(All_India_Index_Upto_April23__1___1[[#This Row],[Month]],{"January","February","March","April","May","June","July","August","September","October","November","December"},0),1)</f>
        <v>43466</v>
      </c>
      <c r="E218" s="2">
        <v>137.1</v>
      </c>
      <c r="F218" s="2">
        <v>151.4</v>
      </c>
      <c r="G218">
        <v>140.19999999999999</v>
      </c>
      <c r="H218">
        <v>142.1</v>
      </c>
      <c r="I218">
        <v>121.8</v>
      </c>
      <c r="J218">
        <v>135.4</v>
      </c>
      <c r="K218">
        <v>131.30000000000001</v>
      </c>
      <c r="L218">
        <v>120.3</v>
      </c>
      <c r="M218">
        <v>109.1</v>
      </c>
      <c r="N218">
        <v>139.4</v>
      </c>
      <c r="O218">
        <v>133.30000000000001</v>
      </c>
      <c r="P218">
        <v>154.6</v>
      </c>
      <c r="Q218" s="2">
        <v>137.4</v>
      </c>
      <c r="R218" s="2">
        <v>163.19999999999999</v>
      </c>
      <c r="S218" s="2">
        <v>147.6</v>
      </c>
      <c r="T218" s="2">
        <v>139</v>
      </c>
      <c r="U218" s="3">
        <v>146.4</v>
      </c>
      <c r="V218" s="2" t="s">
        <v>113</v>
      </c>
      <c r="W218" s="2">
        <v>139.5</v>
      </c>
      <c r="X218" s="2">
        <v>143.6</v>
      </c>
      <c r="Y218" s="2">
        <v>145.1</v>
      </c>
      <c r="Z218" s="2">
        <v>123.3</v>
      </c>
      <c r="AA218" s="2">
        <v>136.69999999999999</v>
      </c>
      <c r="AB218" s="2">
        <v>150.19999999999999</v>
      </c>
      <c r="AC218" s="2">
        <v>132.80000000000001</v>
      </c>
      <c r="AD218" s="2">
        <v>136.9</v>
      </c>
      <c r="AE218" s="2">
        <v>139.6</v>
      </c>
    </row>
    <row r="219" spans="1:31" x14ac:dyDescent="0.2">
      <c r="A219" t="s">
        <v>34</v>
      </c>
      <c r="B219">
        <v>2019</v>
      </c>
      <c r="C219" t="s">
        <v>35</v>
      </c>
      <c r="D219" s="1">
        <f>DATE(All_India_Index_Upto_April23__1___1[[#This Row],[Year]],MATCH(All_India_Index_Upto_April23__1___1[[#This Row],[Month]],{"January","February","March","April","May","June","July","August","September","October","November","December"},0),1)</f>
        <v>43497</v>
      </c>
      <c r="E219" s="2">
        <v>137.6</v>
      </c>
      <c r="F219" s="2">
        <v>152</v>
      </c>
      <c r="G219">
        <v>141.5</v>
      </c>
      <c r="H219">
        <v>142.19999999999999</v>
      </c>
      <c r="I219">
        <v>122</v>
      </c>
      <c r="J219">
        <v>136.4</v>
      </c>
      <c r="K219">
        <v>129.69999999999999</v>
      </c>
      <c r="L219">
        <v>121</v>
      </c>
      <c r="M219">
        <v>109</v>
      </c>
      <c r="N219">
        <v>139.69999999999999</v>
      </c>
      <c r="O219">
        <v>133.6</v>
      </c>
      <c r="P219">
        <v>154.9</v>
      </c>
      <c r="Q219" s="2">
        <v>137.5</v>
      </c>
      <c r="R219" s="2">
        <v>163.4</v>
      </c>
      <c r="S219" s="2">
        <v>147.69999999999999</v>
      </c>
      <c r="T219" s="2">
        <v>139.69999999999999</v>
      </c>
      <c r="U219" s="3">
        <v>146.5</v>
      </c>
      <c r="V219" s="2" t="s">
        <v>114</v>
      </c>
      <c r="W219" s="2">
        <v>138.4</v>
      </c>
      <c r="X219" s="2">
        <v>143.69999999999999</v>
      </c>
      <c r="Y219" s="2">
        <v>145.6</v>
      </c>
      <c r="Z219" s="2">
        <v>123.9</v>
      </c>
      <c r="AA219" s="2">
        <v>137.1</v>
      </c>
      <c r="AB219" s="2">
        <v>150.30000000000001</v>
      </c>
      <c r="AC219" s="2">
        <v>134.1</v>
      </c>
      <c r="AD219" s="2">
        <v>137.4</v>
      </c>
      <c r="AE219" s="2">
        <v>139.9</v>
      </c>
    </row>
    <row r="220" spans="1:31" x14ac:dyDescent="0.2">
      <c r="A220" t="s">
        <v>34</v>
      </c>
      <c r="B220">
        <v>2019</v>
      </c>
      <c r="C220" t="s">
        <v>37</v>
      </c>
      <c r="D220" s="1">
        <f>DATE(All_India_Index_Upto_April23__1___1[[#This Row],[Year]],MATCH(All_India_Index_Upto_April23__1___1[[#This Row],[Month]],{"January","February","March","April","May","June","July","August","September","October","November","December"},0),1)</f>
        <v>43525</v>
      </c>
      <c r="E220" s="2">
        <v>137.80000000000001</v>
      </c>
      <c r="F220" s="2">
        <v>153</v>
      </c>
      <c r="G220">
        <v>140.30000000000001</v>
      </c>
      <c r="H220">
        <v>142.30000000000001</v>
      </c>
      <c r="I220">
        <v>122</v>
      </c>
      <c r="J220">
        <v>137.6</v>
      </c>
      <c r="K220">
        <v>132.6</v>
      </c>
      <c r="L220">
        <v>121.8</v>
      </c>
      <c r="M220">
        <v>109</v>
      </c>
      <c r="N220">
        <v>139.5</v>
      </c>
      <c r="O220">
        <v>133.69999999999999</v>
      </c>
      <c r="P220">
        <v>155.19999999999999</v>
      </c>
      <c r="Q220" s="2">
        <v>138.1</v>
      </c>
      <c r="R220" s="2">
        <v>163.5</v>
      </c>
      <c r="S220" s="2">
        <v>147.9</v>
      </c>
      <c r="T220" s="2">
        <v>139.9</v>
      </c>
      <c r="U220" s="3">
        <v>146.69999999999999</v>
      </c>
      <c r="V220" s="2" t="s">
        <v>115</v>
      </c>
      <c r="W220" s="2">
        <v>139.69999999999999</v>
      </c>
      <c r="X220" s="2">
        <v>143.80000000000001</v>
      </c>
      <c r="Y220" s="2">
        <v>146.19999999999999</v>
      </c>
      <c r="Z220" s="2">
        <v>124.6</v>
      </c>
      <c r="AA220" s="2">
        <v>137.69999999999999</v>
      </c>
      <c r="AB220" s="2">
        <v>150.30000000000001</v>
      </c>
      <c r="AC220" s="2">
        <v>133.4</v>
      </c>
      <c r="AD220" s="2">
        <v>137.69999999999999</v>
      </c>
      <c r="AE220" s="2">
        <v>140.4</v>
      </c>
    </row>
    <row r="221" spans="1:31" x14ac:dyDescent="0.2">
      <c r="A221" t="s">
        <v>34</v>
      </c>
      <c r="B221">
        <v>2019</v>
      </c>
      <c r="C221" t="s">
        <v>40</v>
      </c>
      <c r="D221" s="1">
        <f>DATE(All_India_Index_Upto_April23__1___1[[#This Row],[Year]],MATCH(All_India_Index_Upto_April23__1___1[[#This Row],[Month]],{"January","February","March","April","May","June","July","August","September","October","November","December"},0),1)</f>
        <v>43586</v>
      </c>
      <c r="E221" s="2">
        <v>138.30000000000001</v>
      </c>
      <c r="F221" s="2">
        <v>158.5</v>
      </c>
      <c r="G221">
        <v>136</v>
      </c>
      <c r="H221">
        <v>142.5</v>
      </c>
      <c r="I221">
        <v>122</v>
      </c>
      <c r="J221">
        <v>146.5</v>
      </c>
      <c r="K221">
        <v>143</v>
      </c>
      <c r="L221">
        <v>124.9</v>
      </c>
      <c r="M221">
        <v>109.9</v>
      </c>
      <c r="N221">
        <v>139.9</v>
      </c>
      <c r="O221">
        <v>134</v>
      </c>
      <c r="P221">
        <v>155.5</v>
      </c>
      <c r="Q221" s="2">
        <v>140.9</v>
      </c>
      <c r="R221" s="2">
        <v>164.1</v>
      </c>
      <c r="S221" s="2">
        <v>148.4</v>
      </c>
      <c r="T221" s="2">
        <v>140.4</v>
      </c>
      <c r="U221" s="3">
        <v>147.30000000000001</v>
      </c>
      <c r="V221" s="2" t="s">
        <v>116</v>
      </c>
      <c r="W221" s="2">
        <v>140.30000000000001</v>
      </c>
      <c r="X221" s="2">
        <v>143.69999999999999</v>
      </c>
      <c r="Y221" s="2">
        <v>146.9</v>
      </c>
      <c r="Z221" s="2">
        <v>124.9</v>
      </c>
      <c r="AA221" s="2">
        <v>139.19999999999999</v>
      </c>
      <c r="AB221" s="2">
        <v>151.6</v>
      </c>
      <c r="AC221" s="2">
        <v>133.4</v>
      </c>
      <c r="AD221" s="2">
        <v>138.19999999999999</v>
      </c>
      <c r="AE221" s="2">
        <v>142</v>
      </c>
    </row>
    <row r="222" spans="1:31" x14ac:dyDescent="0.2">
      <c r="A222" t="s">
        <v>34</v>
      </c>
      <c r="B222">
        <v>2019</v>
      </c>
      <c r="C222" t="s">
        <v>41</v>
      </c>
      <c r="D222" s="1">
        <f>DATE(All_India_Index_Upto_April23__1___1[[#This Row],[Year]],MATCH(All_India_Index_Upto_April23__1___1[[#This Row],[Month]],{"January","February","March","April","May","June","July","August","September","October","November","December"},0),1)</f>
        <v>43617</v>
      </c>
      <c r="E222" s="2">
        <v>138.69999999999999</v>
      </c>
      <c r="F222" s="2">
        <v>162.1</v>
      </c>
      <c r="G222">
        <v>137.80000000000001</v>
      </c>
      <c r="H222">
        <v>143.30000000000001</v>
      </c>
      <c r="I222">
        <v>122.2</v>
      </c>
      <c r="J222">
        <v>146.80000000000001</v>
      </c>
      <c r="K222">
        <v>150.5</v>
      </c>
      <c r="L222">
        <v>128.30000000000001</v>
      </c>
      <c r="M222">
        <v>111</v>
      </c>
      <c r="N222">
        <v>140.6</v>
      </c>
      <c r="O222">
        <v>134.19999999999999</v>
      </c>
      <c r="P222">
        <v>155.9</v>
      </c>
      <c r="Q222" s="2">
        <v>142.69999999999999</v>
      </c>
      <c r="R222" s="2">
        <v>164.9</v>
      </c>
      <c r="S222" s="2">
        <v>148.6</v>
      </c>
      <c r="T222" s="2">
        <v>140.4</v>
      </c>
      <c r="U222" s="3">
        <v>147.4</v>
      </c>
      <c r="V222" s="2" t="s">
        <v>117</v>
      </c>
      <c r="W222" s="2">
        <v>141.19999999999999</v>
      </c>
      <c r="X222" s="2">
        <v>143.80000000000001</v>
      </c>
      <c r="Y222" s="2">
        <v>147.4</v>
      </c>
      <c r="Z222" s="2">
        <v>124.6</v>
      </c>
      <c r="AA222" s="2">
        <v>139.6</v>
      </c>
      <c r="AB222" s="2">
        <v>152.5</v>
      </c>
      <c r="AC222" s="2">
        <v>134.30000000000001</v>
      </c>
      <c r="AD222" s="2">
        <v>138.6</v>
      </c>
      <c r="AE222" s="2">
        <v>142.9</v>
      </c>
    </row>
    <row r="223" spans="1:31" x14ac:dyDescent="0.2">
      <c r="A223" t="s">
        <v>34</v>
      </c>
      <c r="B223">
        <v>2019</v>
      </c>
      <c r="C223" t="s">
        <v>43</v>
      </c>
      <c r="D223" s="1">
        <f>DATE(All_India_Index_Upto_April23__1___1[[#This Row],[Year]],MATCH(All_India_Index_Upto_April23__1___1[[#This Row],[Month]],{"January","February","March","April","May","June","July","August","September","October","November","December"},0),1)</f>
        <v>43647</v>
      </c>
      <c r="E223" s="2">
        <v>139.30000000000001</v>
      </c>
      <c r="F223" s="2">
        <v>162.69999999999999</v>
      </c>
      <c r="G223">
        <v>140</v>
      </c>
      <c r="H223">
        <v>144</v>
      </c>
      <c r="I223">
        <v>122.5</v>
      </c>
      <c r="J223">
        <v>150.30000000000001</v>
      </c>
      <c r="K223">
        <v>160.30000000000001</v>
      </c>
      <c r="L223">
        <v>130</v>
      </c>
      <c r="M223">
        <v>111.1</v>
      </c>
      <c r="N223">
        <v>141.69999999999999</v>
      </c>
      <c r="O223">
        <v>134.69999999999999</v>
      </c>
      <c r="P223">
        <v>156.19999999999999</v>
      </c>
      <c r="Q223" s="2">
        <v>144.69999999999999</v>
      </c>
      <c r="R223" s="2">
        <v>165.2</v>
      </c>
      <c r="S223" s="2">
        <v>148.9</v>
      </c>
      <c r="T223" s="2">
        <v>140.5</v>
      </c>
      <c r="U223" s="3">
        <v>147.6</v>
      </c>
      <c r="V223" s="2" t="s">
        <v>118</v>
      </c>
      <c r="W223" s="2">
        <v>139.30000000000001</v>
      </c>
      <c r="X223" s="2">
        <v>144.19999999999999</v>
      </c>
      <c r="Y223" s="2">
        <v>147.9</v>
      </c>
      <c r="Z223" s="2">
        <v>125.6</v>
      </c>
      <c r="AA223" s="2">
        <v>140.5</v>
      </c>
      <c r="AB223" s="2">
        <v>154</v>
      </c>
      <c r="AC223" s="2">
        <v>135.69999999999999</v>
      </c>
      <c r="AD223" s="2">
        <v>139.5</v>
      </c>
      <c r="AE223" s="2">
        <v>144.19999999999999</v>
      </c>
    </row>
    <row r="224" spans="1:31" x14ac:dyDescent="0.2">
      <c r="A224" t="s">
        <v>34</v>
      </c>
      <c r="B224">
        <v>2019</v>
      </c>
      <c r="C224" t="s">
        <v>45</v>
      </c>
      <c r="D224" s="1">
        <f>DATE(All_India_Index_Upto_April23__1___1[[#This Row],[Year]],MATCH(All_India_Index_Upto_April23__1___1[[#This Row],[Month]],{"January","February","March","April","May","June","July","August","September","October","November","December"},0),1)</f>
        <v>43678</v>
      </c>
      <c r="E224" s="2">
        <v>140.1</v>
      </c>
      <c r="F224" s="2">
        <v>160.6</v>
      </c>
      <c r="G224">
        <v>138.5</v>
      </c>
      <c r="H224">
        <v>144.69999999999999</v>
      </c>
      <c r="I224">
        <v>122.9</v>
      </c>
      <c r="J224">
        <v>149.4</v>
      </c>
      <c r="K224">
        <v>167.4</v>
      </c>
      <c r="L224">
        <v>130.9</v>
      </c>
      <c r="M224">
        <v>112</v>
      </c>
      <c r="N224">
        <v>142.6</v>
      </c>
      <c r="O224">
        <v>134.9</v>
      </c>
      <c r="P224">
        <v>156.6</v>
      </c>
      <c r="Q224" s="2">
        <v>145.9</v>
      </c>
      <c r="R224" s="2">
        <v>165.8</v>
      </c>
      <c r="S224" s="2">
        <v>149.1</v>
      </c>
      <c r="T224" s="2">
        <v>140.6</v>
      </c>
      <c r="U224" s="3">
        <v>147.9</v>
      </c>
      <c r="V224" s="2" t="s">
        <v>119</v>
      </c>
      <c r="W224" s="2">
        <v>138.5</v>
      </c>
      <c r="X224" s="2">
        <v>144.5</v>
      </c>
      <c r="Y224" s="2">
        <v>148.5</v>
      </c>
      <c r="Z224" s="2">
        <v>125.8</v>
      </c>
      <c r="AA224" s="2">
        <v>140.9</v>
      </c>
      <c r="AB224" s="2">
        <v>154.9</v>
      </c>
      <c r="AC224" s="2">
        <v>138.4</v>
      </c>
      <c r="AD224" s="2">
        <v>140.19999999999999</v>
      </c>
      <c r="AE224" s="2">
        <v>145</v>
      </c>
    </row>
    <row r="225" spans="1:31" x14ac:dyDescent="0.2">
      <c r="A225" t="s">
        <v>34</v>
      </c>
      <c r="B225">
        <v>2019</v>
      </c>
      <c r="C225" t="s">
        <v>47</v>
      </c>
      <c r="D225" s="1">
        <f>DATE(All_India_Index_Upto_April23__1___1[[#This Row],[Year]],MATCH(All_India_Index_Upto_April23__1___1[[#This Row],[Month]],{"January","February","March","April","May","June","July","August","September","October","November","December"},0),1)</f>
        <v>43709</v>
      </c>
      <c r="E225" s="2">
        <v>140.9</v>
      </c>
      <c r="F225" s="2">
        <v>160.80000000000001</v>
      </c>
      <c r="G225">
        <v>139.6</v>
      </c>
      <c r="H225">
        <v>145.4</v>
      </c>
      <c r="I225">
        <v>123.5</v>
      </c>
      <c r="J225">
        <v>146.6</v>
      </c>
      <c r="K225">
        <v>173.2</v>
      </c>
      <c r="L225">
        <v>131.6</v>
      </c>
      <c r="M225">
        <v>113.2</v>
      </c>
      <c r="N225">
        <v>144.1</v>
      </c>
      <c r="O225">
        <v>135</v>
      </c>
      <c r="P225">
        <v>156.80000000000001</v>
      </c>
      <c r="Q225" s="2">
        <v>147</v>
      </c>
      <c r="R225" s="2">
        <v>166.5</v>
      </c>
      <c r="S225" s="2">
        <v>149.19999999999999</v>
      </c>
      <c r="T225" s="2">
        <v>140.6</v>
      </c>
      <c r="U225" s="3">
        <v>147.9</v>
      </c>
      <c r="V225" s="2" t="s">
        <v>120</v>
      </c>
      <c r="W225" s="2">
        <v>139.19999999999999</v>
      </c>
      <c r="X225" s="2">
        <v>144.6</v>
      </c>
      <c r="Y225" s="2">
        <v>149</v>
      </c>
      <c r="Z225" s="2">
        <v>126.1</v>
      </c>
      <c r="AA225" s="2">
        <v>141.30000000000001</v>
      </c>
      <c r="AB225" s="2">
        <v>155.19999999999999</v>
      </c>
      <c r="AC225" s="2">
        <v>139.69999999999999</v>
      </c>
      <c r="AD225" s="2">
        <v>140.69999999999999</v>
      </c>
      <c r="AE225" s="2">
        <v>145.80000000000001</v>
      </c>
    </row>
    <row r="226" spans="1:31" x14ac:dyDescent="0.2">
      <c r="A226" t="s">
        <v>34</v>
      </c>
      <c r="B226">
        <v>2019</v>
      </c>
      <c r="C226" t="s">
        <v>49</v>
      </c>
      <c r="D226" s="1">
        <f>DATE(All_India_Index_Upto_April23__1___1[[#This Row],[Year]],MATCH(All_India_Index_Upto_April23__1___1[[#This Row],[Month]],{"January","February","March","April","May","June","July","August","September","October","November","December"},0),1)</f>
        <v>43739</v>
      </c>
      <c r="E226" s="2">
        <v>141.80000000000001</v>
      </c>
      <c r="F226" s="2">
        <v>161</v>
      </c>
      <c r="G226">
        <v>142.6</v>
      </c>
      <c r="H226">
        <v>146.19999999999999</v>
      </c>
      <c r="I226">
        <v>123.9</v>
      </c>
      <c r="J226">
        <v>148</v>
      </c>
      <c r="K226">
        <v>188.4</v>
      </c>
      <c r="L226">
        <v>132.5</v>
      </c>
      <c r="M226">
        <v>114</v>
      </c>
      <c r="N226">
        <v>145.4</v>
      </c>
      <c r="O226">
        <v>135.1</v>
      </c>
      <c r="P226">
        <v>157.1</v>
      </c>
      <c r="Q226" s="2">
        <v>149.6</v>
      </c>
      <c r="R226" s="2">
        <v>167.1</v>
      </c>
      <c r="S226" s="2">
        <v>149.4</v>
      </c>
      <c r="T226" s="2">
        <v>140.80000000000001</v>
      </c>
      <c r="U226" s="3">
        <v>148.19999999999999</v>
      </c>
      <c r="V226" s="2" t="s">
        <v>121</v>
      </c>
      <c r="W226" s="2">
        <v>140.6</v>
      </c>
      <c r="X226" s="2">
        <v>145</v>
      </c>
      <c r="Y226" s="2">
        <v>149.4</v>
      </c>
      <c r="Z226" s="2">
        <v>126.3</v>
      </c>
      <c r="AA226" s="2">
        <v>141.69999999999999</v>
      </c>
      <c r="AB226" s="2">
        <v>155.4</v>
      </c>
      <c r="AC226" s="2">
        <v>140</v>
      </c>
      <c r="AD226" s="2">
        <v>141</v>
      </c>
      <c r="AE226" s="2">
        <v>147.19999999999999</v>
      </c>
    </row>
    <row r="227" spans="1:31" x14ac:dyDescent="0.2">
      <c r="A227" t="s">
        <v>34</v>
      </c>
      <c r="B227">
        <v>2019</v>
      </c>
      <c r="C227" t="s">
        <v>51</v>
      </c>
      <c r="D227" s="1">
        <f>DATE(All_India_Index_Upto_April23__1___1[[#This Row],[Year]],MATCH(All_India_Index_Upto_April23__1___1[[#This Row],[Month]],{"January","February","March","April","May","June","July","August","September","October","November","December"},0),1)</f>
        <v>43770</v>
      </c>
      <c r="E227" s="2">
        <v>142.5</v>
      </c>
      <c r="F227" s="2">
        <v>163.19999999999999</v>
      </c>
      <c r="G227">
        <v>145.6</v>
      </c>
      <c r="H227">
        <v>146.69999999999999</v>
      </c>
      <c r="I227">
        <v>124.3</v>
      </c>
      <c r="J227">
        <v>147.4</v>
      </c>
      <c r="K227">
        <v>199.6</v>
      </c>
      <c r="L227">
        <v>135.69999999999999</v>
      </c>
      <c r="M227">
        <v>114.2</v>
      </c>
      <c r="N227">
        <v>147</v>
      </c>
      <c r="O227">
        <v>135.30000000000001</v>
      </c>
      <c r="P227">
        <v>157.5</v>
      </c>
      <c r="Q227" s="2">
        <v>151.9</v>
      </c>
      <c r="R227" s="2">
        <v>167.9</v>
      </c>
      <c r="S227" s="2">
        <v>149.9</v>
      </c>
      <c r="T227" s="2">
        <v>141</v>
      </c>
      <c r="U227" s="3">
        <v>148.6</v>
      </c>
      <c r="V227" s="2" t="s">
        <v>122</v>
      </c>
      <c r="W227" s="2">
        <v>142.30000000000001</v>
      </c>
      <c r="X227" s="2">
        <v>145.30000000000001</v>
      </c>
      <c r="Y227" s="2">
        <v>149.9</v>
      </c>
      <c r="Z227" s="2">
        <v>126.6</v>
      </c>
      <c r="AA227" s="2">
        <v>142.1</v>
      </c>
      <c r="AB227" s="2">
        <v>155.5</v>
      </c>
      <c r="AC227" s="2">
        <v>140.30000000000001</v>
      </c>
      <c r="AD227" s="2">
        <v>141.30000000000001</v>
      </c>
      <c r="AE227" s="2">
        <v>148.6</v>
      </c>
    </row>
    <row r="228" spans="1:31" x14ac:dyDescent="0.2">
      <c r="A228" t="s">
        <v>34</v>
      </c>
      <c r="B228">
        <v>2019</v>
      </c>
      <c r="C228" t="s">
        <v>53</v>
      </c>
      <c r="D228" s="1">
        <f>DATE(All_India_Index_Upto_April23__1___1[[#This Row],[Year]],MATCH(All_India_Index_Upto_April23__1___1[[#This Row],[Month]],{"January","February","March","April","May","June","July","August","September","October","November","December"},0),1)</f>
        <v>43800</v>
      </c>
      <c r="E228" s="2">
        <v>143.5</v>
      </c>
      <c r="F228" s="2">
        <v>165</v>
      </c>
      <c r="G228">
        <v>151.1</v>
      </c>
      <c r="H228">
        <v>148.30000000000001</v>
      </c>
      <c r="I228">
        <v>125.7</v>
      </c>
      <c r="J228">
        <v>145.69999999999999</v>
      </c>
      <c r="K228">
        <v>217</v>
      </c>
      <c r="L228">
        <v>138.30000000000001</v>
      </c>
      <c r="M228">
        <v>114</v>
      </c>
      <c r="N228">
        <v>148.69999999999999</v>
      </c>
      <c r="O228">
        <v>135.80000000000001</v>
      </c>
      <c r="P228">
        <v>158</v>
      </c>
      <c r="Q228" s="2">
        <v>155</v>
      </c>
      <c r="R228" s="2">
        <v>168.5</v>
      </c>
      <c r="S228" s="2">
        <v>150.30000000000001</v>
      </c>
      <c r="T228" s="2">
        <v>141.30000000000001</v>
      </c>
      <c r="U228" s="3">
        <v>149</v>
      </c>
      <c r="V228" s="2" t="s">
        <v>123</v>
      </c>
      <c r="W228" s="2">
        <v>143.69999999999999</v>
      </c>
      <c r="X228" s="2">
        <v>145.80000000000001</v>
      </c>
      <c r="Y228" s="2">
        <v>150.4</v>
      </c>
      <c r="Z228" s="2">
        <v>129.80000000000001</v>
      </c>
      <c r="AA228" s="2">
        <v>142.30000000000001</v>
      </c>
      <c r="AB228" s="2">
        <v>155.69999999999999</v>
      </c>
      <c r="AC228" s="2">
        <v>140.4</v>
      </c>
      <c r="AD228" s="2">
        <v>142.5</v>
      </c>
      <c r="AE228" s="2">
        <v>150.4</v>
      </c>
    </row>
    <row r="229" spans="1:31" x14ac:dyDescent="0.2">
      <c r="A229" t="s">
        <v>30</v>
      </c>
      <c r="B229">
        <v>2019</v>
      </c>
      <c r="C229" t="s">
        <v>31</v>
      </c>
      <c r="D229" s="1">
        <f>DATE(All_India_Index_Upto_April23__1___1[[#This Row],[Year]],MATCH(All_India_Index_Upto_April23__1___1[[#This Row],[Month]],{"January","February","March","April","May","June","July","August","September","October","November","December"},0),1)</f>
        <v>43466</v>
      </c>
      <c r="E229" s="2">
        <v>136.6</v>
      </c>
      <c r="F229" s="2">
        <v>152.5</v>
      </c>
      <c r="G229">
        <v>138.19999999999999</v>
      </c>
      <c r="H229">
        <v>142.4</v>
      </c>
      <c r="I229">
        <v>123.9</v>
      </c>
      <c r="J229">
        <v>135.5</v>
      </c>
      <c r="K229">
        <v>131.69999999999999</v>
      </c>
      <c r="L229">
        <v>121.3</v>
      </c>
      <c r="M229">
        <v>108.4</v>
      </c>
      <c r="N229">
        <v>138.9</v>
      </c>
      <c r="O229">
        <v>137</v>
      </c>
      <c r="P229">
        <v>155.80000000000001</v>
      </c>
      <c r="Q229" s="2">
        <v>137.4</v>
      </c>
      <c r="R229" s="2">
        <v>162.69999999999999</v>
      </c>
      <c r="S229" s="2">
        <v>150.6</v>
      </c>
      <c r="T229" s="2">
        <v>145.1</v>
      </c>
      <c r="U229" s="3">
        <v>149.9</v>
      </c>
      <c r="V229" s="2"/>
      <c r="W229">
        <v>146.19999999999999</v>
      </c>
      <c r="X229" s="2">
        <v>150.1</v>
      </c>
      <c r="Y229" s="2">
        <v>149.6</v>
      </c>
      <c r="Z229" s="2">
        <v>128.6</v>
      </c>
      <c r="AA229" s="2">
        <v>142.9</v>
      </c>
      <c r="AB229" s="2">
        <v>155.19999999999999</v>
      </c>
      <c r="AC229" s="2">
        <v>133.5</v>
      </c>
      <c r="AD229" s="2">
        <v>141.69999999999999</v>
      </c>
      <c r="AE229" s="2">
        <v>141</v>
      </c>
    </row>
    <row r="230" spans="1:31" x14ac:dyDescent="0.2">
      <c r="A230" t="s">
        <v>32</v>
      </c>
      <c r="B230">
        <v>2019</v>
      </c>
      <c r="C230" t="s">
        <v>31</v>
      </c>
      <c r="D230" s="1">
        <f>DATE(All_India_Index_Upto_April23__1___1[[#This Row],[Year]],MATCH(All_India_Index_Upto_April23__1___1[[#This Row],[Month]],{"January","February","March","April","May","June","July","August","September","October","November","December"},0),1)</f>
        <v>43466</v>
      </c>
      <c r="E230" s="2">
        <v>138.30000000000001</v>
      </c>
      <c r="F230" s="2">
        <v>149.4</v>
      </c>
      <c r="G230">
        <v>143.5</v>
      </c>
      <c r="H230">
        <v>141.69999999999999</v>
      </c>
      <c r="I230">
        <v>118.1</v>
      </c>
      <c r="J230">
        <v>135.19999999999999</v>
      </c>
      <c r="K230">
        <v>130.5</v>
      </c>
      <c r="L230">
        <v>118.2</v>
      </c>
      <c r="M230">
        <v>110.4</v>
      </c>
      <c r="N230">
        <v>140.4</v>
      </c>
      <c r="O230">
        <v>128.1</v>
      </c>
      <c r="P230">
        <v>153.19999999999999</v>
      </c>
      <c r="Q230" s="2">
        <v>137.30000000000001</v>
      </c>
      <c r="R230" s="2">
        <v>164.7</v>
      </c>
      <c r="S230" s="2">
        <v>143</v>
      </c>
      <c r="T230" s="2">
        <v>130.4</v>
      </c>
      <c r="U230" s="3">
        <v>141.1</v>
      </c>
      <c r="V230" s="2" t="s">
        <v>113</v>
      </c>
      <c r="W230" s="2">
        <v>128.6</v>
      </c>
      <c r="X230" s="2">
        <v>136.30000000000001</v>
      </c>
      <c r="Y230" s="2">
        <v>137.80000000000001</v>
      </c>
      <c r="Z230" s="2">
        <v>118.6</v>
      </c>
      <c r="AA230" s="2">
        <v>131.9</v>
      </c>
      <c r="AB230" s="2">
        <v>146.6</v>
      </c>
      <c r="AC230" s="2">
        <v>131.69999999999999</v>
      </c>
      <c r="AD230" s="2">
        <v>131.80000000000001</v>
      </c>
      <c r="AE230" s="2">
        <v>138</v>
      </c>
    </row>
    <row r="231" spans="1:31" x14ac:dyDescent="0.2">
      <c r="A231" t="s">
        <v>30</v>
      </c>
      <c r="B231">
        <v>2019</v>
      </c>
      <c r="C231" t="s">
        <v>35</v>
      </c>
      <c r="D231" s="1">
        <f>DATE(All_India_Index_Upto_April23__1___1[[#This Row],[Year]],MATCH(All_India_Index_Upto_April23__1___1[[#This Row],[Month]],{"January","February","March","April","May","June","July","August","September","October","November","December"},0),1)</f>
        <v>43497</v>
      </c>
      <c r="E231" s="2">
        <v>136.80000000000001</v>
      </c>
      <c r="F231" s="2">
        <v>153</v>
      </c>
      <c r="G231">
        <v>139.1</v>
      </c>
      <c r="H231">
        <v>142.5</v>
      </c>
      <c r="I231">
        <v>124.1</v>
      </c>
      <c r="J231">
        <v>135.80000000000001</v>
      </c>
      <c r="K231">
        <v>128.69999999999999</v>
      </c>
      <c r="L231">
        <v>121.5</v>
      </c>
      <c r="M231">
        <v>108.3</v>
      </c>
      <c r="N231">
        <v>139.19999999999999</v>
      </c>
      <c r="O231">
        <v>137.4</v>
      </c>
      <c r="P231">
        <v>156.19999999999999</v>
      </c>
      <c r="Q231" s="2">
        <v>137.19999999999999</v>
      </c>
      <c r="R231" s="2">
        <v>162.80000000000001</v>
      </c>
      <c r="S231" s="2">
        <v>150.5</v>
      </c>
      <c r="T231" s="2">
        <v>146.1</v>
      </c>
      <c r="U231" s="3">
        <v>149.9</v>
      </c>
      <c r="V231" s="2"/>
      <c r="W231">
        <v>145.30000000000001</v>
      </c>
      <c r="X231" s="2">
        <v>150.1</v>
      </c>
      <c r="Y231" s="2">
        <v>149.9</v>
      </c>
      <c r="Z231" s="2">
        <v>129.19999999999999</v>
      </c>
      <c r="AA231" s="2">
        <v>143.4</v>
      </c>
      <c r="AB231" s="2">
        <v>155.5</v>
      </c>
      <c r="AC231" s="2">
        <v>134.9</v>
      </c>
      <c r="AD231" s="2">
        <v>142.19999999999999</v>
      </c>
      <c r="AE231" s="2">
        <v>141</v>
      </c>
    </row>
    <row r="232" spans="1:31" x14ac:dyDescent="0.2">
      <c r="A232" t="s">
        <v>32</v>
      </c>
      <c r="B232">
        <v>2019</v>
      </c>
      <c r="C232" t="s">
        <v>35</v>
      </c>
      <c r="D232" s="1">
        <f>DATE(All_India_Index_Upto_April23__1___1[[#This Row],[Year]],MATCH(All_India_Index_Upto_April23__1___1[[#This Row],[Month]],{"January","February","March","April","May","June","July","August","September","October","November","December"},0),1)</f>
        <v>43497</v>
      </c>
      <c r="E232" s="2">
        <v>139.4</v>
      </c>
      <c r="F232" s="2">
        <v>150.1</v>
      </c>
      <c r="G232">
        <v>145.30000000000001</v>
      </c>
      <c r="H232">
        <v>141.69999999999999</v>
      </c>
      <c r="I232">
        <v>118.4</v>
      </c>
      <c r="J232">
        <v>137</v>
      </c>
      <c r="K232">
        <v>131.6</v>
      </c>
      <c r="L232">
        <v>119.9</v>
      </c>
      <c r="M232">
        <v>110.4</v>
      </c>
      <c r="N232">
        <v>140.80000000000001</v>
      </c>
      <c r="O232">
        <v>128.30000000000001</v>
      </c>
      <c r="P232">
        <v>153.5</v>
      </c>
      <c r="Q232" s="2">
        <v>138</v>
      </c>
      <c r="R232" s="2">
        <v>164.9</v>
      </c>
      <c r="S232" s="2">
        <v>143.30000000000001</v>
      </c>
      <c r="T232" s="2">
        <v>130.80000000000001</v>
      </c>
      <c r="U232" s="3">
        <v>141.4</v>
      </c>
      <c r="V232" s="2" t="s">
        <v>114</v>
      </c>
      <c r="W232" s="2">
        <v>127.1</v>
      </c>
      <c r="X232" s="2">
        <v>136.6</v>
      </c>
      <c r="Y232" s="2">
        <v>138.5</v>
      </c>
      <c r="Z232" s="2">
        <v>119.2</v>
      </c>
      <c r="AA232" s="2">
        <v>132.19999999999999</v>
      </c>
      <c r="AB232" s="2">
        <v>146.6</v>
      </c>
      <c r="AC232" s="2">
        <v>133</v>
      </c>
      <c r="AD232" s="2">
        <v>132.4</v>
      </c>
      <c r="AE232" s="2">
        <v>138.6</v>
      </c>
    </row>
    <row r="233" spans="1:31" x14ac:dyDescent="0.2">
      <c r="A233" t="s">
        <v>30</v>
      </c>
      <c r="B233">
        <v>2019</v>
      </c>
      <c r="C233" t="s">
        <v>37</v>
      </c>
      <c r="D233" s="1">
        <f>DATE(All_India_Index_Upto_April23__1___1[[#This Row],[Year]],MATCH(All_India_Index_Upto_April23__1___1[[#This Row],[Month]],{"January","February","March","April","May","June","July","August","September","October","November","December"},0),1)</f>
        <v>43525</v>
      </c>
      <c r="E233" s="2">
        <v>136.9</v>
      </c>
      <c r="F233" s="2">
        <v>154.1</v>
      </c>
      <c r="G233">
        <v>138.69999999999999</v>
      </c>
      <c r="H233">
        <v>142.5</v>
      </c>
      <c r="I233">
        <v>124.1</v>
      </c>
      <c r="J233">
        <v>136.1</v>
      </c>
      <c r="K233">
        <v>128.19999999999999</v>
      </c>
      <c r="L233">
        <v>122.3</v>
      </c>
      <c r="M233">
        <v>108.3</v>
      </c>
      <c r="N233">
        <v>138.9</v>
      </c>
      <c r="O233">
        <v>137.4</v>
      </c>
      <c r="P233">
        <v>156.4</v>
      </c>
      <c r="Q233" s="2">
        <v>137.30000000000001</v>
      </c>
      <c r="R233" s="2">
        <v>162.9</v>
      </c>
      <c r="S233" s="2">
        <v>150.80000000000001</v>
      </c>
      <c r="T233" s="2">
        <v>146.1</v>
      </c>
      <c r="U233" s="3">
        <v>150.1</v>
      </c>
      <c r="V233" s="2"/>
      <c r="W233">
        <v>146.4</v>
      </c>
      <c r="X233" s="2">
        <v>150</v>
      </c>
      <c r="Y233" s="2">
        <v>150.4</v>
      </c>
      <c r="Z233" s="2">
        <v>129.9</v>
      </c>
      <c r="AA233" s="2">
        <v>143.80000000000001</v>
      </c>
      <c r="AB233" s="2">
        <v>155.5</v>
      </c>
      <c r="AC233" s="2">
        <v>134</v>
      </c>
      <c r="AD233" s="2">
        <v>142.4</v>
      </c>
      <c r="AE233" s="2">
        <v>141.19999999999999</v>
      </c>
    </row>
    <row r="234" spans="1:31" x14ac:dyDescent="0.2">
      <c r="A234" t="s">
        <v>32</v>
      </c>
      <c r="B234">
        <v>2019</v>
      </c>
      <c r="C234" t="s">
        <v>37</v>
      </c>
      <c r="D234" s="1">
        <f>DATE(All_India_Index_Upto_April23__1___1[[#This Row],[Year]],MATCH(All_India_Index_Upto_April23__1___1[[#This Row],[Month]],{"January","February","March","April","May","June","July","August","September","October","November","December"},0),1)</f>
        <v>43525</v>
      </c>
      <c r="E234" s="2">
        <v>139.69999999999999</v>
      </c>
      <c r="F234" s="2">
        <v>151.1</v>
      </c>
      <c r="G234">
        <v>142.9</v>
      </c>
      <c r="H234">
        <v>141.9</v>
      </c>
      <c r="I234">
        <v>118.4</v>
      </c>
      <c r="J234">
        <v>139.4</v>
      </c>
      <c r="K234">
        <v>141.19999999999999</v>
      </c>
      <c r="L234">
        <v>120.7</v>
      </c>
      <c r="M234">
        <v>110.4</v>
      </c>
      <c r="N234">
        <v>140.69999999999999</v>
      </c>
      <c r="O234">
        <v>128.5</v>
      </c>
      <c r="P234">
        <v>153.9</v>
      </c>
      <c r="Q234" s="2">
        <v>139.6</v>
      </c>
      <c r="R234" s="2">
        <v>165.3</v>
      </c>
      <c r="S234" s="2">
        <v>143.5</v>
      </c>
      <c r="T234" s="2">
        <v>131.19999999999999</v>
      </c>
      <c r="U234" s="3">
        <v>141.6</v>
      </c>
      <c r="V234" s="2" t="s">
        <v>115</v>
      </c>
      <c r="W234" s="2">
        <v>128.80000000000001</v>
      </c>
      <c r="X234" s="2">
        <v>136.80000000000001</v>
      </c>
      <c r="Y234" s="2">
        <v>139.19999999999999</v>
      </c>
      <c r="Z234" s="2">
        <v>119.9</v>
      </c>
      <c r="AA234" s="2">
        <v>133</v>
      </c>
      <c r="AB234" s="2">
        <v>146.69999999999999</v>
      </c>
      <c r="AC234" s="2">
        <v>132.5</v>
      </c>
      <c r="AD234" s="2">
        <v>132.80000000000001</v>
      </c>
      <c r="AE234" s="2">
        <v>139.5</v>
      </c>
    </row>
    <row r="235" spans="1:31" x14ac:dyDescent="0.2">
      <c r="A235" t="s">
        <v>30</v>
      </c>
      <c r="B235">
        <v>2019</v>
      </c>
      <c r="C235" t="s">
        <v>40</v>
      </c>
      <c r="D235" s="1">
        <f>DATE(All_India_Index_Upto_April23__1___1[[#This Row],[Year]],MATCH(All_India_Index_Upto_April23__1___1[[#This Row],[Month]],{"January","February","March","April","May","June","July","August","September","October","November","December"},0),1)</f>
        <v>43586</v>
      </c>
      <c r="E235" s="2">
        <v>137.4</v>
      </c>
      <c r="F235" s="2">
        <v>159.5</v>
      </c>
      <c r="G235">
        <v>134.5</v>
      </c>
      <c r="H235">
        <v>142.6</v>
      </c>
      <c r="I235">
        <v>124</v>
      </c>
      <c r="J235">
        <v>143.69999999999999</v>
      </c>
      <c r="K235">
        <v>133.4</v>
      </c>
      <c r="L235">
        <v>125.1</v>
      </c>
      <c r="M235">
        <v>109.3</v>
      </c>
      <c r="N235">
        <v>139.30000000000001</v>
      </c>
      <c r="O235">
        <v>137.69999999999999</v>
      </c>
      <c r="P235">
        <v>156.4</v>
      </c>
      <c r="Q235" s="2">
        <v>139.19999999999999</v>
      </c>
      <c r="R235" s="2">
        <v>163.30000000000001</v>
      </c>
      <c r="S235" s="2">
        <v>151.30000000000001</v>
      </c>
      <c r="T235" s="2">
        <v>146.6</v>
      </c>
      <c r="U235" s="3">
        <v>150.69999999999999</v>
      </c>
      <c r="V235" s="2"/>
      <c r="W235">
        <v>146.9</v>
      </c>
      <c r="X235" s="2">
        <v>149.5</v>
      </c>
      <c r="Y235" s="2">
        <v>151.30000000000001</v>
      </c>
      <c r="Z235" s="2">
        <v>130.19999999999999</v>
      </c>
      <c r="AA235" s="2">
        <v>145.9</v>
      </c>
      <c r="AB235" s="2">
        <v>156.69999999999999</v>
      </c>
      <c r="AC235" s="2">
        <v>133.9</v>
      </c>
      <c r="AD235" s="2">
        <v>142.9</v>
      </c>
      <c r="AE235" s="2">
        <v>142.4</v>
      </c>
    </row>
    <row r="236" spans="1:31" x14ac:dyDescent="0.2">
      <c r="A236" t="s">
        <v>32</v>
      </c>
      <c r="B236">
        <v>2019</v>
      </c>
      <c r="C236" t="s">
        <v>40</v>
      </c>
      <c r="D236" s="1">
        <f>DATE(All_India_Index_Upto_April23__1___1[[#This Row],[Year]],MATCH(All_India_Index_Upto_April23__1___1[[#This Row],[Month]],{"January","February","March","April","May","June","July","August","September","October","November","December"},0),1)</f>
        <v>43586</v>
      </c>
      <c r="E236" s="2">
        <v>140.4</v>
      </c>
      <c r="F236" s="2">
        <v>156.69999999999999</v>
      </c>
      <c r="G236">
        <v>138.30000000000001</v>
      </c>
      <c r="H236">
        <v>142.4</v>
      </c>
      <c r="I236">
        <v>118.6</v>
      </c>
      <c r="J236">
        <v>149.69999999999999</v>
      </c>
      <c r="K236">
        <v>161.6</v>
      </c>
      <c r="L236">
        <v>124.4</v>
      </c>
      <c r="M236">
        <v>111.2</v>
      </c>
      <c r="N236">
        <v>141</v>
      </c>
      <c r="O236">
        <v>128.9</v>
      </c>
      <c r="P236">
        <v>154.5</v>
      </c>
      <c r="Q236" s="2">
        <v>143.80000000000001</v>
      </c>
      <c r="R236" s="2">
        <v>166.2</v>
      </c>
      <c r="S236" s="2">
        <v>144</v>
      </c>
      <c r="T236" s="2">
        <v>131.69999999999999</v>
      </c>
      <c r="U236" s="3">
        <v>142.19999999999999</v>
      </c>
      <c r="V236" s="2" t="s">
        <v>116</v>
      </c>
      <c r="W236" s="2">
        <v>129.4</v>
      </c>
      <c r="X236" s="2">
        <v>137.19999999999999</v>
      </c>
      <c r="Y236" s="2">
        <v>139.80000000000001</v>
      </c>
      <c r="Z236" s="2">
        <v>120.1</v>
      </c>
      <c r="AA236" s="2">
        <v>134</v>
      </c>
      <c r="AB236" s="2">
        <v>148</v>
      </c>
      <c r="AC236" s="2">
        <v>132.6</v>
      </c>
      <c r="AD236" s="2">
        <v>133.30000000000001</v>
      </c>
      <c r="AE236" s="2">
        <v>141.5</v>
      </c>
    </row>
    <row r="237" spans="1:31" x14ac:dyDescent="0.2">
      <c r="A237" t="s">
        <v>30</v>
      </c>
      <c r="B237">
        <v>2019</v>
      </c>
      <c r="C237" t="s">
        <v>41</v>
      </c>
      <c r="D237" s="1">
        <f>DATE(All_India_Index_Upto_April23__1___1[[#This Row],[Year]],MATCH(All_India_Index_Upto_April23__1___1[[#This Row],[Month]],{"January","February","March","April","May","June","July","August","September","October","November","December"},0),1)</f>
        <v>43617</v>
      </c>
      <c r="E237" s="2">
        <v>137.80000000000001</v>
      </c>
      <c r="F237" s="2">
        <v>163.5</v>
      </c>
      <c r="G237">
        <v>136.19999999999999</v>
      </c>
      <c r="H237">
        <v>143.19999999999999</v>
      </c>
      <c r="I237">
        <v>124.3</v>
      </c>
      <c r="J237">
        <v>143.30000000000001</v>
      </c>
      <c r="K237">
        <v>140.6</v>
      </c>
      <c r="L237">
        <v>128.69999999999999</v>
      </c>
      <c r="M237">
        <v>110.6</v>
      </c>
      <c r="N237">
        <v>140.4</v>
      </c>
      <c r="O237">
        <v>138</v>
      </c>
      <c r="P237">
        <v>156.6</v>
      </c>
      <c r="Q237" s="2">
        <v>141</v>
      </c>
      <c r="R237" s="2">
        <v>164.2</v>
      </c>
      <c r="S237" s="2">
        <v>151.4</v>
      </c>
      <c r="T237" s="2">
        <v>146.5</v>
      </c>
      <c r="U237" s="3">
        <v>150.69999999999999</v>
      </c>
      <c r="V237" s="2"/>
      <c r="W237">
        <v>147.80000000000001</v>
      </c>
      <c r="X237" s="2">
        <v>149.6</v>
      </c>
      <c r="Y237" s="2">
        <v>151.69999999999999</v>
      </c>
      <c r="Z237" s="2">
        <v>130.19999999999999</v>
      </c>
      <c r="AA237" s="2">
        <v>146.4</v>
      </c>
      <c r="AB237" s="2">
        <v>157.69999999999999</v>
      </c>
      <c r="AC237" s="2">
        <v>134.80000000000001</v>
      </c>
      <c r="AD237" s="2">
        <v>143.30000000000001</v>
      </c>
      <c r="AE237" s="2">
        <v>143.6</v>
      </c>
    </row>
    <row r="238" spans="1:31" x14ac:dyDescent="0.2">
      <c r="A238" t="s">
        <v>32</v>
      </c>
      <c r="B238">
        <v>2019</v>
      </c>
      <c r="C238" t="s">
        <v>41</v>
      </c>
      <c r="D238" s="1">
        <f>DATE(All_India_Index_Upto_April23__1___1[[#This Row],[Year]],MATCH(All_India_Index_Upto_April23__1___1[[#This Row],[Month]],{"January","February","March","April","May","June","July","August","September","October","November","December"},0),1)</f>
        <v>43617</v>
      </c>
      <c r="E238" s="2">
        <v>140.69999999999999</v>
      </c>
      <c r="F238" s="2">
        <v>159.6</v>
      </c>
      <c r="G238">
        <v>140.4</v>
      </c>
      <c r="H238">
        <v>143.4</v>
      </c>
      <c r="I238">
        <v>118.6</v>
      </c>
      <c r="J238">
        <v>150.9</v>
      </c>
      <c r="K238">
        <v>169.8</v>
      </c>
      <c r="L238">
        <v>127.4</v>
      </c>
      <c r="M238">
        <v>111.8</v>
      </c>
      <c r="N238">
        <v>141</v>
      </c>
      <c r="O238">
        <v>129</v>
      </c>
      <c r="P238">
        <v>155.1</v>
      </c>
      <c r="Q238" s="2">
        <v>145.6</v>
      </c>
      <c r="R238" s="2">
        <v>166.7</v>
      </c>
      <c r="S238" s="2">
        <v>144.30000000000001</v>
      </c>
      <c r="T238" s="2">
        <v>131.69999999999999</v>
      </c>
      <c r="U238" s="3">
        <v>142.4</v>
      </c>
      <c r="V238" s="2" t="s">
        <v>117</v>
      </c>
      <c r="W238" s="2">
        <v>130.5</v>
      </c>
      <c r="X238" s="2">
        <v>137.4</v>
      </c>
      <c r="Y238" s="2">
        <v>140.30000000000001</v>
      </c>
      <c r="Z238" s="2">
        <v>119.6</v>
      </c>
      <c r="AA238" s="2">
        <v>134.30000000000001</v>
      </c>
      <c r="AB238" s="2">
        <v>148.9</v>
      </c>
      <c r="AC238" s="2">
        <v>133.69999999999999</v>
      </c>
      <c r="AD238" s="2">
        <v>133.6</v>
      </c>
      <c r="AE238" s="2">
        <v>142.1</v>
      </c>
    </row>
    <row r="239" spans="1:31" x14ac:dyDescent="0.2">
      <c r="A239" t="s">
        <v>30</v>
      </c>
      <c r="B239">
        <v>2019</v>
      </c>
      <c r="C239" t="s">
        <v>43</v>
      </c>
      <c r="D239" s="1">
        <f>DATE(All_India_Index_Upto_April23__1___1[[#This Row],[Year]],MATCH(All_India_Index_Upto_April23__1___1[[#This Row],[Month]],{"January","February","March","April","May","June","July","August","September","October","November","December"},0),1)</f>
        <v>43647</v>
      </c>
      <c r="E239" s="2">
        <v>138.4</v>
      </c>
      <c r="F239" s="2">
        <v>164</v>
      </c>
      <c r="G239">
        <v>138.4</v>
      </c>
      <c r="H239">
        <v>143.9</v>
      </c>
      <c r="I239">
        <v>124.4</v>
      </c>
      <c r="J239">
        <v>146.4</v>
      </c>
      <c r="K239">
        <v>150.1</v>
      </c>
      <c r="L239">
        <v>130.6</v>
      </c>
      <c r="M239">
        <v>110.8</v>
      </c>
      <c r="N239">
        <v>141.69999999999999</v>
      </c>
      <c r="O239">
        <v>138.5</v>
      </c>
      <c r="P239">
        <v>156.69999999999999</v>
      </c>
      <c r="Q239" s="2">
        <v>143</v>
      </c>
      <c r="R239" s="2">
        <v>164.5</v>
      </c>
      <c r="S239" s="2">
        <v>151.6</v>
      </c>
      <c r="T239" s="2">
        <v>146.6</v>
      </c>
      <c r="U239" s="3">
        <v>150.9</v>
      </c>
      <c r="V239" s="2"/>
      <c r="W239">
        <v>146.80000000000001</v>
      </c>
      <c r="X239" s="2">
        <v>150</v>
      </c>
      <c r="Y239" s="2">
        <v>152.19999999999999</v>
      </c>
      <c r="Z239" s="2">
        <v>131.19999999999999</v>
      </c>
      <c r="AA239" s="2">
        <v>147.5</v>
      </c>
      <c r="AB239" s="2">
        <v>159.1</v>
      </c>
      <c r="AC239" s="2">
        <v>136.1</v>
      </c>
      <c r="AD239" s="2">
        <v>144.19999999999999</v>
      </c>
      <c r="AE239" s="2">
        <v>144.9</v>
      </c>
    </row>
    <row r="240" spans="1:31" x14ac:dyDescent="0.2">
      <c r="A240" t="s">
        <v>32</v>
      </c>
      <c r="B240">
        <v>2019</v>
      </c>
      <c r="C240" t="s">
        <v>43</v>
      </c>
      <c r="D240" s="1">
        <f>DATE(All_India_Index_Upto_April23__1___1[[#This Row],[Year]],MATCH(All_India_Index_Upto_April23__1___1[[#This Row],[Month]],{"January","February","March","April","May","June","July","August","September","October","November","December"},0),1)</f>
        <v>43647</v>
      </c>
      <c r="E240" s="2">
        <v>141.4</v>
      </c>
      <c r="F240" s="2">
        <v>160.19999999999999</v>
      </c>
      <c r="G240">
        <v>142.5</v>
      </c>
      <c r="H240">
        <v>144.1</v>
      </c>
      <c r="I240">
        <v>119.3</v>
      </c>
      <c r="J240">
        <v>154.69999999999999</v>
      </c>
      <c r="K240">
        <v>180.1</v>
      </c>
      <c r="L240">
        <v>128.9</v>
      </c>
      <c r="M240">
        <v>111.8</v>
      </c>
      <c r="N240">
        <v>141.6</v>
      </c>
      <c r="O240">
        <v>129.5</v>
      </c>
      <c r="P240">
        <v>155.6</v>
      </c>
      <c r="Q240" s="2">
        <v>147.69999999999999</v>
      </c>
      <c r="R240" s="2">
        <v>167.2</v>
      </c>
      <c r="S240" s="2">
        <v>144.69999999999999</v>
      </c>
      <c r="T240" s="2">
        <v>131.9</v>
      </c>
      <c r="U240" s="3">
        <v>142.69999999999999</v>
      </c>
      <c r="V240" s="2" t="s">
        <v>118</v>
      </c>
      <c r="W240" s="2">
        <v>127</v>
      </c>
      <c r="X240" s="2">
        <v>137.69999999999999</v>
      </c>
      <c r="Y240" s="2">
        <v>140.80000000000001</v>
      </c>
      <c r="Z240" s="2">
        <v>120.6</v>
      </c>
      <c r="AA240" s="2">
        <v>135</v>
      </c>
      <c r="AB240" s="2">
        <v>150.4</v>
      </c>
      <c r="AC240" s="2">
        <v>135.1</v>
      </c>
      <c r="AD240" s="2">
        <v>134.5</v>
      </c>
      <c r="AE240" s="2">
        <v>143.30000000000001</v>
      </c>
    </row>
    <row r="241" spans="1:31" x14ac:dyDescent="0.2">
      <c r="A241" t="s">
        <v>30</v>
      </c>
      <c r="B241">
        <v>2019</v>
      </c>
      <c r="C241" t="s">
        <v>45</v>
      </c>
      <c r="D241" s="1">
        <f>DATE(All_India_Index_Upto_April23__1___1[[#This Row],[Year]],MATCH(All_India_Index_Upto_April23__1___1[[#This Row],[Month]],{"January","February","March","April","May","June","July","August","September","October","November","December"},0),1)</f>
        <v>43678</v>
      </c>
      <c r="E241" s="2">
        <v>139.19999999999999</v>
      </c>
      <c r="F241" s="2">
        <v>161.9</v>
      </c>
      <c r="G241">
        <v>137.1</v>
      </c>
      <c r="H241">
        <v>144.6</v>
      </c>
      <c r="I241">
        <v>124.7</v>
      </c>
      <c r="J241">
        <v>145.5</v>
      </c>
      <c r="K241">
        <v>156.19999999999999</v>
      </c>
      <c r="L241">
        <v>131.5</v>
      </c>
      <c r="M241">
        <v>111.7</v>
      </c>
      <c r="N241">
        <v>142.69999999999999</v>
      </c>
      <c r="O241">
        <v>138.5</v>
      </c>
      <c r="P241">
        <v>156.9</v>
      </c>
      <c r="Q241" s="2">
        <v>144</v>
      </c>
      <c r="R241" s="2">
        <v>165.1</v>
      </c>
      <c r="S241" s="2">
        <v>151.80000000000001</v>
      </c>
      <c r="T241" s="2">
        <v>146.6</v>
      </c>
      <c r="U241" s="3">
        <v>151.1</v>
      </c>
      <c r="V241" s="2"/>
      <c r="W241">
        <v>146.4</v>
      </c>
      <c r="X241" s="2">
        <v>150.19999999999999</v>
      </c>
      <c r="Y241" s="2">
        <v>152.69999999999999</v>
      </c>
      <c r="Z241" s="2">
        <v>131.4</v>
      </c>
      <c r="AA241" s="2">
        <v>148</v>
      </c>
      <c r="AB241" s="2">
        <v>159.69999999999999</v>
      </c>
      <c r="AC241" s="2">
        <v>138.80000000000001</v>
      </c>
      <c r="AD241" s="2">
        <v>144.9</v>
      </c>
      <c r="AE241" s="2">
        <v>145.69999999999999</v>
      </c>
    </row>
    <row r="242" spans="1:31" x14ac:dyDescent="0.2">
      <c r="A242" t="s">
        <v>32</v>
      </c>
      <c r="B242">
        <v>2019</v>
      </c>
      <c r="C242" t="s">
        <v>45</v>
      </c>
      <c r="D242" s="1">
        <f>DATE(All_India_Index_Upto_April23__1___1[[#This Row],[Year]],MATCH(All_India_Index_Upto_April23__1___1[[#This Row],[Month]],{"January","February","March","April","May","June","July","August","September","October","November","December"},0),1)</f>
        <v>43678</v>
      </c>
      <c r="E242" s="2">
        <v>142.1</v>
      </c>
      <c r="F242" s="2">
        <v>158.30000000000001</v>
      </c>
      <c r="G242">
        <v>140.80000000000001</v>
      </c>
      <c r="H242">
        <v>144.9</v>
      </c>
      <c r="I242">
        <v>119.9</v>
      </c>
      <c r="J242">
        <v>153.9</v>
      </c>
      <c r="K242">
        <v>189.1</v>
      </c>
      <c r="L242">
        <v>129.80000000000001</v>
      </c>
      <c r="M242">
        <v>112.7</v>
      </c>
      <c r="N242">
        <v>142.5</v>
      </c>
      <c r="O242">
        <v>129.80000000000001</v>
      </c>
      <c r="P242">
        <v>156.19999999999999</v>
      </c>
      <c r="Q242" s="2">
        <v>149.1</v>
      </c>
      <c r="R242" s="2">
        <v>167.9</v>
      </c>
      <c r="S242" s="2">
        <v>145</v>
      </c>
      <c r="T242" s="2">
        <v>132.19999999999999</v>
      </c>
      <c r="U242" s="3">
        <v>143</v>
      </c>
      <c r="V242" s="2" t="s">
        <v>119</v>
      </c>
      <c r="W242" s="2">
        <v>125.5</v>
      </c>
      <c r="X242" s="2">
        <v>138.1</v>
      </c>
      <c r="Y242" s="2">
        <v>141.5</v>
      </c>
      <c r="Z242" s="2">
        <v>120.8</v>
      </c>
      <c r="AA242" s="2">
        <v>135.4</v>
      </c>
      <c r="AB242" s="2">
        <v>151.5</v>
      </c>
      <c r="AC242" s="2">
        <v>137.80000000000001</v>
      </c>
      <c r="AD242" s="2">
        <v>135.30000000000001</v>
      </c>
      <c r="AE242" s="2">
        <v>144.19999999999999</v>
      </c>
    </row>
    <row r="243" spans="1:31" x14ac:dyDescent="0.2">
      <c r="A243" t="s">
        <v>30</v>
      </c>
      <c r="B243">
        <v>2019</v>
      </c>
      <c r="C243" t="s">
        <v>47</v>
      </c>
      <c r="D243" s="1">
        <f>DATE(All_India_Index_Upto_April23__1___1[[#This Row],[Year]],MATCH(All_India_Index_Upto_April23__1___1[[#This Row],[Month]],{"January","February","March","April","May","June","July","August","September","October","November","December"},0),1)</f>
        <v>43709</v>
      </c>
      <c r="E243" s="2">
        <v>140.1</v>
      </c>
      <c r="F243" s="2">
        <v>161.9</v>
      </c>
      <c r="G243">
        <v>138.30000000000001</v>
      </c>
      <c r="H243">
        <v>145.69999999999999</v>
      </c>
      <c r="I243">
        <v>125.1</v>
      </c>
      <c r="J243">
        <v>143.80000000000001</v>
      </c>
      <c r="K243">
        <v>163.4</v>
      </c>
      <c r="L243">
        <v>132.19999999999999</v>
      </c>
      <c r="M243">
        <v>112.8</v>
      </c>
      <c r="N243">
        <v>144.19999999999999</v>
      </c>
      <c r="O243">
        <v>138.5</v>
      </c>
      <c r="P243">
        <v>157.19999999999999</v>
      </c>
      <c r="Q243" s="2">
        <v>145.5</v>
      </c>
      <c r="R243" s="2">
        <v>165.7</v>
      </c>
      <c r="S243" s="2">
        <v>151.69999999999999</v>
      </c>
      <c r="T243" s="2">
        <v>146.6</v>
      </c>
      <c r="U243" s="3">
        <v>151</v>
      </c>
      <c r="V243" s="2"/>
      <c r="W243">
        <v>146.9</v>
      </c>
      <c r="X243" s="2">
        <v>150.30000000000001</v>
      </c>
      <c r="Y243" s="2">
        <v>153.4</v>
      </c>
      <c r="Z243" s="2">
        <v>131.6</v>
      </c>
      <c r="AA243" s="2">
        <v>148.30000000000001</v>
      </c>
      <c r="AB243" s="2">
        <v>160.19999999999999</v>
      </c>
      <c r="AC243" s="2">
        <v>140.19999999999999</v>
      </c>
      <c r="AD243" s="2">
        <v>145.4</v>
      </c>
      <c r="AE243" s="2">
        <v>146.69999999999999</v>
      </c>
    </row>
    <row r="244" spans="1:31" x14ac:dyDescent="0.2">
      <c r="A244" t="s">
        <v>32</v>
      </c>
      <c r="B244">
        <v>2019</v>
      </c>
      <c r="C244" t="s">
        <v>47</v>
      </c>
      <c r="D244" s="1">
        <f>DATE(All_India_Index_Upto_April23__1___1[[#This Row],[Year]],MATCH(All_India_Index_Upto_April23__1___1[[#This Row],[Month]],{"January","February","March","April","May","June","July","August","September","October","November","December"},0),1)</f>
        <v>43709</v>
      </c>
      <c r="E244" s="2">
        <v>142.69999999999999</v>
      </c>
      <c r="F244" s="2">
        <v>158.69999999999999</v>
      </c>
      <c r="G244">
        <v>141.6</v>
      </c>
      <c r="H244">
        <v>144.9</v>
      </c>
      <c r="I244">
        <v>120.8</v>
      </c>
      <c r="J244">
        <v>149.80000000000001</v>
      </c>
      <c r="K244">
        <v>192.4</v>
      </c>
      <c r="L244">
        <v>130.30000000000001</v>
      </c>
      <c r="M244">
        <v>114</v>
      </c>
      <c r="N244">
        <v>143.80000000000001</v>
      </c>
      <c r="O244">
        <v>130</v>
      </c>
      <c r="P244">
        <v>156.4</v>
      </c>
      <c r="Q244" s="2">
        <v>149.5</v>
      </c>
      <c r="R244" s="2">
        <v>168.6</v>
      </c>
      <c r="S244" s="2">
        <v>145.30000000000001</v>
      </c>
      <c r="T244" s="2">
        <v>132.19999999999999</v>
      </c>
      <c r="U244" s="3">
        <v>143.30000000000001</v>
      </c>
      <c r="V244" s="2" t="s">
        <v>120</v>
      </c>
      <c r="W244" s="2">
        <v>126.6</v>
      </c>
      <c r="X244" s="2">
        <v>138.30000000000001</v>
      </c>
      <c r="Y244" s="2">
        <v>141.9</v>
      </c>
      <c r="Z244" s="2">
        <v>121.2</v>
      </c>
      <c r="AA244" s="2">
        <v>135.9</v>
      </c>
      <c r="AB244" s="2">
        <v>151.6</v>
      </c>
      <c r="AC244" s="2">
        <v>139</v>
      </c>
      <c r="AD244" s="2">
        <v>135.69999999999999</v>
      </c>
      <c r="AE244" s="2">
        <v>144.69999999999999</v>
      </c>
    </row>
    <row r="245" spans="1:31" x14ac:dyDescent="0.2">
      <c r="A245" t="s">
        <v>30</v>
      </c>
      <c r="B245">
        <v>2019</v>
      </c>
      <c r="C245" t="s">
        <v>49</v>
      </c>
      <c r="D245" s="1">
        <f>DATE(All_India_Index_Upto_April23__1___1[[#This Row],[Year]],MATCH(All_India_Index_Upto_April23__1___1[[#This Row],[Month]],{"January","February","March","April","May","June","July","August","September","October","November","December"},0),1)</f>
        <v>43739</v>
      </c>
      <c r="E245" s="2">
        <v>141</v>
      </c>
      <c r="F245" s="2">
        <v>161.6</v>
      </c>
      <c r="G245">
        <v>141.19999999999999</v>
      </c>
      <c r="H245">
        <v>146.5</v>
      </c>
      <c r="I245">
        <v>125.6</v>
      </c>
      <c r="J245">
        <v>145.69999999999999</v>
      </c>
      <c r="K245">
        <v>178.8</v>
      </c>
      <c r="L245">
        <v>133.1</v>
      </c>
      <c r="M245">
        <v>113.6</v>
      </c>
      <c r="N245">
        <v>145.5</v>
      </c>
      <c r="O245">
        <v>138.6</v>
      </c>
      <c r="P245">
        <v>157.4</v>
      </c>
      <c r="Q245" s="2">
        <v>148.30000000000001</v>
      </c>
      <c r="R245" s="2">
        <v>166.3</v>
      </c>
      <c r="S245" s="2">
        <v>151.69999999999999</v>
      </c>
      <c r="T245" s="2">
        <v>146.69999999999999</v>
      </c>
      <c r="U245" s="3">
        <v>151</v>
      </c>
      <c r="V245" s="2"/>
      <c r="W245">
        <v>147.69999999999999</v>
      </c>
      <c r="X245" s="2">
        <v>150.6</v>
      </c>
      <c r="Y245" s="2">
        <v>153.69999999999999</v>
      </c>
      <c r="Z245" s="2">
        <v>131.69999999999999</v>
      </c>
      <c r="AA245" s="2">
        <v>148.69999999999999</v>
      </c>
      <c r="AB245" s="2">
        <v>160.69999999999999</v>
      </c>
      <c r="AC245" s="2">
        <v>140.30000000000001</v>
      </c>
      <c r="AD245" s="2">
        <v>145.69999999999999</v>
      </c>
      <c r="AE245" s="2">
        <v>148.30000000000001</v>
      </c>
    </row>
    <row r="246" spans="1:31" x14ac:dyDescent="0.2">
      <c r="A246" t="s">
        <v>32</v>
      </c>
      <c r="B246">
        <v>2019</v>
      </c>
      <c r="C246" t="s">
        <v>49</v>
      </c>
      <c r="D246" s="1">
        <f>DATE(All_India_Index_Upto_April23__1___1[[#This Row],[Year]],MATCH(All_India_Index_Upto_April23__1___1[[#This Row],[Month]],{"January","February","March","April","May","June","July","August","September","October","November","December"},0),1)</f>
        <v>43739</v>
      </c>
      <c r="E246" s="2">
        <v>143.5</v>
      </c>
      <c r="F246" s="2">
        <v>159.80000000000001</v>
      </c>
      <c r="G246">
        <v>144.69999999999999</v>
      </c>
      <c r="H246">
        <v>145.6</v>
      </c>
      <c r="I246">
        <v>121.1</v>
      </c>
      <c r="J246">
        <v>150.6</v>
      </c>
      <c r="K246">
        <v>207.2</v>
      </c>
      <c r="L246">
        <v>131.19999999999999</v>
      </c>
      <c r="M246">
        <v>114.8</v>
      </c>
      <c r="N246">
        <v>145.19999999999999</v>
      </c>
      <c r="O246">
        <v>130.19999999999999</v>
      </c>
      <c r="P246">
        <v>156.80000000000001</v>
      </c>
      <c r="Q246" s="2">
        <v>151.9</v>
      </c>
      <c r="R246" s="2">
        <v>169.3</v>
      </c>
      <c r="S246" s="2">
        <v>145.9</v>
      </c>
      <c r="T246" s="2">
        <v>132.4</v>
      </c>
      <c r="U246" s="3">
        <v>143.9</v>
      </c>
      <c r="V246" s="2" t="s">
        <v>121</v>
      </c>
      <c r="W246" s="2">
        <v>128.9</v>
      </c>
      <c r="X246" s="2">
        <v>138.69999999999999</v>
      </c>
      <c r="Y246" s="2">
        <v>142.4</v>
      </c>
      <c r="Z246" s="2">
        <v>121.5</v>
      </c>
      <c r="AA246" s="2">
        <v>136.19999999999999</v>
      </c>
      <c r="AB246" s="2">
        <v>151.69999999999999</v>
      </c>
      <c r="AC246" s="2">
        <v>139.5</v>
      </c>
      <c r="AD246" s="2">
        <v>136</v>
      </c>
      <c r="AE246" s="2">
        <v>146</v>
      </c>
    </row>
    <row r="247" spans="1:31" x14ac:dyDescent="0.2">
      <c r="A247" t="s">
        <v>30</v>
      </c>
      <c r="B247">
        <v>2019</v>
      </c>
      <c r="C247" t="s">
        <v>51</v>
      </c>
      <c r="D247" s="1">
        <f>DATE(All_India_Index_Upto_April23__1___1[[#This Row],[Year]],MATCH(All_India_Index_Upto_April23__1___1[[#This Row],[Month]],{"January","February","March","April","May","June","July","August","September","October","November","December"},0),1)</f>
        <v>43770</v>
      </c>
      <c r="E247" s="2">
        <v>141.80000000000001</v>
      </c>
      <c r="F247" s="2">
        <v>163.69999999999999</v>
      </c>
      <c r="G247">
        <v>143.80000000000001</v>
      </c>
      <c r="H247">
        <v>147.1</v>
      </c>
      <c r="I247">
        <v>126</v>
      </c>
      <c r="J247">
        <v>146.19999999999999</v>
      </c>
      <c r="K247">
        <v>191.4</v>
      </c>
      <c r="L247">
        <v>136.19999999999999</v>
      </c>
      <c r="M247">
        <v>113.8</v>
      </c>
      <c r="N247">
        <v>147.30000000000001</v>
      </c>
      <c r="O247">
        <v>138.69999999999999</v>
      </c>
      <c r="P247">
        <v>157.69999999999999</v>
      </c>
      <c r="Q247" s="2">
        <v>150.9</v>
      </c>
      <c r="R247" s="2">
        <v>167.2</v>
      </c>
      <c r="S247" s="2">
        <v>152.30000000000001</v>
      </c>
      <c r="T247" s="2">
        <v>147</v>
      </c>
      <c r="U247" s="3">
        <v>151.5</v>
      </c>
      <c r="V247" s="2"/>
      <c r="W247">
        <v>148.4</v>
      </c>
      <c r="X247" s="2">
        <v>150.9</v>
      </c>
      <c r="Y247" s="2">
        <v>154.30000000000001</v>
      </c>
      <c r="Z247" s="2">
        <v>132.1</v>
      </c>
      <c r="AA247" s="2">
        <v>149.1</v>
      </c>
      <c r="AB247" s="2">
        <v>160.80000000000001</v>
      </c>
      <c r="AC247" s="2">
        <v>140.6</v>
      </c>
      <c r="AD247" s="2">
        <v>146.1</v>
      </c>
      <c r="AE247" s="2">
        <v>149.9</v>
      </c>
    </row>
    <row r="248" spans="1:31" x14ac:dyDescent="0.2">
      <c r="A248" t="s">
        <v>32</v>
      </c>
      <c r="B248">
        <v>2019</v>
      </c>
      <c r="C248" t="s">
        <v>51</v>
      </c>
      <c r="D248" s="1">
        <f>DATE(All_India_Index_Upto_April23__1___1[[#This Row],[Year]],MATCH(All_India_Index_Upto_April23__1___1[[#This Row],[Month]],{"January","February","March","April","May","June","July","August","September","October","November","December"},0),1)</f>
        <v>43770</v>
      </c>
      <c r="E248" s="2">
        <v>144.1</v>
      </c>
      <c r="F248" s="2">
        <v>162.4</v>
      </c>
      <c r="G248">
        <v>148.4</v>
      </c>
      <c r="H248">
        <v>145.9</v>
      </c>
      <c r="I248">
        <v>121.5</v>
      </c>
      <c r="J248">
        <v>148.80000000000001</v>
      </c>
      <c r="K248">
        <v>215.7</v>
      </c>
      <c r="L248">
        <v>134.6</v>
      </c>
      <c r="M248">
        <v>115</v>
      </c>
      <c r="N248">
        <v>146.30000000000001</v>
      </c>
      <c r="O248">
        <v>130.5</v>
      </c>
      <c r="P248">
        <v>157.19999999999999</v>
      </c>
      <c r="Q248" s="2">
        <v>153.6</v>
      </c>
      <c r="R248" s="2">
        <v>169.9</v>
      </c>
      <c r="S248" s="2">
        <v>146.30000000000001</v>
      </c>
      <c r="T248" s="2">
        <v>132.6</v>
      </c>
      <c r="U248" s="3">
        <v>144.19999999999999</v>
      </c>
      <c r="V248" s="2" t="s">
        <v>122</v>
      </c>
      <c r="W248" s="2">
        <v>132.19999999999999</v>
      </c>
      <c r="X248" s="2">
        <v>139.1</v>
      </c>
      <c r="Y248" s="2">
        <v>142.80000000000001</v>
      </c>
      <c r="Z248" s="2">
        <v>121.7</v>
      </c>
      <c r="AA248" s="2">
        <v>136.69999999999999</v>
      </c>
      <c r="AB248" s="2">
        <v>151.80000000000001</v>
      </c>
      <c r="AC248" s="2">
        <v>139.80000000000001</v>
      </c>
      <c r="AD248" s="2">
        <v>136.30000000000001</v>
      </c>
      <c r="AE248" s="2">
        <v>147</v>
      </c>
    </row>
    <row r="249" spans="1:31" x14ac:dyDescent="0.2">
      <c r="A249" t="s">
        <v>30</v>
      </c>
      <c r="B249">
        <v>2019</v>
      </c>
      <c r="C249" t="s">
        <v>53</v>
      </c>
      <c r="D249" s="1">
        <f>DATE(All_India_Index_Upto_April23__1___1[[#This Row],[Year]],MATCH(All_India_Index_Upto_April23__1___1[[#This Row],[Month]],{"January","February","March","April","May","June","July","August","September","October","November","December"},0),1)</f>
        <v>43800</v>
      </c>
      <c r="E249" s="2">
        <v>142.80000000000001</v>
      </c>
      <c r="F249" s="2">
        <v>165.3</v>
      </c>
      <c r="G249">
        <v>149.5</v>
      </c>
      <c r="H249">
        <v>148.69999999999999</v>
      </c>
      <c r="I249">
        <v>127.5</v>
      </c>
      <c r="J249">
        <v>144.30000000000001</v>
      </c>
      <c r="K249">
        <v>209.5</v>
      </c>
      <c r="L249">
        <v>138.80000000000001</v>
      </c>
      <c r="M249">
        <v>113.6</v>
      </c>
      <c r="N249">
        <v>149.1</v>
      </c>
      <c r="O249">
        <v>139.30000000000001</v>
      </c>
      <c r="P249">
        <v>158.30000000000001</v>
      </c>
      <c r="Q249" s="2">
        <v>154.30000000000001</v>
      </c>
      <c r="R249" s="2">
        <v>167.8</v>
      </c>
      <c r="S249" s="2">
        <v>152.6</v>
      </c>
      <c r="T249" s="2">
        <v>147.30000000000001</v>
      </c>
      <c r="U249" s="3">
        <v>151.9</v>
      </c>
      <c r="V249" s="2"/>
      <c r="W249">
        <v>149.9</v>
      </c>
      <c r="X249" s="2">
        <v>151.19999999999999</v>
      </c>
      <c r="Y249" s="2">
        <v>154.80000000000001</v>
      </c>
      <c r="Z249" s="2">
        <v>135</v>
      </c>
      <c r="AA249" s="2">
        <v>149.5</v>
      </c>
      <c r="AB249" s="2">
        <v>161.1</v>
      </c>
      <c r="AC249" s="2">
        <v>140.6</v>
      </c>
      <c r="AD249" s="2">
        <v>147.1</v>
      </c>
      <c r="AE249" s="2">
        <v>152.30000000000001</v>
      </c>
    </row>
    <row r="250" spans="1:31" x14ac:dyDescent="0.2">
      <c r="A250" t="s">
        <v>32</v>
      </c>
      <c r="B250">
        <v>2019</v>
      </c>
      <c r="C250" t="s">
        <v>53</v>
      </c>
      <c r="D250" s="1">
        <f>DATE(All_India_Index_Upto_April23__1___1[[#This Row],[Year]],MATCH(All_India_Index_Upto_April23__1___1[[#This Row],[Month]],{"January","February","March","April","May","June","July","August","September","October","November","December"},0),1)</f>
        <v>43800</v>
      </c>
      <c r="E250" s="2">
        <v>144.9</v>
      </c>
      <c r="F250" s="2">
        <v>164.5</v>
      </c>
      <c r="G250">
        <v>153.69999999999999</v>
      </c>
      <c r="H250">
        <v>147.5</v>
      </c>
      <c r="I250">
        <v>122.7</v>
      </c>
      <c r="J250">
        <v>147.19999999999999</v>
      </c>
      <c r="K250">
        <v>231.5</v>
      </c>
      <c r="L250">
        <v>137.19999999999999</v>
      </c>
      <c r="M250">
        <v>114.7</v>
      </c>
      <c r="N250">
        <v>148</v>
      </c>
      <c r="O250">
        <v>130.80000000000001</v>
      </c>
      <c r="P250">
        <v>157.69999999999999</v>
      </c>
      <c r="Q250" s="2">
        <v>156.30000000000001</v>
      </c>
      <c r="R250" s="2">
        <v>170.4</v>
      </c>
      <c r="S250" s="2">
        <v>146.80000000000001</v>
      </c>
      <c r="T250" s="2">
        <v>132.80000000000001</v>
      </c>
      <c r="U250" s="3">
        <v>144.6</v>
      </c>
      <c r="V250" s="2" t="s">
        <v>123</v>
      </c>
      <c r="W250" s="2">
        <v>133.6</v>
      </c>
      <c r="X250" s="2">
        <v>139.80000000000001</v>
      </c>
      <c r="Y250" s="2">
        <v>143.19999999999999</v>
      </c>
      <c r="Z250" s="2">
        <v>125.2</v>
      </c>
      <c r="AA250" s="2">
        <v>136.80000000000001</v>
      </c>
      <c r="AB250" s="2">
        <v>151.9</v>
      </c>
      <c r="AC250" s="2">
        <v>140.19999999999999</v>
      </c>
      <c r="AD250" s="2">
        <v>137.69999999999999</v>
      </c>
      <c r="AE250" s="2">
        <v>148.30000000000001</v>
      </c>
    </row>
    <row r="251" spans="1:31" x14ac:dyDescent="0.2">
      <c r="A251" t="s">
        <v>34</v>
      </c>
      <c r="B251">
        <v>2020</v>
      </c>
      <c r="C251" t="s">
        <v>31</v>
      </c>
      <c r="D251" s="1">
        <f>DATE(All_India_Index_Upto_April23__1___1[[#This Row],[Year]],MATCH(All_India_Index_Upto_April23__1___1[[#This Row],[Month]],{"January","February","March","April","May","June","July","August","September","October","November","December"},0),1)</f>
        <v>43831</v>
      </c>
      <c r="E251" s="2">
        <v>144.30000000000001</v>
      </c>
      <c r="F251" s="2">
        <v>167.4</v>
      </c>
      <c r="G251">
        <v>154.9</v>
      </c>
      <c r="H251">
        <v>150.1</v>
      </c>
      <c r="I251">
        <v>129.9</v>
      </c>
      <c r="J251">
        <v>143.19999999999999</v>
      </c>
      <c r="K251">
        <v>197</v>
      </c>
      <c r="L251">
        <v>140.4</v>
      </c>
      <c r="M251">
        <v>114.1</v>
      </c>
      <c r="N251">
        <v>150.9</v>
      </c>
      <c r="O251">
        <v>136.1</v>
      </c>
      <c r="P251">
        <v>158.6</v>
      </c>
      <c r="Q251" s="2">
        <v>153.5</v>
      </c>
      <c r="R251" s="2">
        <v>169.2</v>
      </c>
      <c r="S251" s="2">
        <v>150.5</v>
      </c>
      <c r="T251" s="2">
        <v>141.5</v>
      </c>
      <c r="U251" s="3">
        <v>149.19999999999999</v>
      </c>
      <c r="V251" s="2" t="s">
        <v>124</v>
      </c>
      <c r="W251" s="2">
        <v>144.6</v>
      </c>
      <c r="X251" s="2">
        <v>146.19999999999999</v>
      </c>
      <c r="Y251" s="2">
        <v>151.19999999999999</v>
      </c>
      <c r="Z251" s="2">
        <v>130.9</v>
      </c>
      <c r="AA251" s="2">
        <v>142.80000000000001</v>
      </c>
      <c r="AB251" s="2">
        <v>156.1</v>
      </c>
      <c r="AC251" s="2">
        <v>142.30000000000001</v>
      </c>
      <c r="AD251" s="2">
        <v>143.4</v>
      </c>
      <c r="AE251" s="2">
        <v>150.19999999999999</v>
      </c>
    </row>
    <row r="252" spans="1:31" x14ac:dyDescent="0.2">
      <c r="A252" t="s">
        <v>34</v>
      </c>
      <c r="B252">
        <v>2020</v>
      </c>
      <c r="C252" t="s">
        <v>35</v>
      </c>
      <c r="D252" s="1">
        <f>DATE(All_India_Index_Upto_April23__1___1[[#This Row],[Year]],MATCH(All_India_Index_Upto_April23__1___1[[#This Row],[Month]],{"January","February","March","April","May","June","July","August","September","October","November","December"},0),1)</f>
        <v>43862</v>
      </c>
      <c r="E252" s="2">
        <v>144.80000000000001</v>
      </c>
      <c r="F252" s="2">
        <v>167.5</v>
      </c>
      <c r="G252">
        <v>151.80000000000001</v>
      </c>
      <c r="H252">
        <v>150.80000000000001</v>
      </c>
      <c r="I252">
        <v>131.4</v>
      </c>
      <c r="J252">
        <v>141.80000000000001</v>
      </c>
      <c r="K252">
        <v>170.7</v>
      </c>
      <c r="L252">
        <v>141.1</v>
      </c>
      <c r="M252">
        <v>113.6</v>
      </c>
      <c r="N252">
        <v>152</v>
      </c>
      <c r="O252">
        <v>136.5</v>
      </c>
      <c r="P252">
        <v>159.1</v>
      </c>
      <c r="Q252" s="2">
        <v>150.5</v>
      </c>
      <c r="R252" s="2">
        <v>170.1</v>
      </c>
      <c r="S252" s="2">
        <v>150.80000000000001</v>
      </c>
      <c r="T252" s="2">
        <v>141.69999999999999</v>
      </c>
      <c r="U252" s="3">
        <v>149.5</v>
      </c>
      <c r="V252" s="2" t="s">
        <v>125</v>
      </c>
      <c r="W252" s="2">
        <v>147.19999999999999</v>
      </c>
      <c r="X252" s="2">
        <v>146.4</v>
      </c>
      <c r="Y252" s="2">
        <v>151.69999999999999</v>
      </c>
      <c r="Z252" s="2">
        <v>130.30000000000001</v>
      </c>
      <c r="AA252" s="2">
        <v>143.19999999999999</v>
      </c>
      <c r="AB252" s="2">
        <v>156.19999999999999</v>
      </c>
      <c r="AC252" s="2">
        <v>143.4</v>
      </c>
      <c r="AD252" s="2">
        <v>143.6</v>
      </c>
      <c r="AE252" s="2">
        <v>149.1</v>
      </c>
    </row>
    <row r="253" spans="1:31" x14ac:dyDescent="0.2">
      <c r="A253" t="s">
        <v>34</v>
      </c>
      <c r="B253">
        <v>2020</v>
      </c>
      <c r="C253" t="s">
        <v>37</v>
      </c>
      <c r="D253" s="1">
        <f>DATE(All_India_Index_Upto_April23__1___1[[#This Row],[Year]],MATCH(All_India_Index_Upto_April23__1___1[[#This Row],[Month]],{"January","February","March","April","May","June","July","August","September","October","November","December"},0),1)</f>
        <v>43891</v>
      </c>
      <c r="E253" s="2">
        <v>145.1</v>
      </c>
      <c r="F253" s="2">
        <v>167</v>
      </c>
      <c r="G253">
        <v>148.1</v>
      </c>
      <c r="H253">
        <v>151.5</v>
      </c>
      <c r="I253">
        <v>131.19999999999999</v>
      </c>
      <c r="J253">
        <v>142.5</v>
      </c>
      <c r="K253">
        <v>157.30000000000001</v>
      </c>
      <c r="L253">
        <v>141.1</v>
      </c>
      <c r="M253">
        <v>113.2</v>
      </c>
      <c r="N253">
        <v>153.19999999999999</v>
      </c>
      <c r="O253">
        <v>136.69999999999999</v>
      </c>
      <c r="P253">
        <v>159.6</v>
      </c>
      <c r="Q253" s="2">
        <v>148.9</v>
      </c>
      <c r="R253" s="2">
        <v>171.2</v>
      </c>
      <c r="S253" s="2">
        <v>151.19999999999999</v>
      </c>
      <c r="T253" s="2">
        <v>141.9</v>
      </c>
      <c r="U253" s="3">
        <v>149.80000000000001</v>
      </c>
      <c r="V253" s="2" t="s">
        <v>126</v>
      </c>
      <c r="W253" s="2">
        <v>148.9</v>
      </c>
      <c r="X253" s="2">
        <v>146.4</v>
      </c>
      <c r="Y253" s="2">
        <v>152.30000000000001</v>
      </c>
      <c r="Z253" s="2">
        <v>129.9</v>
      </c>
      <c r="AA253" s="2">
        <v>143.69999999999999</v>
      </c>
      <c r="AB253" s="2">
        <v>156.1</v>
      </c>
      <c r="AC253" s="2">
        <v>145.19999999999999</v>
      </c>
      <c r="AD253" s="2">
        <v>143.80000000000001</v>
      </c>
      <c r="AE253" s="2">
        <v>148.6</v>
      </c>
    </row>
    <row r="254" spans="1:31" x14ac:dyDescent="0.2">
      <c r="A254" t="s">
        <v>34</v>
      </c>
      <c r="B254">
        <v>2020</v>
      </c>
      <c r="C254" t="s">
        <v>38</v>
      </c>
      <c r="D254" s="1">
        <f>DATE(All_India_Index_Upto_April23__1___1[[#This Row],[Year]],MATCH(All_India_Index_Upto_April23__1___1[[#This Row],[Month]],{"January","February","March","April","May","June","July","August","September","October","November","December"},0),1)</f>
        <v>43922</v>
      </c>
      <c r="E254" s="2">
        <v>148.69999999999999</v>
      </c>
      <c r="F254" s="2">
        <f>(F251+F260)/2</f>
        <v>178.15</v>
      </c>
      <c r="G254">
        <v>148.80000000000001</v>
      </c>
      <c r="H254">
        <v>155.6</v>
      </c>
      <c r="I254">
        <v>135.1</v>
      </c>
      <c r="J254">
        <v>149.9</v>
      </c>
      <c r="K254">
        <v>168.6</v>
      </c>
      <c r="L254">
        <v>150.4</v>
      </c>
      <c r="M254">
        <v>120.3</v>
      </c>
      <c r="N254">
        <v>157.1</v>
      </c>
      <c r="O254">
        <v>136.80000000000001</v>
      </c>
      <c r="P254">
        <f>(P251+P260)/2</f>
        <v>160.89999999999998</v>
      </c>
      <c r="Q254" s="2">
        <v>151.4</v>
      </c>
      <c r="R254" s="2">
        <f>(R251+R260)/2</f>
        <v>176.75</v>
      </c>
      <c r="S254" s="2">
        <f>(S251+S260)/2</f>
        <v>152.1</v>
      </c>
      <c r="T254" s="2">
        <f>(T251+T260)/2</f>
        <v>143.05000000000001</v>
      </c>
      <c r="U254" s="3">
        <f>(U251+U260)/2</f>
        <v>150.75</v>
      </c>
      <c r="V254" s="2" t="s">
        <v>127</v>
      </c>
      <c r="W254" s="2">
        <v>144.1</v>
      </c>
      <c r="X254" s="2">
        <f>(X251+X260)/2</f>
        <v>147.44999999999999</v>
      </c>
      <c r="Y254" s="2">
        <v>150.69999999999999</v>
      </c>
      <c r="Z254" s="2">
        <f t="shared" ref="Z254:AE254" si="0">(Z251+Z260)/2</f>
        <v>135.75</v>
      </c>
      <c r="AA254" s="2">
        <f t="shared" si="0"/>
        <v>144.65</v>
      </c>
      <c r="AB254" s="2">
        <f t="shared" si="0"/>
        <v>157.30000000000001</v>
      </c>
      <c r="AC254" s="2">
        <f t="shared" si="0"/>
        <v>149.65</v>
      </c>
      <c r="AD254" s="2">
        <f t="shared" si="0"/>
        <v>146.9</v>
      </c>
      <c r="AE254" s="2">
        <f t="shared" si="0"/>
        <v>153.30000000000001</v>
      </c>
    </row>
    <row r="255" spans="1:31" x14ac:dyDescent="0.2">
      <c r="A255" t="s">
        <v>34</v>
      </c>
      <c r="B255">
        <v>2020</v>
      </c>
      <c r="C255" t="s">
        <v>40</v>
      </c>
      <c r="D255" s="1">
        <f>DATE(All_India_Index_Upto_April23__1___1[[#This Row],[Year]],MATCH(All_India_Index_Upto_April23__1___1[[#This Row],[Month]],{"January","February","March","April","May","June","July","August","September","October","November","December"},0),1)</f>
        <v>43952</v>
      </c>
      <c r="E255" s="2">
        <f>(E252+E258)/2</f>
        <v>146.85000000000002</v>
      </c>
      <c r="F255" s="2">
        <f>(F253+F258)/2</f>
        <v>178.95</v>
      </c>
      <c r="G255">
        <f t="shared" ref="G255:AE255" si="1">(G252+G258)/2</f>
        <v>151.30000000000001</v>
      </c>
      <c r="H255">
        <f t="shared" si="1"/>
        <v>152.05000000000001</v>
      </c>
      <c r="I255">
        <f t="shared" si="1"/>
        <v>134.4</v>
      </c>
      <c r="J255">
        <f t="shared" si="1"/>
        <v>146.10000000000002</v>
      </c>
      <c r="K255">
        <f t="shared" si="1"/>
        <v>174.39999999999998</v>
      </c>
      <c r="L255">
        <f t="shared" si="1"/>
        <v>145.75</v>
      </c>
      <c r="M255">
        <f t="shared" si="1"/>
        <v>114.35</v>
      </c>
      <c r="N255">
        <f t="shared" si="1"/>
        <v>156</v>
      </c>
      <c r="O255">
        <f t="shared" si="1"/>
        <v>138.55000000000001</v>
      </c>
      <c r="P255">
        <f t="shared" si="1"/>
        <v>160.69999999999999</v>
      </c>
      <c r="Q255" s="2">
        <f t="shared" si="1"/>
        <v>153.75</v>
      </c>
      <c r="R255" s="2">
        <f t="shared" si="1"/>
        <v>176.35</v>
      </c>
      <c r="S255" s="2">
        <f t="shared" si="1"/>
        <v>151.94999999999999</v>
      </c>
      <c r="T255" s="2">
        <f t="shared" si="1"/>
        <v>142.55000000000001</v>
      </c>
      <c r="U255" s="3">
        <f t="shared" si="1"/>
        <v>150.6</v>
      </c>
      <c r="V255" s="2">
        <f t="shared" si="1"/>
        <v>155.15</v>
      </c>
      <c r="W255" s="2">
        <f t="shared" si="1"/>
        <v>145.1</v>
      </c>
      <c r="X255" s="2">
        <f t="shared" si="1"/>
        <v>147.4</v>
      </c>
      <c r="Y255" s="2">
        <f t="shared" si="1"/>
        <v>153.35</v>
      </c>
      <c r="Z255" s="2">
        <f t="shared" si="1"/>
        <v>134.4</v>
      </c>
      <c r="AA255" s="2">
        <f t="shared" si="1"/>
        <v>144.6</v>
      </c>
      <c r="AB255" s="2">
        <f t="shared" si="1"/>
        <v>157.35</v>
      </c>
      <c r="AC255" s="2">
        <f t="shared" si="1"/>
        <v>148.85000000000002</v>
      </c>
      <c r="AD255" s="2">
        <f t="shared" si="1"/>
        <v>146.30000000000001</v>
      </c>
      <c r="AE255" s="2">
        <f t="shared" si="1"/>
        <v>151.5</v>
      </c>
    </row>
    <row r="256" spans="1:31" x14ac:dyDescent="0.2">
      <c r="A256" t="s">
        <v>34</v>
      </c>
      <c r="B256">
        <v>2020</v>
      </c>
      <c r="C256" t="s">
        <v>41</v>
      </c>
      <c r="D256" s="1">
        <f>DATE(All_India_Index_Upto_April23__1___1[[#This Row],[Year]],MATCH(All_India_Index_Upto_April23__1___1[[#This Row],[Month]],{"January","February","March","April","May","June","July","August","September","October","November","December"},0),1)</f>
        <v>43983</v>
      </c>
      <c r="E256" s="2">
        <v>149.6</v>
      </c>
      <c r="F256" s="2">
        <v>192.7</v>
      </c>
      <c r="G256">
        <v>151.4</v>
      </c>
      <c r="H256">
        <v>153.30000000000001</v>
      </c>
      <c r="I256">
        <v>136.30000000000001</v>
      </c>
      <c r="J256">
        <v>147.19999999999999</v>
      </c>
      <c r="K256">
        <v>156.5</v>
      </c>
      <c r="L256">
        <v>150.9</v>
      </c>
      <c r="M256">
        <v>114.2</v>
      </c>
      <c r="N256">
        <v>159.5</v>
      </c>
      <c r="O256">
        <v>139.4</v>
      </c>
      <c r="P256">
        <v>161.80000000000001</v>
      </c>
      <c r="Q256" s="2">
        <v>154</v>
      </c>
      <c r="R256" s="2">
        <v>183.5</v>
      </c>
      <c r="S256" s="2">
        <v>152.5</v>
      </c>
      <c r="T256" s="2">
        <v>144.4</v>
      </c>
      <c r="U256" s="3">
        <v>151.4</v>
      </c>
      <c r="V256" s="2" t="s">
        <v>128</v>
      </c>
      <c r="W256" s="2">
        <v>141.9</v>
      </c>
      <c r="X256" s="2">
        <v>146.4</v>
      </c>
      <c r="Y256" s="2">
        <v>154.4</v>
      </c>
      <c r="Z256" s="2">
        <v>135</v>
      </c>
      <c r="AA256" s="2">
        <v>148.30000000000001</v>
      </c>
      <c r="AB256" s="2">
        <v>156.4</v>
      </c>
      <c r="AC256" s="2">
        <v>151.6</v>
      </c>
      <c r="AD256" s="2">
        <v>147</v>
      </c>
      <c r="AE256" s="2">
        <v>151.80000000000001</v>
      </c>
    </row>
    <row r="257" spans="1:31" x14ac:dyDescent="0.2">
      <c r="A257" t="s">
        <v>34</v>
      </c>
      <c r="B257">
        <v>2020</v>
      </c>
      <c r="C257" t="s">
        <v>43</v>
      </c>
      <c r="D257" s="1">
        <f>DATE(All_India_Index_Upto_April23__1___1[[#This Row],[Year]],MATCH(All_India_Index_Upto_April23__1___1[[#This Row],[Month]],{"January","February","March","April","May","June","July","August","September","October","November","December"},0),1)</f>
        <v>44013</v>
      </c>
      <c r="E257" s="2">
        <v>149.6</v>
      </c>
      <c r="F257" s="2">
        <v>192.7</v>
      </c>
      <c r="G257">
        <v>151.4</v>
      </c>
      <c r="H257">
        <v>153.30000000000001</v>
      </c>
      <c r="I257">
        <v>136.30000000000001</v>
      </c>
      <c r="J257">
        <v>147.19999999999999</v>
      </c>
      <c r="K257">
        <v>156.5</v>
      </c>
      <c r="L257">
        <v>150.9</v>
      </c>
      <c r="M257">
        <v>114.2</v>
      </c>
      <c r="N257">
        <v>159.5</v>
      </c>
      <c r="O257">
        <v>139.4</v>
      </c>
      <c r="P257">
        <v>161.80000000000001</v>
      </c>
      <c r="Q257" s="2">
        <v>154</v>
      </c>
      <c r="R257" s="2">
        <v>183.5</v>
      </c>
      <c r="S257" s="2">
        <v>152.5</v>
      </c>
      <c r="T257" s="2">
        <v>144.4</v>
      </c>
      <c r="U257" s="3">
        <v>151.4</v>
      </c>
      <c r="V257" s="2" t="s">
        <v>128</v>
      </c>
      <c r="W257" s="2">
        <v>141.9</v>
      </c>
      <c r="X257" s="2">
        <v>146.4</v>
      </c>
      <c r="Y257" s="2">
        <v>154.4</v>
      </c>
      <c r="Z257" s="2">
        <v>135</v>
      </c>
      <c r="AA257" s="2">
        <v>148.30000000000001</v>
      </c>
      <c r="AB257" s="2">
        <v>156.4</v>
      </c>
      <c r="AC257" s="2">
        <v>151.6</v>
      </c>
      <c r="AD257" s="2">
        <v>147</v>
      </c>
      <c r="AE257" s="2">
        <v>151.80000000000001</v>
      </c>
    </row>
    <row r="258" spans="1:31" x14ac:dyDescent="0.2">
      <c r="A258" t="s">
        <v>34</v>
      </c>
      <c r="B258">
        <v>2020</v>
      </c>
      <c r="C258" t="s">
        <v>45</v>
      </c>
      <c r="D258" s="1">
        <f>DATE(All_India_Index_Upto_April23__1___1[[#This Row],[Year]],MATCH(All_India_Index_Upto_April23__1___1[[#This Row],[Month]],{"January","February","March","April","May","June","July","August","September","October","November","December"},0),1)</f>
        <v>44044</v>
      </c>
      <c r="E258" s="2">
        <v>148.9</v>
      </c>
      <c r="F258" s="2">
        <v>190.9</v>
      </c>
      <c r="G258">
        <v>150.80000000000001</v>
      </c>
      <c r="H258">
        <v>153.30000000000001</v>
      </c>
      <c r="I258">
        <v>137.4</v>
      </c>
      <c r="J258">
        <v>150.4</v>
      </c>
      <c r="K258">
        <v>178.1</v>
      </c>
      <c r="L258">
        <v>150.4</v>
      </c>
      <c r="M258">
        <v>115.1</v>
      </c>
      <c r="N258">
        <v>160</v>
      </c>
      <c r="O258">
        <v>140.6</v>
      </c>
      <c r="P258">
        <v>162.30000000000001</v>
      </c>
      <c r="Q258" s="2">
        <v>157</v>
      </c>
      <c r="R258" s="2">
        <v>182.6</v>
      </c>
      <c r="S258" s="2">
        <v>153.1</v>
      </c>
      <c r="T258" s="2">
        <v>143.4</v>
      </c>
      <c r="U258" s="3">
        <v>151.69999999999999</v>
      </c>
      <c r="V258" s="2" t="s">
        <v>129</v>
      </c>
      <c r="W258" s="2">
        <v>143</v>
      </c>
      <c r="X258" s="2">
        <v>148.4</v>
      </c>
      <c r="Y258" s="2">
        <v>155</v>
      </c>
      <c r="Z258" s="2">
        <v>138.5</v>
      </c>
      <c r="AA258" s="2">
        <v>146</v>
      </c>
      <c r="AB258" s="2">
        <v>158.5</v>
      </c>
      <c r="AC258" s="2">
        <v>154.30000000000001</v>
      </c>
      <c r="AD258" s="2">
        <v>149</v>
      </c>
      <c r="AE258" s="2">
        <v>153.9</v>
      </c>
    </row>
    <row r="259" spans="1:31" x14ac:dyDescent="0.2">
      <c r="A259" t="s">
        <v>34</v>
      </c>
      <c r="B259">
        <v>2020</v>
      </c>
      <c r="C259" t="s">
        <v>47</v>
      </c>
      <c r="D259" s="1">
        <f>DATE(All_India_Index_Upto_April23__1___1[[#This Row],[Year]],MATCH(All_India_Index_Upto_April23__1___1[[#This Row],[Month]],{"January","February","March","April","May","June","July","August","September","October","November","December"},0),1)</f>
        <v>44075</v>
      </c>
      <c r="E259" s="2">
        <v>148.4</v>
      </c>
      <c r="F259" s="2">
        <v>187.1</v>
      </c>
      <c r="G259">
        <v>152.5</v>
      </c>
      <c r="H259">
        <v>153.6</v>
      </c>
      <c r="I259">
        <v>138.19999999999999</v>
      </c>
      <c r="J259">
        <v>150.9</v>
      </c>
      <c r="K259">
        <v>186.7</v>
      </c>
      <c r="L259">
        <v>149.80000000000001</v>
      </c>
      <c r="M259">
        <v>116.4</v>
      </c>
      <c r="N259">
        <v>160.30000000000001</v>
      </c>
      <c r="O259">
        <v>142.19999999999999</v>
      </c>
      <c r="P259">
        <v>162.9</v>
      </c>
      <c r="Q259" s="2">
        <v>158</v>
      </c>
      <c r="R259" s="2">
        <v>184.4</v>
      </c>
      <c r="S259" s="2">
        <v>153.4</v>
      </c>
      <c r="T259" s="2">
        <v>144.30000000000001</v>
      </c>
      <c r="U259" s="3">
        <v>152</v>
      </c>
      <c r="V259" s="2" t="s">
        <v>130</v>
      </c>
      <c r="W259" s="2">
        <v>142.9</v>
      </c>
      <c r="X259" s="2">
        <v>148.69999999999999</v>
      </c>
      <c r="Y259" s="2">
        <v>155.6</v>
      </c>
      <c r="Z259" s="2">
        <v>139.6</v>
      </c>
      <c r="AA259" s="2">
        <v>146.6</v>
      </c>
      <c r="AB259" s="2">
        <v>157.5</v>
      </c>
      <c r="AC259" s="2">
        <v>158.4</v>
      </c>
      <c r="AD259" s="2">
        <v>150</v>
      </c>
      <c r="AE259" s="2">
        <v>154.69999999999999</v>
      </c>
    </row>
    <row r="260" spans="1:31" x14ac:dyDescent="0.2">
      <c r="A260" t="s">
        <v>34</v>
      </c>
      <c r="B260">
        <v>2020</v>
      </c>
      <c r="C260" t="s">
        <v>49</v>
      </c>
      <c r="D260" s="1">
        <f>DATE(All_India_Index_Upto_April23__1___1[[#This Row],[Year]],MATCH(All_India_Index_Upto_April23__1___1[[#This Row],[Month]],{"January","February","March","April","May","June","July","August","September","October","November","December"},0),1)</f>
        <v>44105</v>
      </c>
      <c r="E260" s="2">
        <v>147.5</v>
      </c>
      <c r="F260" s="2">
        <v>188.9</v>
      </c>
      <c r="G260">
        <v>161.4</v>
      </c>
      <c r="H260">
        <v>153.6</v>
      </c>
      <c r="I260">
        <v>140.1</v>
      </c>
      <c r="J260">
        <v>151.19999999999999</v>
      </c>
      <c r="K260">
        <v>209.2</v>
      </c>
      <c r="L260">
        <v>150.9</v>
      </c>
      <c r="M260">
        <v>116.2</v>
      </c>
      <c r="N260">
        <v>161</v>
      </c>
      <c r="O260">
        <v>144</v>
      </c>
      <c r="P260">
        <v>163.19999999999999</v>
      </c>
      <c r="Q260" s="2">
        <v>161.4</v>
      </c>
      <c r="R260" s="2">
        <v>184.3</v>
      </c>
      <c r="S260" s="2">
        <v>153.69999999999999</v>
      </c>
      <c r="T260" s="2">
        <v>144.6</v>
      </c>
      <c r="U260" s="3">
        <v>152.30000000000001</v>
      </c>
      <c r="V260" s="2" t="s">
        <v>131</v>
      </c>
      <c r="W260" s="2">
        <v>143.1</v>
      </c>
      <c r="X260" s="2">
        <v>148.69999999999999</v>
      </c>
      <c r="Y260" s="2">
        <v>156.30000000000001</v>
      </c>
      <c r="Z260" s="2">
        <v>140.6</v>
      </c>
      <c r="AA260" s="2">
        <v>146.5</v>
      </c>
      <c r="AB260" s="2">
        <v>158.5</v>
      </c>
      <c r="AC260" s="2">
        <v>157</v>
      </c>
      <c r="AD260" s="2">
        <v>150.4</v>
      </c>
      <c r="AE260" s="2">
        <v>156.4</v>
      </c>
    </row>
    <row r="261" spans="1:31" x14ac:dyDescent="0.2">
      <c r="A261" t="s">
        <v>34</v>
      </c>
      <c r="B261">
        <v>2020</v>
      </c>
      <c r="C261" t="s">
        <v>51</v>
      </c>
      <c r="D261" s="1">
        <f>DATE(All_India_Index_Upto_April23__1___1[[#This Row],[Year]],MATCH(All_India_Index_Upto_April23__1___1[[#This Row],[Month]],{"January","February","March","April","May","June","July","August","September","October","November","December"},0),1)</f>
        <v>44136</v>
      </c>
      <c r="E261" s="2">
        <v>146.80000000000001</v>
      </c>
      <c r="F261" s="2">
        <v>191</v>
      </c>
      <c r="G261">
        <v>173.6</v>
      </c>
      <c r="H261">
        <v>153.80000000000001</v>
      </c>
      <c r="I261">
        <v>142.69999999999999</v>
      </c>
      <c r="J261">
        <v>148.4</v>
      </c>
      <c r="K261">
        <v>230</v>
      </c>
      <c r="L261">
        <v>156.80000000000001</v>
      </c>
      <c r="M261">
        <v>115.7</v>
      </c>
      <c r="N261">
        <v>161.80000000000001</v>
      </c>
      <c r="O261">
        <v>146.5</v>
      </c>
      <c r="P261">
        <v>163.80000000000001</v>
      </c>
      <c r="Q261" s="2">
        <v>164.7</v>
      </c>
      <c r="R261" s="2">
        <v>184.8</v>
      </c>
      <c r="S261" s="2">
        <v>154.30000000000001</v>
      </c>
      <c r="T261" s="2">
        <v>144.9</v>
      </c>
      <c r="U261" s="3">
        <v>152.80000000000001</v>
      </c>
      <c r="V261" s="2" t="s">
        <v>132</v>
      </c>
      <c r="W261" s="2">
        <v>143.6</v>
      </c>
      <c r="X261" s="2">
        <v>149.19999999999999</v>
      </c>
      <c r="Y261" s="2">
        <v>157.19999999999999</v>
      </c>
      <c r="Z261" s="6">
        <v>140.4</v>
      </c>
      <c r="AA261" s="6">
        <v>148.4</v>
      </c>
      <c r="AB261" s="6">
        <v>158.6</v>
      </c>
      <c r="AC261" s="6">
        <v>156.9</v>
      </c>
      <c r="AD261" s="6">
        <v>150.69999999999999</v>
      </c>
      <c r="AE261" s="6">
        <v>158.4</v>
      </c>
    </row>
    <row r="262" spans="1:31" x14ac:dyDescent="0.2">
      <c r="A262" t="s">
        <v>34</v>
      </c>
      <c r="B262">
        <v>2020</v>
      </c>
      <c r="C262" t="s">
        <v>53</v>
      </c>
      <c r="D262" s="1">
        <f>DATE(All_India_Index_Upto_April23__1___1[[#This Row],[Year]],MATCH(All_India_Index_Upto_April23__1___1[[#This Row],[Month]],{"January","February","March","April","May","June","July","August","September","October","November","December"},0),1)</f>
        <v>44166</v>
      </c>
      <c r="E262" s="2">
        <v>146</v>
      </c>
      <c r="F262" s="2">
        <v>191</v>
      </c>
      <c r="G262">
        <v>175.3</v>
      </c>
      <c r="H262">
        <v>154.1</v>
      </c>
      <c r="I262">
        <v>146.6</v>
      </c>
      <c r="J262">
        <v>147.69999999999999</v>
      </c>
      <c r="K262">
        <v>230.5</v>
      </c>
      <c r="L262">
        <v>160.19999999999999</v>
      </c>
      <c r="M262">
        <v>115.3</v>
      </c>
      <c r="N262">
        <v>163</v>
      </c>
      <c r="O262">
        <v>149.19999999999999</v>
      </c>
      <c r="P262">
        <v>164.8</v>
      </c>
      <c r="Q262" s="2">
        <v>165.4</v>
      </c>
      <c r="R262" s="2">
        <v>185.4</v>
      </c>
      <c r="S262" s="2">
        <v>155</v>
      </c>
      <c r="T262" s="2">
        <v>145.4</v>
      </c>
      <c r="U262" s="3">
        <v>153.6</v>
      </c>
      <c r="V262" s="2" t="s">
        <v>133</v>
      </c>
      <c r="W262" s="2">
        <v>144.6</v>
      </c>
      <c r="X262" s="2">
        <v>149.69999999999999</v>
      </c>
      <c r="Y262" s="2">
        <v>158.30000000000001</v>
      </c>
      <c r="Z262" s="2">
        <v>140.69999999999999</v>
      </c>
      <c r="AA262" s="2">
        <v>148.5</v>
      </c>
      <c r="AB262" s="2">
        <v>159.4</v>
      </c>
      <c r="AC262" s="2">
        <v>157.1</v>
      </c>
      <c r="AD262" s="2">
        <v>151.19999999999999</v>
      </c>
      <c r="AE262" s="2">
        <v>158.9</v>
      </c>
    </row>
    <row r="263" spans="1:31" x14ac:dyDescent="0.2">
      <c r="A263" t="s">
        <v>30</v>
      </c>
      <c r="B263">
        <v>2020</v>
      </c>
      <c r="C263" t="s">
        <v>31</v>
      </c>
      <c r="D263" s="1">
        <f>DATE(All_India_Index_Upto_April23__1___1[[#This Row],[Year]],MATCH(All_India_Index_Upto_April23__1___1[[#This Row],[Month]],{"January","February","March","April","May","June","July","August","September","October","November","December"},0),1)</f>
        <v>43831</v>
      </c>
      <c r="E263" s="2">
        <v>143.69999999999999</v>
      </c>
      <c r="F263" s="2">
        <v>167.3</v>
      </c>
      <c r="G263">
        <v>153.5</v>
      </c>
      <c r="H263">
        <v>150.5</v>
      </c>
      <c r="I263">
        <v>132</v>
      </c>
      <c r="J263">
        <v>142.19999999999999</v>
      </c>
      <c r="K263">
        <v>191.5</v>
      </c>
      <c r="L263">
        <v>141.1</v>
      </c>
      <c r="M263">
        <v>113.8</v>
      </c>
      <c r="N263">
        <v>151.6</v>
      </c>
      <c r="O263">
        <v>139.69999999999999</v>
      </c>
      <c r="P263">
        <v>158.69999999999999</v>
      </c>
      <c r="Q263" s="2">
        <v>153</v>
      </c>
      <c r="R263" s="2">
        <v>168.6</v>
      </c>
      <c r="S263" s="2">
        <v>152.80000000000001</v>
      </c>
      <c r="T263" s="2">
        <v>147.4</v>
      </c>
      <c r="U263" s="3">
        <v>152.1</v>
      </c>
      <c r="V263" s="2"/>
      <c r="W263">
        <v>150.4</v>
      </c>
      <c r="X263" s="2">
        <v>151.69999999999999</v>
      </c>
      <c r="Y263" s="2">
        <v>155.69999999999999</v>
      </c>
      <c r="Z263" s="2">
        <v>136.30000000000001</v>
      </c>
      <c r="AA263" s="2">
        <v>150.1</v>
      </c>
      <c r="AB263" s="2">
        <v>161.69999999999999</v>
      </c>
      <c r="AC263" s="2">
        <v>142.5</v>
      </c>
      <c r="AD263" s="2">
        <v>148.1</v>
      </c>
      <c r="AE263" s="2">
        <v>151.9</v>
      </c>
    </row>
    <row r="264" spans="1:31" x14ac:dyDescent="0.2">
      <c r="A264" t="s">
        <v>32</v>
      </c>
      <c r="B264">
        <v>2020</v>
      </c>
      <c r="C264" t="s">
        <v>31</v>
      </c>
      <c r="D264" s="1">
        <f>DATE(All_India_Index_Upto_April23__1___1[[#This Row],[Year]],MATCH(All_India_Index_Upto_April23__1___1[[#This Row],[Month]],{"January","February","March","April","May","June","July","August","September","October","November","December"},0),1)</f>
        <v>43831</v>
      </c>
      <c r="E264" s="2">
        <v>145.6</v>
      </c>
      <c r="F264" s="2">
        <v>167.6</v>
      </c>
      <c r="G264">
        <v>157</v>
      </c>
      <c r="H264">
        <v>149.30000000000001</v>
      </c>
      <c r="I264">
        <v>126.3</v>
      </c>
      <c r="J264">
        <v>144.4</v>
      </c>
      <c r="K264">
        <v>207.8</v>
      </c>
      <c r="L264">
        <v>139.1</v>
      </c>
      <c r="M264">
        <v>114.8</v>
      </c>
      <c r="N264">
        <v>149.5</v>
      </c>
      <c r="O264">
        <v>131.1</v>
      </c>
      <c r="P264">
        <v>158.5</v>
      </c>
      <c r="Q264" s="2">
        <v>154.4</v>
      </c>
      <c r="R264" s="2">
        <v>170.8</v>
      </c>
      <c r="S264" s="2">
        <v>147</v>
      </c>
      <c r="T264" s="2">
        <v>133.19999999999999</v>
      </c>
      <c r="U264" s="3">
        <v>144.9</v>
      </c>
      <c r="V264" s="2" t="s">
        <v>124</v>
      </c>
      <c r="W264" s="2">
        <v>135.1</v>
      </c>
      <c r="X264" s="2">
        <v>140.1</v>
      </c>
      <c r="Y264" s="2">
        <v>143.80000000000001</v>
      </c>
      <c r="Z264" s="2">
        <v>126.1</v>
      </c>
      <c r="AA264" s="2">
        <v>137.19999999999999</v>
      </c>
      <c r="AB264" s="2">
        <v>152.1</v>
      </c>
      <c r="AC264" s="2">
        <v>142.1</v>
      </c>
      <c r="AD264" s="2">
        <v>138.4</v>
      </c>
      <c r="AE264" s="2">
        <v>148.19999999999999</v>
      </c>
    </row>
    <row r="265" spans="1:31" x14ac:dyDescent="0.2">
      <c r="A265" t="s">
        <v>30</v>
      </c>
      <c r="B265">
        <v>2020</v>
      </c>
      <c r="C265" t="s">
        <v>35</v>
      </c>
      <c r="D265" s="1">
        <f>DATE(All_India_Index_Upto_April23__1___1[[#This Row],[Year]],MATCH(All_India_Index_Upto_April23__1___1[[#This Row],[Month]],{"January","February","March","April","May","June","July","August","September","October","November","December"},0),1)</f>
        <v>43862</v>
      </c>
      <c r="E265" s="2">
        <v>144.19999999999999</v>
      </c>
      <c r="F265" s="2">
        <v>167.5</v>
      </c>
      <c r="G265">
        <v>150.9</v>
      </c>
      <c r="H265">
        <v>150.9</v>
      </c>
      <c r="I265">
        <v>133.69999999999999</v>
      </c>
      <c r="J265">
        <v>140.69999999999999</v>
      </c>
      <c r="K265">
        <v>165.1</v>
      </c>
      <c r="L265">
        <v>141.80000000000001</v>
      </c>
      <c r="M265">
        <v>113.1</v>
      </c>
      <c r="N265">
        <v>152.80000000000001</v>
      </c>
      <c r="O265">
        <v>140.1</v>
      </c>
      <c r="P265">
        <v>159.19999999999999</v>
      </c>
      <c r="Q265" s="2">
        <v>149.80000000000001</v>
      </c>
      <c r="R265" s="2">
        <v>169.4</v>
      </c>
      <c r="S265" s="2">
        <v>153</v>
      </c>
      <c r="T265" s="2">
        <v>147.5</v>
      </c>
      <c r="U265" s="3">
        <v>152.30000000000001</v>
      </c>
      <c r="V265" s="2"/>
      <c r="W265">
        <v>152.30000000000001</v>
      </c>
      <c r="X265" s="2">
        <v>151.80000000000001</v>
      </c>
      <c r="Y265" s="2">
        <v>156.19999999999999</v>
      </c>
      <c r="Z265" s="2">
        <v>136</v>
      </c>
      <c r="AA265" s="2">
        <v>150.4</v>
      </c>
      <c r="AB265" s="2">
        <v>161.9</v>
      </c>
      <c r="AC265" s="2">
        <v>143.4</v>
      </c>
      <c r="AD265" s="2">
        <v>148.4</v>
      </c>
      <c r="AE265" s="2">
        <v>150.4</v>
      </c>
    </row>
    <row r="266" spans="1:31" x14ac:dyDescent="0.2">
      <c r="A266" t="s">
        <v>32</v>
      </c>
      <c r="B266">
        <v>2020</v>
      </c>
      <c r="C266" t="s">
        <v>35</v>
      </c>
      <c r="D266" s="1">
        <f>DATE(All_India_Index_Upto_April23__1___1[[#This Row],[Year]],MATCH(All_India_Index_Upto_April23__1___1[[#This Row],[Month]],{"January","February","March","April","May","June","July","August","September","October","November","December"},0),1)</f>
        <v>43862</v>
      </c>
      <c r="E266" s="2">
        <v>146.19999999999999</v>
      </c>
      <c r="F266" s="2">
        <v>167.6</v>
      </c>
      <c r="G266">
        <v>153.1</v>
      </c>
      <c r="H266">
        <v>150.69999999999999</v>
      </c>
      <c r="I266">
        <v>127.4</v>
      </c>
      <c r="J266">
        <v>143.1</v>
      </c>
      <c r="K266">
        <v>181.7</v>
      </c>
      <c r="L266">
        <v>139.6</v>
      </c>
      <c r="M266">
        <v>114.6</v>
      </c>
      <c r="N266">
        <v>150.4</v>
      </c>
      <c r="O266">
        <v>131.5</v>
      </c>
      <c r="P266">
        <v>159</v>
      </c>
      <c r="Q266" s="2">
        <v>151.69999999999999</v>
      </c>
      <c r="R266" s="2">
        <v>172</v>
      </c>
      <c r="S266" s="2">
        <v>147.30000000000001</v>
      </c>
      <c r="T266" s="2">
        <v>133.5</v>
      </c>
      <c r="U266" s="3">
        <v>145.19999999999999</v>
      </c>
      <c r="V266" s="2" t="s">
        <v>125</v>
      </c>
      <c r="W266" s="2">
        <v>138.9</v>
      </c>
      <c r="X266" s="2">
        <v>140.4</v>
      </c>
      <c r="Y266" s="2">
        <v>144.4</v>
      </c>
      <c r="Z266" s="2">
        <v>125.2</v>
      </c>
      <c r="AA266" s="2">
        <v>137.69999999999999</v>
      </c>
      <c r="AB266" s="2">
        <v>152.19999999999999</v>
      </c>
      <c r="AC266" s="2">
        <v>143.5</v>
      </c>
      <c r="AD266" s="2">
        <v>138.4</v>
      </c>
      <c r="AE266" s="2">
        <v>147.69999999999999</v>
      </c>
    </row>
    <row r="267" spans="1:31" x14ac:dyDescent="0.2">
      <c r="A267" t="s">
        <v>30</v>
      </c>
      <c r="B267">
        <v>2020</v>
      </c>
      <c r="C267" t="s">
        <v>37</v>
      </c>
      <c r="D267" s="1">
        <f>DATE(All_India_Index_Upto_April23__1___1[[#This Row],[Year]],MATCH(All_India_Index_Upto_April23__1___1[[#This Row],[Month]],{"January","February","March","April","May","June","July","August","September","October","November","December"},0),1)</f>
        <v>43891</v>
      </c>
      <c r="E267" s="2">
        <v>144.4</v>
      </c>
      <c r="F267" s="2">
        <v>166.8</v>
      </c>
      <c r="G267">
        <v>147.6</v>
      </c>
      <c r="H267">
        <v>151.69999999999999</v>
      </c>
      <c r="I267">
        <v>133.30000000000001</v>
      </c>
      <c r="J267">
        <v>141.80000000000001</v>
      </c>
      <c r="K267">
        <v>152.30000000000001</v>
      </c>
      <c r="L267">
        <v>141.80000000000001</v>
      </c>
      <c r="M267">
        <v>112.6</v>
      </c>
      <c r="N267">
        <v>154</v>
      </c>
      <c r="O267">
        <v>140.1</v>
      </c>
      <c r="P267">
        <v>160</v>
      </c>
      <c r="Q267" s="2">
        <v>148.19999999999999</v>
      </c>
      <c r="R267" s="2">
        <v>170.5</v>
      </c>
      <c r="S267" s="2">
        <v>153.4</v>
      </c>
      <c r="T267" s="2">
        <v>147.6</v>
      </c>
      <c r="U267" s="3">
        <v>152.5</v>
      </c>
      <c r="V267" s="2"/>
      <c r="W267">
        <v>153.4</v>
      </c>
      <c r="X267" s="2">
        <v>151.5</v>
      </c>
      <c r="Y267" s="2">
        <v>156.69999999999999</v>
      </c>
      <c r="Z267" s="2">
        <v>135.80000000000001</v>
      </c>
      <c r="AA267" s="2">
        <v>151.19999999999999</v>
      </c>
      <c r="AB267" s="2">
        <v>161.19999999999999</v>
      </c>
      <c r="AC267" s="2">
        <v>145.1</v>
      </c>
      <c r="AD267" s="2">
        <v>148.6</v>
      </c>
      <c r="AE267" s="2">
        <v>149.80000000000001</v>
      </c>
    </row>
    <row r="268" spans="1:31" x14ac:dyDescent="0.2">
      <c r="A268" t="s">
        <v>32</v>
      </c>
      <c r="B268">
        <v>2020</v>
      </c>
      <c r="C268" t="s">
        <v>37</v>
      </c>
      <c r="D268" s="1">
        <f>DATE(All_India_Index_Upto_April23__1___1[[#This Row],[Year]],MATCH(All_India_Index_Upto_April23__1___1[[#This Row],[Month]],{"January","February","March","April","May","June","July","August","September","October","November","December"},0),1)</f>
        <v>43891</v>
      </c>
      <c r="E268" s="2">
        <v>146.5</v>
      </c>
      <c r="F268" s="2">
        <v>167.5</v>
      </c>
      <c r="G268">
        <v>148.9</v>
      </c>
      <c r="H268">
        <v>151.1</v>
      </c>
      <c r="I268">
        <v>127.5</v>
      </c>
      <c r="J268">
        <v>143.30000000000001</v>
      </c>
      <c r="K268">
        <v>167</v>
      </c>
      <c r="L268">
        <v>139.69999999999999</v>
      </c>
      <c r="M268">
        <v>114.4</v>
      </c>
      <c r="N268">
        <v>151.5</v>
      </c>
      <c r="O268">
        <v>131.9</v>
      </c>
      <c r="P268">
        <v>159.1</v>
      </c>
      <c r="Q268" s="2">
        <v>150.1</v>
      </c>
      <c r="R268" s="2">
        <v>173.3</v>
      </c>
      <c r="S268" s="2">
        <v>147.69999999999999</v>
      </c>
      <c r="T268" s="2">
        <v>133.80000000000001</v>
      </c>
      <c r="U268" s="3">
        <v>145.6</v>
      </c>
      <c r="V268" s="2" t="s">
        <v>126</v>
      </c>
      <c r="W268" s="2">
        <v>141.4</v>
      </c>
      <c r="X268" s="2">
        <v>140.80000000000001</v>
      </c>
      <c r="Y268" s="2">
        <v>145</v>
      </c>
      <c r="Z268" s="2">
        <v>124.6</v>
      </c>
      <c r="AA268" s="2">
        <v>137.9</v>
      </c>
      <c r="AB268" s="2">
        <v>152.5</v>
      </c>
      <c r="AC268" s="2">
        <v>145.30000000000001</v>
      </c>
      <c r="AD268" s="2">
        <v>138.69999999999999</v>
      </c>
      <c r="AE268" s="2">
        <v>147.30000000000001</v>
      </c>
    </row>
    <row r="269" spans="1:31" x14ac:dyDescent="0.2">
      <c r="A269" t="s">
        <v>30</v>
      </c>
      <c r="B269">
        <v>2020</v>
      </c>
      <c r="C269" t="s">
        <v>38</v>
      </c>
      <c r="D269" s="1">
        <f>DATE(All_India_Index_Upto_April23__1___1[[#This Row],[Year]],MATCH(All_India_Index_Upto_April23__1___1[[#This Row],[Month]],{"January","February","March","April","May","June","July","August","September","October","November","December"},0),1)</f>
        <v>43922</v>
      </c>
      <c r="E269" s="2">
        <v>147.19999999999999</v>
      </c>
      <c r="F269" s="2">
        <f>(F266+F275)/2</f>
        <v>178.95</v>
      </c>
      <c r="G269">
        <v>146.9</v>
      </c>
      <c r="H269">
        <v>155.6</v>
      </c>
      <c r="I269">
        <v>137.1</v>
      </c>
      <c r="J269">
        <v>147.30000000000001</v>
      </c>
      <c r="K269">
        <v>162.69999999999999</v>
      </c>
      <c r="L269">
        <v>150.19999999999999</v>
      </c>
      <c r="M269">
        <v>119.8</v>
      </c>
      <c r="N269">
        <v>158.69999999999999</v>
      </c>
      <c r="O269">
        <v>139.19999999999999</v>
      </c>
      <c r="P269">
        <f>(P266+P275)/2</f>
        <v>160.4</v>
      </c>
      <c r="Q269" s="2">
        <v>150.1</v>
      </c>
      <c r="R269" s="2">
        <f t="shared" ref="R269:U270" si="2">(R266+R275)/2</f>
        <v>177.2</v>
      </c>
      <c r="S269" s="2">
        <f t="shared" si="2"/>
        <v>151</v>
      </c>
      <c r="T269" s="2">
        <f t="shared" si="2"/>
        <v>141.75</v>
      </c>
      <c r="U269" s="3">
        <f t="shared" si="2"/>
        <v>149.64999999999998</v>
      </c>
      <c r="V269" s="2"/>
      <c r="W269">
        <v>148.4</v>
      </c>
      <c r="X269" s="2">
        <f>(X266+X275)/2</f>
        <v>146.05000000000001</v>
      </c>
      <c r="Y269" s="2">
        <v>154.30000000000001</v>
      </c>
      <c r="Z269" s="2">
        <f t="shared" ref="Z269:AE270" si="3">(Z266+Z275)/2</f>
        <v>133.30000000000001</v>
      </c>
      <c r="AA269" s="2">
        <f t="shared" si="3"/>
        <v>145.44999999999999</v>
      </c>
      <c r="AB269" s="2">
        <f t="shared" si="3"/>
        <v>157</v>
      </c>
      <c r="AC269" s="2">
        <f t="shared" si="3"/>
        <v>147.35</v>
      </c>
      <c r="AD269" s="2">
        <f t="shared" si="3"/>
        <v>145.05000000000001</v>
      </c>
      <c r="AE269" s="2">
        <f t="shared" si="3"/>
        <v>150.19999999999999</v>
      </c>
    </row>
    <row r="270" spans="1:31" x14ac:dyDescent="0.2">
      <c r="A270" t="s">
        <v>32</v>
      </c>
      <c r="B270">
        <v>2020</v>
      </c>
      <c r="C270" t="s">
        <v>38</v>
      </c>
      <c r="D270" s="1">
        <f>DATE(All_India_Index_Upto_April23__1___1[[#This Row],[Year]],MATCH(All_India_Index_Upto_April23__1___1[[#This Row],[Month]],{"January","February","March","April","May","June","July","August","September","October","November","December"},0),1)</f>
        <v>43922</v>
      </c>
      <c r="E270" s="2">
        <v>151.80000000000001</v>
      </c>
      <c r="F270" s="2">
        <f>(F267+F276)/2</f>
        <v>181.9</v>
      </c>
      <c r="G270">
        <v>151.9</v>
      </c>
      <c r="H270">
        <v>155.5</v>
      </c>
      <c r="I270">
        <v>131.6</v>
      </c>
      <c r="J270">
        <v>152.9</v>
      </c>
      <c r="K270">
        <v>180</v>
      </c>
      <c r="L270">
        <v>150.80000000000001</v>
      </c>
      <c r="M270">
        <v>121.2</v>
      </c>
      <c r="N270">
        <v>154</v>
      </c>
      <c r="O270">
        <v>133.5</v>
      </c>
      <c r="P270">
        <f>(P267+P276)/2</f>
        <v>160.85</v>
      </c>
      <c r="Q270" s="2">
        <v>153.5</v>
      </c>
      <c r="R270" s="2">
        <f t="shared" si="2"/>
        <v>178.6</v>
      </c>
      <c r="S270" s="2">
        <f t="shared" si="2"/>
        <v>151.25</v>
      </c>
      <c r="T270" s="2">
        <f t="shared" si="2"/>
        <v>142.1</v>
      </c>
      <c r="U270" s="3">
        <f t="shared" si="2"/>
        <v>149.85</v>
      </c>
      <c r="V270" s="2" t="s">
        <v>127</v>
      </c>
      <c r="W270" s="2">
        <f>(W267+W276)/2</f>
        <v>145.25</v>
      </c>
      <c r="X270" s="2">
        <f>(X267+X276)/2</f>
        <v>145.94999999999999</v>
      </c>
      <c r="Y270" s="2">
        <v>144.80000000000001</v>
      </c>
      <c r="Z270" s="5">
        <f t="shared" si="3"/>
        <v>132.55000000000001</v>
      </c>
      <c r="AA270" s="5">
        <f t="shared" si="3"/>
        <v>147.85</v>
      </c>
      <c r="AB270" s="5">
        <f t="shared" si="3"/>
        <v>156.85</v>
      </c>
      <c r="AC270" s="5">
        <f t="shared" si="3"/>
        <v>148.64999999999998</v>
      </c>
      <c r="AD270" s="5">
        <f t="shared" si="3"/>
        <v>145.30000000000001</v>
      </c>
      <c r="AE270" s="5">
        <f t="shared" si="3"/>
        <v>150.30000000000001</v>
      </c>
    </row>
    <row r="271" spans="1:31" x14ac:dyDescent="0.2">
      <c r="A271" t="s">
        <v>30</v>
      </c>
      <c r="B271">
        <v>2020</v>
      </c>
      <c r="C271" t="s">
        <v>40</v>
      </c>
      <c r="D271" s="1">
        <f>DATE(All_India_Index_Upto_April23__1___1[[#This Row],[Year]],MATCH(All_India_Index_Upto_April23__1___1[[#This Row],[Month]],{"January","February","March","April","May","June","July","August","September","October","November","December"},0),1)</f>
        <v>43952</v>
      </c>
      <c r="E271" s="2">
        <f t="shared" ref="E271:U271" si="4">(E268+E274)/2</f>
        <v>149.6</v>
      </c>
      <c r="F271" s="2">
        <f t="shared" si="4"/>
        <v>182.25</v>
      </c>
      <c r="G271">
        <f t="shared" si="4"/>
        <v>151.75</v>
      </c>
      <c r="H271">
        <f t="shared" si="4"/>
        <v>152.25</v>
      </c>
      <c r="I271">
        <f t="shared" si="4"/>
        <v>130.19999999999999</v>
      </c>
      <c r="J271">
        <f t="shared" si="4"/>
        <v>147.55000000000001</v>
      </c>
      <c r="K271">
        <f t="shared" si="4"/>
        <v>169.1</v>
      </c>
      <c r="L271">
        <f t="shared" si="4"/>
        <v>145.85</v>
      </c>
      <c r="M271">
        <f t="shared" si="4"/>
        <v>115.35</v>
      </c>
      <c r="N271">
        <f t="shared" si="4"/>
        <v>155.15</v>
      </c>
      <c r="O271">
        <f t="shared" si="4"/>
        <v>133.75</v>
      </c>
      <c r="P271">
        <f t="shared" si="4"/>
        <v>160.39999999999998</v>
      </c>
      <c r="Q271" s="2">
        <f t="shared" si="4"/>
        <v>153.55000000000001</v>
      </c>
      <c r="R271" s="2">
        <f t="shared" si="4"/>
        <v>180</v>
      </c>
      <c r="S271" s="2">
        <f t="shared" si="4"/>
        <v>148.39999999999998</v>
      </c>
      <c r="T271" s="2">
        <f t="shared" si="4"/>
        <v>135.19999999999999</v>
      </c>
      <c r="U271" s="3">
        <f t="shared" si="4"/>
        <v>146.39999999999998</v>
      </c>
      <c r="V271" s="2"/>
      <c r="W271" s="3">
        <f t="shared" ref="W271:AE271" si="5">(W268+W274)/2</f>
        <v>139.25</v>
      </c>
      <c r="X271" s="2">
        <f t="shared" si="5"/>
        <v>140.60000000000002</v>
      </c>
      <c r="Y271" s="2">
        <f t="shared" si="5"/>
        <v>146.55000000000001</v>
      </c>
      <c r="Z271" s="2">
        <f t="shared" si="5"/>
        <v>126.95</v>
      </c>
      <c r="AA271" s="2">
        <f t="shared" si="5"/>
        <v>141.19999999999999</v>
      </c>
      <c r="AB271" s="2">
        <f t="shared" si="5"/>
        <v>152.5</v>
      </c>
      <c r="AC271" s="2">
        <f t="shared" si="5"/>
        <v>148.75</v>
      </c>
      <c r="AD271" s="2">
        <f t="shared" si="5"/>
        <v>140.35</v>
      </c>
      <c r="AE271" s="2">
        <f t="shared" si="5"/>
        <v>149.05000000000001</v>
      </c>
    </row>
    <row r="272" spans="1:31" x14ac:dyDescent="0.2">
      <c r="A272" t="s">
        <v>32</v>
      </c>
      <c r="B272">
        <v>2020</v>
      </c>
      <c r="C272" t="s">
        <v>40</v>
      </c>
      <c r="D272" s="1">
        <f>DATE(All_India_Index_Upto_April23__1___1[[#This Row],[Year]],MATCH(All_India_Index_Upto_April23__1___1[[#This Row],[Month]],{"January","February","March","April","May","June","July","August","September","October","November","December"},0),1)</f>
        <v>43952</v>
      </c>
      <c r="E272" s="2">
        <f t="shared" ref="E272:U272" si="6">(E269+E275)/2</f>
        <v>147.69999999999999</v>
      </c>
      <c r="F272" s="2">
        <f t="shared" si="6"/>
        <v>184.625</v>
      </c>
      <c r="G272">
        <f t="shared" si="6"/>
        <v>148.15</v>
      </c>
      <c r="H272">
        <f t="shared" si="6"/>
        <v>154.44999999999999</v>
      </c>
      <c r="I272">
        <f t="shared" si="6"/>
        <v>137.64999999999998</v>
      </c>
      <c r="J272">
        <f t="shared" si="6"/>
        <v>145.25</v>
      </c>
      <c r="K272">
        <f t="shared" si="6"/>
        <v>155.80000000000001</v>
      </c>
      <c r="L272">
        <f t="shared" si="6"/>
        <v>150.25</v>
      </c>
      <c r="M272">
        <f t="shared" si="6"/>
        <v>116.5</v>
      </c>
      <c r="N272">
        <f t="shared" si="6"/>
        <v>159.25</v>
      </c>
      <c r="O272">
        <f t="shared" si="6"/>
        <v>140.64999999999998</v>
      </c>
      <c r="P272">
        <f t="shared" si="6"/>
        <v>161.10000000000002</v>
      </c>
      <c r="Q272" s="2">
        <f t="shared" si="6"/>
        <v>151.19999999999999</v>
      </c>
      <c r="R272" s="2">
        <f t="shared" si="6"/>
        <v>179.8</v>
      </c>
      <c r="S272" s="2">
        <f t="shared" si="6"/>
        <v>152.85</v>
      </c>
      <c r="T272" s="2">
        <f t="shared" si="6"/>
        <v>145.875</v>
      </c>
      <c r="U272" s="3">
        <f t="shared" si="6"/>
        <v>151.875</v>
      </c>
      <c r="V272" s="2"/>
      <c r="W272" s="3">
        <f>(W269+W275)/2</f>
        <v>146.65</v>
      </c>
      <c r="X272" s="2">
        <f t="shared" ref="X272:AE272" si="7">(X269+X275)/2</f>
        <v>148.875</v>
      </c>
      <c r="Y272" s="2">
        <f t="shared" si="7"/>
        <v>156.25</v>
      </c>
      <c r="Z272" s="2">
        <f t="shared" si="7"/>
        <v>137.35000000000002</v>
      </c>
      <c r="AA272" s="2">
        <f t="shared" si="7"/>
        <v>149.32499999999999</v>
      </c>
      <c r="AB272" s="2">
        <f t="shared" si="7"/>
        <v>159.4</v>
      </c>
      <c r="AC272" s="2">
        <f t="shared" si="7"/>
        <v>149.27499999999998</v>
      </c>
      <c r="AD272" s="2">
        <f t="shared" si="7"/>
        <v>148.375</v>
      </c>
      <c r="AE272" s="2">
        <f t="shared" si="7"/>
        <v>151.44999999999999</v>
      </c>
    </row>
    <row r="273" spans="1:31" x14ac:dyDescent="0.2">
      <c r="A273" t="s">
        <v>30</v>
      </c>
      <c r="B273">
        <v>2020</v>
      </c>
      <c r="C273" t="s">
        <v>41</v>
      </c>
      <c r="D273" s="1">
        <f>DATE(All_India_Index_Upto_April23__1___1[[#This Row],[Year]],MATCH(All_India_Index_Upto_April23__1___1[[#This Row],[Month]],{"January","February","March","April","May","June","July","August","September","October","November","December"},0),1)</f>
        <v>43983</v>
      </c>
      <c r="E273" s="2">
        <v>148.19999999999999</v>
      </c>
      <c r="F273" s="2">
        <v>190.3</v>
      </c>
      <c r="G273">
        <v>149.4</v>
      </c>
      <c r="H273">
        <v>153.30000000000001</v>
      </c>
      <c r="I273">
        <v>138.19999999999999</v>
      </c>
      <c r="J273">
        <v>143.19999999999999</v>
      </c>
      <c r="K273">
        <v>148.9</v>
      </c>
      <c r="L273">
        <v>150.30000000000001</v>
      </c>
      <c r="M273">
        <v>113.2</v>
      </c>
      <c r="N273">
        <v>159.80000000000001</v>
      </c>
      <c r="O273">
        <v>142.1</v>
      </c>
      <c r="P273">
        <v>161.80000000000001</v>
      </c>
      <c r="Q273" s="2">
        <v>152.30000000000001</v>
      </c>
      <c r="R273" s="2">
        <v>182.4</v>
      </c>
      <c r="S273" s="2">
        <v>154.69999999999999</v>
      </c>
      <c r="T273" s="2">
        <v>150</v>
      </c>
      <c r="U273" s="3">
        <v>154.1</v>
      </c>
      <c r="V273" s="2"/>
      <c r="W273">
        <v>144.9</v>
      </c>
      <c r="X273" s="2">
        <v>151.69999999999999</v>
      </c>
      <c r="Y273" s="2">
        <v>158.19999999999999</v>
      </c>
      <c r="Z273" s="2">
        <v>141.4</v>
      </c>
      <c r="AA273" s="2">
        <v>153.19999999999999</v>
      </c>
      <c r="AB273" s="2">
        <v>161.80000000000001</v>
      </c>
      <c r="AC273" s="2">
        <v>151.19999999999999</v>
      </c>
      <c r="AD273" s="2">
        <v>151.69999999999999</v>
      </c>
      <c r="AE273" s="2">
        <v>152.69999999999999</v>
      </c>
    </row>
    <row r="274" spans="1:31" x14ac:dyDescent="0.2">
      <c r="A274" t="s">
        <v>32</v>
      </c>
      <c r="B274">
        <v>2020</v>
      </c>
      <c r="C274" t="s">
        <v>41</v>
      </c>
      <c r="D274" s="1">
        <f>DATE(All_India_Index_Upto_April23__1___1[[#This Row],[Year]],MATCH(All_India_Index_Upto_April23__1___1[[#This Row],[Month]],{"January","February","March","April","May","June","July","August","September","October","November","December"},0),1)</f>
        <v>43983</v>
      </c>
      <c r="E274" s="2">
        <v>152.69999999999999</v>
      </c>
      <c r="F274" s="2">
        <v>197</v>
      </c>
      <c r="G274">
        <v>154.6</v>
      </c>
      <c r="H274">
        <v>153.4</v>
      </c>
      <c r="I274">
        <v>132.9</v>
      </c>
      <c r="J274">
        <v>151.80000000000001</v>
      </c>
      <c r="K274">
        <v>171.2</v>
      </c>
      <c r="L274">
        <v>152</v>
      </c>
      <c r="M274">
        <v>116.3</v>
      </c>
      <c r="N274">
        <v>158.80000000000001</v>
      </c>
      <c r="O274">
        <v>135.6</v>
      </c>
      <c r="P274">
        <v>161.69999999999999</v>
      </c>
      <c r="Q274" s="2">
        <v>157</v>
      </c>
      <c r="R274" s="2">
        <v>186.7</v>
      </c>
      <c r="S274" s="2">
        <v>149.1</v>
      </c>
      <c r="T274" s="2">
        <v>136.6</v>
      </c>
      <c r="U274" s="3">
        <v>147.19999999999999</v>
      </c>
      <c r="V274" s="2" t="s">
        <v>128</v>
      </c>
      <c r="W274" s="2">
        <v>137.1</v>
      </c>
      <c r="X274" s="2">
        <v>140.4</v>
      </c>
      <c r="Y274" s="2">
        <v>148.1</v>
      </c>
      <c r="Z274" s="2">
        <v>129.30000000000001</v>
      </c>
      <c r="AA274" s="2">
        <v>144.5</v>
      </c>
      <c r="AB274" s="2">
        <v>152.5</v>
      </c>
      <c r="AC274" s="2">
        <v>152.19999999999999</v>
      </c>
      <c r="AD274" s="2">
        <v>142</v>
      </c>
      <c r="AE274" s="2">
        <v>150.80000000000001</v>
      </c>
    </row>
    <row r="275" spans="1:31" x14ac:dyDescent="0.2">
      <c r="A275" t="s">
        <v>30</v>
      </c>
      <c r="B275">
        <v>2020</v>
      </c>
      <c r="C275" t="s">
        <v>43</v>
      </c>
      <c r="D275" s="1">
        <f>DATE(All_India_Index_Upto_April23__1___1[[#This Row],[Year]],MATCH(All_India_Index_Upto_April23__1___1[[#This Row],[Month]],{"January","February","March","April","May","June","July","August","September","October","November","December"},0),1)</f>
        <v>44013</v>
      </c>
      <c r="E275" s="2">
        <v>148.19999999999999</v>
      </c>
      <c r="F275" s="2">
        <v>190.3</v>
      </c>
      <c r="G275">
        <v>149.4</v>
      </c>
      <c r="H275">
        <v>153.30000000000001</v>
      </c>
      <c r="I275">
        <v>138.19999999999999</v>
      </c>
      <c r="J275">
        <v>143.19999999999999</v>
      </c>
      <c r="K275">
        <v>148.9</v>
      </c>
      <c r="L275">
        <v>150.30000000000001</v>
      </c>
      <c r="M275">
        <v>113.2</v>
      </c>
      <c r="N275">
        <v>159.80000000000001</v>
      </c>
      <c r="O275">
        <v>142.1</v>
      </c>
      <c r="P275">
        <v>161.80000000000001</v>
      </c>
      <c r="Q275" s="2">
        <v>152.30000000000001</v>
      </c>
      <c r="R275" s="2">
        <v>182.4</v>
      </c>
      <c r="S275" s="2">
        <v>154.69999999999999</v>
      </c>
      <c r="T275" s="2">
        <v>150</v>
      </c>
      <c r="U275" s="3">
        <v>154.1</v>
      </c>
      <c r="V275" s="2"/>
      <c r="W275">
        <v>144.9</v>
      </c>
      <c r="X275" s="2">
        <v>151.69999999999999</v>
      </c>
      <c r="Y275" s="2">
        <v>158.19999999999999</v>
      </c>
      <c r="Z275" s="2">
        <v>141.4</v>
      </c>
      <c r="AA275" s="2">
        <v>153.19999999999999</v>
      </c>
      <c r="AB275" s="2">
        <v>161.80000000000001</v>
      </c>
      <c r="AC275" s="2">
        <v>151.19999999999999</v>
      </c>
      <c r="AD275" s="2">
        <v>151.69999999999999</v>
      </c>
      <c r="AE275" s="2">
        <v>152.69999999999999</v>
      </c>
    </row>
    <row r="276" spans="1:31" x14ac:dyDescent="0.2">
      <c r="A276" t="s">
        <v>32</v>
      </c>
      <c r="B276">
        <v>2020</v>
      </c>
      <c r="C276" t="s">
        <v>43</v>
      </c>
      <c r="D276" s="1">
        <f>DATE(All_India_Index_Upto_April23__1___1[[#This Row],[Year]],MATCH(All_India_Index_Upto_April23__1___1[[#This Row],[Month]],{"January","February","March","April","May","June","July","August","September","October","November","December"},0),1)</f>
        <v>44013</v>
      </c>
      <c r="E276" s="2">
        <v>152.69999999999999</v>
      </c>
      <c r="F276" s="2">
        <v>197</v>
      </c>
      <c r="G276">
        <v>154.6</v>
      </c>
      <c r="H276">
        <v>153.4</v>
      </c>
      <c r="I276">
        <v>132.9</v>
      </c>
      <c r="J276">
        <v>151.80000000000001</v>
      </c>
      <c r="K276">
        <v>171.2</v>
      </c>
      <c r="L276">
        <v>152</v>
      </c>
      <c r="M276">
        <v>116.3</v>
      </c>
      <c r="N276">
        <v>158.80000000000001</v>
      </c>
      <c r="O276">
        <v>135.6</v>
      </c>
      <c r="P276">
        <v>161.69999999999999</v>
      </c>
      <c r="Q276" s="2">
        <v>157</v>
      </c>
      <c r="R276" s="2">
        <v>186.7</v>
      </c>
      <c r="S276" s="2">
        <v>149.1</v>
      </c>
      <c r="T276" s="2">
        <v>136.6</v>
      </c>
      <c r="U276" s="3">
        <v>147.19999999999999</v>
      </c>
      <c r="V276" s="2" t="s">
        <v>128</v>
      </c>
      <c r="W276" s="2">
        <v>137.1</v>
      </c>
      <c r="X276" s="2">
        <v>140.4</v>
      </c>
      <c r="Y276" s="2">
        <v>148.1</v>
      </c>
      <c r="Z276" s="2">
        <v>129.30000000000001</v>
      </c>
      <c r="AA276" s="2">
        <v>144.5</v>
      </c>
      <c r="AB276" s="2">
        <v>152.5</v>
      </c>
      <c r="AC276" s="2">
        <v>152.19999999999999</v>
      </c>
      <c r="AD276" s="2">
        <v>142</v>
      </c>
      <c r="AE276" s="2">
        <v>150.80000000000001</v>
      </c>
    </row>
    <row r="277" spans="1:31" x14ac:dyDescent="0.2">
      <c r="A277" t="s">
        <v>30</v>
      </c>
      <c r="B277">
        <v>2020</v>
      </c>
      <c r="C277" t="s">
        <v>45</v>
      </c>
      <c r="D277" s="1">
        <f>DATE(All_India_Index_Upto_April23__1___1[[#This Row],[Year]],MATCH(All_India_Index_Upto_April23__1___1[[#This Row],[Month]],{"January","February","March","April","May","June","July","August","September","October","November","December"},0),1)</f>
        <v>44044</v>
      </c>
      <c r="E277" s="2">
        <v>147.6</v>
      </c>
      <c r="F277" s="2">
        <v>187.2</v>
      </c>
      <c r="G277">
        <v>148.4</v>
      </c>
      <c r="H277">
        <v>153.30000000000001</v>
      </c>
      <c r="I277">
        <v>139.80000000000001</v>
      </c>
      <c r="J277">
        <v>146.9</v>
      </c>
      <c r="K277">
        <v>171</v>
      </c>
      <c r="L277">
        <v>149.9</v>
      </c>
      <c r="M277">
        <v>114.2</v>
      </c>
      <c r="N277">
        <v>160</v>
      </c>
      <c r="O277">
        <v>143.5</v>
      </c>
      <c r="P277">
        <v>161.5</v>
      </c>
      <c r="Q277" s="2">
        <v>155.30000000000001</v>
      </c>
      <c r="R277" s="2">
        <v>180.9</v>
      </c>
      <c r="S277" s="2">
        <v>155.1</v>
      </c>
      <c r="T277" s="2">
        <v>149.30000000000001</v>
      </c>
      <c r="U277" s="3">
        <v>154.30000000000001</v>
      </c>
      <c r="V277" s="2"/>
      <c r="W277">
        <v>145.80000000000001</v>
      </c>
      <c r="X277" s="2">
        <v>151.9</v>
      </c>
      <c r="Y277" s="2">
        <v>158.80000000000001</v>
      </c>
      <c r="Z277" s="2">
        <v>143.6</v>
      </c>
      <c r="AA277" s="2">
        <v>152.19999999999999</v>
      </c>
      <c r="AB277" s="2">
        <v>162.69999999999999</v>
      </c>
      <c r="AC277" s="2">
        <v>153.6</v>
      </c>
      <c r="AD277" s="2">
        <v>153</v>
      </c>
      <c r="AE277" s="2">
        <v>154.69999999999999</v>
      </c>
    </row>
    <row r="278" spans="1:31" x14ac:dyDescent="0.2">
      <c r="A278" t="s">
        <v>32</v>
      </c>
      <c r="B278">
        <v>2020</v>
      </c>
      <c r="C278" t="s">
        <v>45</v>
      </c>
      <c r="D278" s="1">
        <f>DATE(All_India_Index_Upto_April23__1___1[[#This Row],[Year]],MATCH(All_India_Index_Upto_April23__1___1[[#This Row],[Month]],{"January","February","March","April","May","June","July","August","September","October","November","December"},0),1)</f>
        <v>44044</v>
      </c>
      <c r="E278" s="2">
        <v>151.6</v>
      </c>
      <c r="F278" s="2">
        <v>197.8</v>
      </c>
      <c r="G278">
        <v>154.5</v>
      </c>
      <c r="H278">
        <v>153.4</v>
      </c>
      <c r="I278">
        <v>133.4</v>
      </c>
      <c r="J278">
        <v>154.5</v>
      </c>
      <c r="K278">
        <v>191.9</v>
      </c>
      <c r="L278">
        <v>151.30000000000001</v>
      </c>
      <c r="M278">
        <v>116.8</v>
      </c>
      <c r="N278">
        <v>160</v>
      </c>
      <c r="O278">
        <v>136.5</v>
      </c>
      <c r="P278">
        <v>163.30000000000001</v>
      </c>
      <c r="Q278" s="2">
        <v>159.9</v>
      </c>
      <c r="R278" s="2">
        <v>187.2</v>
      </c>
      <c r="S278" s="2">
        <v>150</v>
      </c>
      <c r="T278" s="2">
        <v>135.19999999999999</v>
      </c>
      <c r="U278" s="3">
        <v>147.80000000000001</v>
      </c>
      <c r="V278" s="2" t="s">
        <v>129</v>
      </c>
      <c r="W278" s="2">
        <v>138.30000000000001</v>
      </c>
      <c r="X278" s="2">
        <v>144.5</v>
      </c>
      <c r="Y278" s="2">
        <v>148.69999999999999</v>
      </c>
      <c r="Z278" s="2">
        <v>133.9</v>
      </c>
      <c r="AA278" s="2">
        <v>141.19999999999999</v>
      </c>
      <c r="AB278" s="2">
        <v>155.5</v>
      </c>
      <c r="AC278" s="2">
        <v>155.19999999999999</v>
      </c>
      <c r="AD278" s="2">
        <v>144.80000000000001</v>
      </c>
      <c r="AE278" s="2">
        <v>152.9</v>
      </c>
    </row>
    <row r="279" spans="1:31" x14ac:dyDescent="0.2">
      <c r="A279" t="s">
        <v>30</v>
      </c>
      <c r="B279">
        <v>2020</v>
      </c>
      <c r="C279" t="s">
        <v>47</v>
      </c>
      <c r="D279" s="1">
        <f>DATE(All_India_Index_Upto_April23__1___1[[#This Row],[Year]],MATCH(All_India_Index_Upto_April23__1___1[[#This Row],[Month]],{"January","February","March","April","May","June","July","August","September","October","November","December"},0),1)</f>
        <v>44075</v>
      </c>
      <c r="E279" s="2">
        <v>146.9</v>
      </c>
      <c r="F279" s="2">
        <v>183.9</v>
      </c>
      <c r="G279">
        <v>149.5</v>
      </c>
      <c r="H279">
        <v>153.4</v>
      </c>
      <c r="I279">
        <v>140.4</v>
      </c>
      <c r="J279">
        <v>147</v>
      </c>
      <c r="K279">
        <v>178.8</v>
      </c>
      <c r="L279">
        <v>149.30000000000001</v>
      </c>
      <c r="M279">
        <v>115.1</v>
      </c>
      <c r="N279">
        <v>160</v>
      </c>
      <c r="O279">
        <v>145.4</v>
      </c>
      <c r="P279">
        <v>161.6</v>
      </c>
      <c r="Q279" s="2">
        <v>156.1</v>
      </c>
      <c r="R279" s="2">
        <v>182.9</v>
      </c>
      <c r="S279" s="2">
        <v>155.4</v>
      </c>
      <c r="T279" s="2">
        <v>149.9</v>
      </c>
      <c r="U279" s="3">
        <v>154.6</v>
      </c>
      <c r="V279" s="2"/>
      <c r="W279">
        <v>146.4</v>
      </c>
      <c r="X279" s="2">
        <v>151.6</v>
      </c>
      <c r="Y279" s="2">
        <v>159.1</v>
      </c>
      <c r="Z279" s="2">
        <v>144.6</v>
      </c>
      <c r="AA279" s="2">
        <v>152.80000000000001</v>
      </c>
      <c r="AB279" s="2">
        <v>161.1</v>
      </c>
      <c r="AC279" s="2">
        <v>157.4</v>
      </c>
      <c r="AD279" s="2">
        <v>153.69999999999999</v>
      </c>
      <c r="AE279" s="2">
        <v>155.4</v>
      </c>
    </row>
    <row r="280" spans="1:31" x14ac:dyDescent="0.2">
      <c r="A280" t="s">
        <v>32</v>
      </c>
      <c r="B280">
        <v>2020</v>
      </c>
      <c r="C280" t="s">
        <v>47</v>
      </c>
      <c r="D280" s="1">
        <f>DATE(All_India_Index_Upto_April23__1___1[[#This Row],[Year]],MATCH(All_India_Index_Upto_April23__1___1[[#This Row],[Month]],{"January","February","March","April","May","June","July","August","September","October","November","December"},0),1)</f>
        <v>44075</v>
      </c>
      <c r="E280" s="2">
        <v>151.5</v>
      </c>
      <c r="F280" s="2">
        <v>193.1</v>
      </c>
      <c r="G280">
        <v>157.30000000000001</v>
      </c>
      <c r="H280">
        <v>153.9</v>
      </c>
      <c r="I280">
        <v>134.4</v>
      </c>
      <c r="J280">
        <v>155.4</v>
      </c>
      <c r="K280">
        <v>202</v>
      </c>
      <c r="L280">
        <v>150.80000000000001</v>
      </c>
      <c r="M280">
        <v>118.9</v>
      </c>
      <c r="N280">
        <v>160.9</v>
      </c>
      <c r="O280">
        <v>137.69999999999999</v>
      </c>
      <c r="P280">
        <v>164.4</v>
      </c>
      <c r="Q280" s="2">
        <v>161.30000000000001</v>
      </c>
      <c r="R280" s="2">
        <v>188.7</v>
      </c>
      <c r="S280" s="2">
        <v>150.19999999999999</v>
      </c>
      <c r="T280" s="2">
        <v>136.30000000000001</v>
      </c>
      <c r="U280" s="3">
        <v>148.1</v>
      </c>
      <c r="V280" s="2" t="s">
        <v>130</v>
      </c>
      <c r="W280" s="2">
        <v>137.19999999999999</v>
      </c>
      <c r="X280" s="2">
        <v>145.4</v>
      </c>
      <c r="Y280" s="2">
        <v>150</v>
      </c>
      <c r="Z280" s="2">
        <v>135.1</v>
      </c>
      <c r="AA280" s="2">
        <v>141.80000000000001</v>
      </c>
      <c r="AB280" s="2">
        <v>154.9</v>
      </c>
      <c r="AC280" s="2">
        <v>159.80000000000001</v>
      </c>
      <c r="AD280" s="2">
        <v>146</v>
      </c>
      <c r="AE280" s="2">
        <v>154</v>
      </c>
    </row>
    <row r="281" spans="1:31" x14ac:dyDescent="0.2">
      <c r="A281" t="s">
        <v>30</v>
      </c>
      <c r="B281">
        <v>2020</v>
      </c>
      <c r="C281" t="s">
        <v>49</v>
      </c>
      <c r="D281" s="1">
        <f>DATE(All_India_Index_Upto_April23__1___1[[#This Row],[Year]],MATCH(All_India_Index_Upto_April23__1___1[[#This Row],[Month]],{"January","February","March","April","May","June","July","August","September","October","November","December"},0),1)</f>
        <v>44105</v>
      </c>
      <c r="E281" s="2">
        <v>146</v>
      </c>
      <c r="F281" s="2">
        <v>186.3</v>
      </c>
      <c r="G281">
        <v>159.19999999999999</v>
      </c>
      <c r="H281">
        <v>153.6</v>
      </c>
      <c r="I281">
        <v>142.6</v>
      </c>
      <c r="J281">
        <v>147.19999999999999</v>
      </c>
      <c r="K281">
        <v>200.6</v>
      </c>
      <c r="L281">
        <v>150.30000000000001</v>
      </c>
      <c r="M281">
        <v>115.3</v>
      </c>
      <c r="N281">
        <v>160.9</v>
      </c>
      <c r="O281">
        <v>147.4</v>
      </c>
      <c r="P281">
        <v>161.9</v>
      </c>
      <c r="Q281" s="2">
        <v>159.6</v>
      </c>
      <c r="R281" s="2">
        <v>182.7</v>
      </c>
      <c r="S281" s="2">
        <v>155.69999999999999</v>
      </c>
      <c r="T281" s="2">
        <v>150.6</v>
      </c>
      <c r="U281" s="3">
        <v>155</v>
      </c>
      <c r="V281" s="2"/>
      <c r="W281">
        <v>146.80000000000001</v>
      </c>
      <c r="X281" s="2">
        <v>152</v>
      </c>
      <c r="Y281" s="2">
        <v>159.5</v>
      </c>
      <c r="Z281" s="2">
        <v>146.4</v>
      </c>
      <c r="AA281" s="2">
        <v>152.4</v>
      </c>
      <c r="AB281" s="2">
        <v>162.5</v>
      </c>
      <c r="AC281" s="2">
        <v>156.19999999999999</v>
      </c>
      <c r="AD281" s="2">
        <v>154.30000000000001</v>
      </c>
      <c r="AE281" s="2">
        <v>157.5</v>
      </c>
    </row>
    <row r="282" spans="1:31" x14ac:dyDescent="0.2">
      <c r="A282" t="s">
        <v>32</v>
      </c>
      <c r="B282">
        <v>2020</v>
      </c>
      <c r="C282" t="s">
        <v>49</v>
      </c>
      <c r="D282" s="1">
        <f>DATE(All_India_Index_Upto_April23__1___1[[#This Row],[Year]],MATCH(All_India_Index_Upto_April23__1___1[[#This Row],[Month]],{"January","February","March","April","May","June","July","August","September","October","November","December"},0),1)</f>
        <v>44105</v>
      </c>
      <c r="E282" s="2">
        <v>150.6</v>
      </c>
      <c r="F282" s="2">
        <v>193.7</v>
      </c>
      <c r="G282">
        <v>164.8</v>
      </c>
      <c r="H282">
        <v>153.69999999999999</v>
      </c>
      <c r="I282">
        <v>135.69999999999999</v>
      </c>
      <c r="J282">
        <v>155.69999999999999</v>
      </c>
      <c r="K282">
        <v>226</v>
      </c>
      <c r="L282">
        <v>152.19999999999999</v>
      </c>
      <c r="M282">
        <v>118.1</v>
      </c>
      <c r="N282">
        <v>161.30000000000001</v>
      </c>
      <c r="O282">
        <v>139.19999999999999</v>
      </c>
      <c r="P282">
        <v>164.8</v>
      </c>
      <c r="Q282" s="2">
        <v>164.4</v>
      </c>
      <c r="R282" s="2">
        <v>188.7</v>
      </c>
      <c r="S282" s="2">
        <v>150.5</v>
      </c>
      <c r="T282" s="2">
        <v>136.1</v>
      </c>
      <c r="U282" s="3">
        <v>148.30000000000001</v>
      </c>
      <c r="V282" s="2" t="s">
        <v>131</v>
      </c>
      <c r="W282" s="2">
        <v>137.1</v>
      </c>
      <c r="X282" s="2">
        <v>145.1</v>
      </c>
      <c r="Y282" s="2">
        <v>151</v>
      </c>
      <c r="Z282" s="2">
        <v>135.4</v>
      </c>
      <c r="AA282" s="2">
        <v>142</v>
      </c>
      <c r="AB282" s="2">
        <v>155.69999999999999</v>
      </c>
      <c r="AC282" s="2">
        <v>158.1</v>
      </c>
      <c r="AD282" s="2">
        <v>146.19999999999999</v>
      </c>
      <c r="AE282" s="2">
        <v>155.19999999999999</v>
      </c>
    </row>
    <row r="283" spans="1:31" x14ac:dyDescent="0.2">
      <c r="A283" t="s">
        <v>30</v>
      </c>
      <c r="B283">
        <v>2020</v>
      </c>
      <c r="C283" t="s">
        <v>51</v>
      </c>
      <c r="D283" s="1">
        <f>DATE(All_India_Index_Upto_April23__1___1[[#This Row],[Year]],MATCH(All_India_Index_Upto_April23__1___1[[#This Row],[Month]],{"January","February","March","April","May","June","July","August","September","October","November","December"},0),1)</f>
        <v>44136</v>
      </c>
      <c r="E283" s="2">
        <v>145.4</v>
      </c>
      <c r="F283" s="2">
        <v>188.6</v>
      </c>
      <c r="G283">
        <v>171.6</v>
      </c>
      <c r="H283">
        <v>153.80000000000001</v>
      </c>
      <c r="I283">
        <v>145.4</v>
      </c>
      <c r="J283">
        <v>146.5</v>
      </c>
      <c r="K283">
        <v>222.2</v>
      </c>
      <c r="L283">
        <v>155.9</v>
      </c>
      <c r="M283">
        <v>114.9</v>
      </c>
      <c r="N283">
        <v>162</v>
      </c>
      <c r="O283">
        <v>150</v>
      </c>
      <c r="P283">
        <v>162.69999999999999</v>
      </c>
      <c r="Q283" s="2">
        <v>163.4</v>
      </c>
      <c r="R283" s="2">
        <v>183.4</v>
      </c>
      <c r="S283" s="2">
        <v>156.30000000000001</v>
      </c>
      <c r="T283" s="2">
        <v>151</v>
      </c>
      <c r="U283" s="3">
        <v>155.5</v>
      </c>
      <c r="V283" s="2"/>
      <c r="W283">
        <v>147.5</v>
      </c>
      <c r="X283" s="2">
        <v>152.80000000000001</v>
      </c>
      <c r="Y283" s="2">
        <v>160.4</v>
      </c>
      <c r="Z283" s="2">
        <v>146.1</v>
      </c>
      <c r="AA283" s="2">
        <v>153.6</v>
      </c>
      <c r="AB283" s="2">
        <v>161.6</v>
      </c>
      <c r="AC283" s="2">
        <v>156.19999999999999</v>
      </c>
      <c r="AD283" s="2">
        <v>154.5</v>
      </c>
      <c r="AE283" s="2">
        <v>159.80000000000001</v>
      </c>
    </row>
    <row r="284" spans="1:31" x14ac:dyDescent="0.2">
      <c r="A284" t="s">
        <v>32</v>
      </c>
      <c r="B284">
        <v>2020</v>
      </c>
      <c r="C284" t="s">
        <v>51</v>
      </c>
      <c r="D284" s="1">
        <f>DATE(All_India_Index_Upto_April23__1___1[[#This Row],[Year]],MATCH(All_India_Index_Upto_April23__1___1[[#This Row],[Month]],{"January","February","March","April","May","June","July","August","September","October","November","December"},0),1)</f>
        <v>44136</v>
      </c>
      <c r="E284" s="2">
        <v>149.69999999999999</v>
      </c>
      <c r="F284" s="2">
        <v>195.5</v>
      </c>
      <c r="G284">
        <v>176.9</v>
      </c>
      <c r="H284">
        <v>153.9</v>
      </c>
      <c r="I284">
        <v>138</v>
      </c>
      <c r="J284">
        <v>150.5</v>
      </c>
      <c r="K284">
        <v>245.3</v>
      </c>
      <c r="L284">
        <v>158.69999999999999</v>
      </c>
      <c r="M284">
        <v>117.2</v>
      </c>
      <c r="N284">
        <v>161.4</v>
      </c>
      <c r="O284">
        <v>141.5</v>
      </c>
      <c r="P284">
        <v>165.1</v>
      </c>
      <c r="Q284" s="2">
        <v>167</v>
      </c>
      <c r="R284" s="2">
        <v>188.8</v>
      </c>
      <c r="S284" s="2">
        <v>151.1</v>
      </c>
      <c r="T284" s="2">
        <v>136.4</v>
      </c>
      <c r="U284" s="3">
        <v>148.80000000000001</v>
      </c>
      <c r="V284" s="2" t="s">
        <v>132</v>
      </c>
      <c r="W284" s="2">
        <v>137.30000000000001</v>
      </c>
      <c r="X284" s="2">
        <v>145.1</v>
      </c>
      <c r="Y284" s="2">
        <v>152</v>
      </c>
      <c r="Z284" s="2">
        <v>135.19999999999999</v>
      </c>
      <c r="AA284" s="2">
        <v>144.4</v>
      </c>
      <c r="AB284" s="2">
        <v>156.4</v>
      </c>
      <c r="AC284" s="2">
        <v>157.9</v>
      </c>
      <c r="AD284" s="2">
        <v>146.6</v>
      </c>
      <c r="AE284" s="2">
        <v>156.69999999999999</v>
      </c>
    </row>
    <row r="285" spans="1:31" x14ac:dyDescent="0.2">
      <c r="A285" t="s">
        <v>30</v>
      </c>
      <c r="B285">
        <v>2020</v>
      </c>
      <c r="C285" t="s">
        <v>53</v>
      </c>
      <c r="D285" s="1">
        <f>DATE(All_India_Index_Upto_April23__1___1[[#This Row],[Year]],MATCH(All_India_Index_Upto_April23__1___1[[#This Row],[Month]],{"January","February","March","April","May","June","July","August","September","October","November","December"},0),1)</f>
        <v>44166</v>
      </c>
      <c r="E285" s="2">
        <v>144.6</v>
      </c>
      <c r="F285" s="2">
        <v>188.5</v>
      </c>
      <c r="G285">
        <v>173.4</v>
      </c>
      <c r="H285">
        <v>154</v>
      </c>
      <c r="I285">
        <v>150</v>
      </c>
      <c r="J285">
        <v>145.9</v>
      </c>
      <c r="K285">
        <v>225.2</v>
      </c>
      <c r="L285">
        <v>159.5</v>
      </c>
      <c r="M285">
        <v>114.4</v>
      </c>
      <c r="N285">
        <v>163.5</v>
      </c>
      <c r="O285">
        <v>153.4</v>
      </c>
      <c r="P285">
        <v>163.6</v>
      </c>
      <c r="Q285" s="2">
        <v>164.5</v>
      </c>
      <c r="R285" s="2">
        <v>183.6</v>
      </c>
      <c r="S285" s="2">
        <v>157</v>
      </c>
      <c r="T285" s="2">
        <v>151.6</v>
      </c>
      <c r="U285" s="3">
        <v>156.30000000000001</v>
      </c>
      <c r="V285" s="2"/>
      <c r="W285">
        <v>148.69999999999999</v>
      </c>
      <c r="X285" s="2">
        <v>153.4</v>
      </c>
      <c r="Y285" s="2">
        <v>161.6</v>
      </c>
      <c r="Z285" s="2">
        <v>146.4</v>
      </c>
      <c r="AA285" s="2">
        <v>153.9</v>
      </c>
      <c r="AB285" s="2">
        <v>162.9</v>
      </c>
      <c r="AC285" s="2">
        <v>156.6</v>
      </c>
      <c r="AD285" s="2">
        <v>155.19999999999999</v>
      </c>
      <c r="AE285" s="2">
        <v>160.69999999999999</v>
      </c>
    </row>
    <row r="286" spans="1:31" x14ac:dyDescent="0.2">
      <c r="A286" t="s">
        <v>32</v>
      </c>
      <c r="B286">
        <v>2020</v>
      </c>
      <c r="C286" t="s">
        <v>53</v>
      </c>
      <c r="D286" s="1">
        <f>DATE(All_India_Index_Upto_April23__1___1[[#This Row],[Year]],MATCH(All_India_Index_Upto_April23__1___1[[#This Row],[Month]],{"January","February","March","April","May","June","July","August","September","October","November","December"},0),1)</f>
        <v>44166</v>
      </c>
      <c r="E286" s="2">
        <v>149</v>
      </c>
      <c r="F286" s="2">
        <v>195.7</v>
      </c>
      <c r="G286">
        <v>178.3</v>
      </c>
      <c r="H286">
        <v>154.19999999999999</v>
      </c>
      <c r="I286">
        <v>140.69999999999999</v>
      </c>
      <c r="J286">
        <v>149.69999999999999</v>
      </c>
      <c r="K286">
        <v>240.9</v>
      </c>
      <c r="L286">
        <v>161.5</v>
      </c>
      <c r="M286">
        <v>117.1</v>
      </c>
      <c r="N286">
        <v>161.9</v>
      </c>
      <c r="O286">
        <v>143.30000000000001</v>
      </c>
      <c r="P286">
        <v>166.1</v>
      </c>
      <c r="Q286" s="2">
        <v>167</v>
      </c>
      <c r="R286" s="2">
        <v>190.2</v>
      </c>
      <c r="S286" s="2">
        <v>151.9</v>
      </c>
      <c r="T286" s="2">
        <v>136.69999999999999</v>
      </c>
      <c r="U286" s="3">
        <v>149.6</v>
      </c>
      <c r="V286" s="2" t="s">
        <v>133</v>
      </c>
      <c r="W286" s="2">
        <v>137.9</v>
      </c>
      <c r="X286" s="2">
        <v>145.5</v>
      </c>
      <c r="Y286" s="2">
        <v>152.9</v>
      </c>
      <c r="Z286" s="2">
        <v>135.5</v>
      </c>
      <c r="AA286" s="2">
        <v>144.30000000000001</v>
      </c>
      <c r="AB286" s="2">
        <v>156.9</v>
      </c>
      <c r="AC286" s="2">
        <v>157.9</v>
      </c>
      <c r="AD286" s="2">
        <v>146.9</v>
      </c>
      <c r="AE286" s="2">
        <v>156.9</v>
      </c>
    </row>
    <row r="287" spans="1:31" x14ac:dyDescent="0.2">
      <c r="A287" t="s">
        <v>34</v>
      </c>
      <c r="B287">
        <v>2021</v>
      </c>
      <c r="C287" t="s">
        <v>31</v>
      </c>
      <c r="D287" s="1">
        <f>DATE(All_India_Index_Upto_April23__1___1[[#This Row],[Year]],MATCH(All_India_Index_Upto_April23__1___1[[#This Row],[Month]],{"January","February","March","April","May","June","July","August","September","October","November","December"},0),1)</f>
        <v>44197</v>
      </c>
      <c r="E287" s="2">
        <v>144.9</v>
      </c>
      <c r="F287" s="2">
        <v>190.1</v>
      </c>
      <c r="G287">
        <v>175.3</v>
      </c>
      <c r="H287">
        <v>154.1</v>
      </c>
      <c r="I287">
        <v>150.9</v>
      </c>
      <c r="J287">
        <v>149.6</v>
      </c>
      <c r="K287">
        <v>194.2</v>
      </c>
      <c r="L287">
        <v>160.4</v>
      </c>
      <c r="M287">
        <v>114.6</v>
      </c>
      <c r="N287">
        <v>164</v>
      </c>
      <c r="O287">
        <v>151.80000000000001</v>
      </c>
      <c r="P287">
        <v>165.6</v>
      </c>
      <c r="Q287" s="2">
        <v>161</v>
      </c>
      <c r="R287" s="2">
        <v>186.5</v>
      </c>
      <c r="S287" s="2">
        <v>155.5</v>
      </c>
      <c r="T287" s="2">
        <v>146.1</v>
      </c>
      <c r="U287" s="3">
        <v>154.19999999999999</v>
      </c>
      <c r="V287" s="2" t="s">
        <v>134</v>
      </c>
      <c r="W287" s="2">
        <v>147.9</v>
      </c>
      <c r="X287" s="2">
        <v>150</v>
      </c>
      <c r="Y287" s="2">
        <v>159.30000000000001</v>
      </c>
      <c r="Z287" s="2">
        <v>141.9</v>
      </c>
      <c r="AA287" s="2">
        <v>149.6</v>
      </c>
      <c r="AB287" s="2">
        <v>159.19999999999999</v>
      </c>
      <c r="AC287" s="2">
        <v>156.80000000000001</v>
      </c>
      <c r="AD287" s="2">
        <v>151.9</v>
      </c>
      <c r="AE287" s="2">
        <v>157.30000000000001</v>
      </c>
    </row>
    <row r="288" spans="1:31" x14ac:dyDescent="0.2">
      <c r="A288" t="s">
        <v>34</v>
      </c>
      <c r="B288">
        <v>2021</v>
      </c>
      <c r="C288" t="s">
        <v>35</v>
      </c>
      <c r="D288" s="1">
        <f>DATE(All_India_Index_Upto_April23__1___1[[#This Row],[Year]],MATCH(All_India_Index_Upto_April23__1___1[[#This Row],[Month]],{"January","February","March","April","May","June","July","August","September","October","November","December"},0),1)</f>
        <v>44228</v>
      </c>
      <c r="E288" s="2">
        <v>144.30000000000001</v>
      </c>
      <c r="F288" s="2">
        <v>186.5</v>
      </c>
      <c r="G288">
        <v>168.7</v>
      </c>
      <c r="H288">
        <v>154.69999999999999</v>
      </c>
      <c r="I288">
        <v>158.69999999999999</v>
      </c>
      <c r="J288">
        <v>150.69999999999999</v>
      </c>
      <c r="K288">
        <v>160</v>
      </c>
      <c r="L288">
        <v>158.80000000000001</v>
      </c>
      <c r="M288">
        <v>112.8</v>
      </c>
      <c r="N288">
        <v>164.2</v>
      </c>
      <c r="O288">
        <v>155.5</v>
      </c>
      <c r="P288">
        <v>167.5</v>
      </c>
      <c r="Q288" s="2">
        <v>156.9</v>
      </c>
      <c r="R288" s="2">
        <v>188.3</v>
      </c>
      <c r="S288" s="2">
        <v>157.19999999999999</v>
      </c>
      <c r="T288" s="2">
        <v>147.4</v>
      </c>
      <c r="U288" s="3">
        <v>155.80000000000001</v>
      </c>
      <c r="V288" s="2" t="s">
        <v>135</v>
      </c>
      <c r="W288" s="2">
        <v>152.4</v>
      </c>
      <c r="X288" s="2">
        <v>150.9</v>
      </c>
      <c r="Y288" s="2">
        <v>161.30000000000001</v>
      </c>
      <c r="Z288" s="2">
        <v>145.1</v>
      </c>
      <c r="AA288" s="2">
        <v>151.5</v>
      </c>
      <c r="AB288" s="2">
        <v>159.5</v>
      </c>
      <c r="AC288" s="2">
        <v>155.80000000000001</v>
      </c>
      <c r="AD288" s="2">
        <v>153.4</v>
      </c>
      <c r="AE288" s="2">
        <v>156.6</v>
      </c>
    </row>
    <row r="289" spans="1:31" x14ac:dyDescent="0.2">
      <c r="A289" t="s">
        <v>34</v>
      </c>
      <c r="B289">
        <v>2021</v>
      </c>
      <c r="C289" t="s">
        <v>37</v>
      </c>
      <c r="D289" s="1">
        <f>DATE(All_India_Index_Upto_April23__1___1[[#This Row],[Year]],MATCH(All_India_Index_Upto_April23__1___1[[#This Row],[Month]],{"January","February","March","April","May","June","July","August","September","October","November","December"},0),1)</f>
        <v>44256</v>
      </c>
      <c r="E289" s="2">
        <v>144.1</v>
      </c>
      <c r="F289" s="2">
        <v>192.2</v>
      </c>
      <c r="G289">
        <v>163.80000000000001</v>
      </c>
      <c r="H289">
        <v>154.9</v>
      </c>
      <c r="I289">
        <v>163.9</v>
      </c>
      <c r="J289">
        <v>153.69999999999999</v>
      </c>
      <c r="K289">
        <v>149.5</v>
      </c>
      <c r="L289">
        <v>159.80000000000001</v>
      </c>
      <c r="M289">
        <v>112.6</v>
      </c>
      <c r="N289">
        <v>163.5</v>
      </c>
      <c r="O289">
        <v>156.5</v>
      </c>
      <c r="P289">
        <v>168.2</v>
      </c>
      <c r="Q289" s="2">
        <v>156.69999999999999</v>
      </c>
      <c r="R289" s="2">
        <v>188.1</v>
      </c>
      <c r="S289" s="2">
        <v>157.80000000000001</v>
      </c>
      <c r="T289" s="2">
        <v>147.9</v>
      </c>
      <c r="U289" s="3">
        <v>156.4</v>
      </c>
      <c r="V289" s="2" t="s">
        <v>136</v>
      </c>
      <c r="W289" s="2">
        <v>155.5</v>
      </c>
      <c r="X289" s="2">
        <v>151.19999999999999</v>
      </c>
      <c r="Y289" s="2">
        <v>161.69999999999999</v>
      </c>
      <c r="Z289" s="2">
        <v>146.19999999999999</v>
      </c>
      <c r="AA289" s="2">
        <v>152.6</v>
      </c>
      <c r="AB289" s="2">
        <v>160.19999999999999</v>
      </c>
      <c r="AC289" s="2">
        <v>153.80000000000001</v>
      </c>
      <c r="AD289" s="2">
        <v>153.80000000000001</v>
      </c>
      <c r="AE289" s="2">
        <v>156.80000000000001</v>
      </c>
    </row>
    <row r="290" spans="1:31" x14ac:dyDescent="0.2">
      <c r="A290" t="s">
        <v>34</v>
      </c>
      <c r="B290">
        <v>2021</v>
      </c>
      <c r="C290" t="s">
        <v>38</v>
      </c>
      <c r="D290" s="1">
        <f>DATE(All_India_Index_Upto_April23__1___1[[#This Row],[Year]],MATCH(All_India_Index_Upto_April23__1___1[[#This Row],[Month]],{"January","February","March","April","May","June","July","August","September","October","November","December"},0),1)</f>
        <v>44287</v>
      </c>
      <c r="E290" s="2">
        <v>144.30000000000001</v>
      </c>
      <c r="F290" s="2">
        <v>198</v>
      </c>
      <c r="G290">
        <v>164.6</v>
      </c>
      <c r="H290">
        <v>155.4</v>
      </c>
      <c r="I290">
        <v>170.1</v>
      </c>
      <c r="J290">
        <v>164.4</v>
      </c>
      <c r="K290">
        <v>144.1</v>
      </c>
      <c r="L290">
        <v>161.69999999999999</v>
      </c>
      <c r="M290">
        <v>113.1</v>
      </c>
      <c r="N290">
        <v>163.9</v>
      </c>
      <c r="O290">
        <v>157.6</v>
      </c>
      <c r="P290">
        <v>168.9</v>
      </c>
      <c r="Q290" s="2">
        <v>158</v>
      </c>
      <c r="R290" s="2">
        <v>188.8</v>
      </c>
      <c r="S290" s="2">
        <v>158.80000000000001</v>
      </c>
      <c r="T290" s="2">
        <v>148.5</v>
      </c>
      <c r="U290" s="3">
        <v>157.30000000000001</v>
      </c>
      <c r="V290" s="2" t="s">
        <v>137</v>
      </c>
      <c r="W290" s="2">
        <v>155.6</v>
      </c>
      <c r="X290" s="2">
        <v>151.80000000000001</v>
      </c>
      <c r="Y290" s="2">
        <v>162.30000000000001</v>
      </c>
      <c r="Z290" s="2">
        <v>146.6</v>
      </c>
      <c r="AA290" s="2">
        <v>153.19999999999999</v>
      </c>
      <c r="AB290" s="2">
        <v>160.30000000000001</v>
      </c>
      <c r="AC290" s="2">
        <v>155.4</v>
      </c>
      <c r="AD290" s="2">
        <v>154.4</v>
      </c>
      <c r="AE290" s="2">
        <v>157.80000000000001</v>
      </c>
    </row>
    <row r="291" spans="1:31" x14ac:dyDescent="0.2">
      <c r="A291" t="s">
        <v>34</v>
      </c>
      <c r="B291">
        <v>2021</v>
      </c>
      <c r="C291" t="s">
        <v>40</v>
      </c>
      <c r="D291" s="1">
        <f>DATE(All_India_Index_Upto_April23__1___1[[#This Row],[Year]],MATCH(All_India_Index_Upto_April23__1___1[[#This Row],[Month]],{"January","February","March","April","May","June","July","August","September","October","November","December"},0),1)</f>
        <v>44317</v>
      </c>
      <c r="E291" s="2">
        <v>146.30000000000001</v>
      </c>
      <c r="F291" s="2">
        <v>200.5</v>
      </c>
      <c r="G291">
        <v>170.3</v>
      </c>
      <c r="H291">
        <v>156.1</v>
      </c>
      <c r="I291">
        <v>178.7</v>
      </c>
      <c r="J291">
        <v>167.1</v>
      </c>
      <c r="K291">
        <v>147.9</v>
      </c>
      <c r="L291">
        <v>165.4</v>
      </c>
      <c r="M291">
        <v>114.8</v>
      </c>
      <c r="N291">
        <v>168.2</v>
      </c>
      <c r="O291">
        <v>159.30000000000001</v>
      </c>
      <c r="P291">
        <v>170.4</v>
      </c>
      <c r="Q291" s="2">
        <v>160.69999999999999</v>
      </c>
      <c r="R291" s="2">
        <v>191.9</v>
      </c>
      <c r="S291" s="2">
        <v>161.80000000000001</v>
      </c>
      <c r="T291" s="2">
        <v>152.1</v>
      </c>
      <c r="U291" s="3">
        <v>160.4</v>
      </c>
      <c r="V291" s="2" t="s">
        <v>138</v>
      </c>
      <c r="W291" s="2">
        <v>159.4</v>
      </c>
      <c r="X291" s="2">
        <v>154.69999999999999</v>
      </c>
      <c r="Y291" s="2">
        <v>165.8</v>
      </c>
      <c r="Z291" s="2">
        <v>148.9</v>
      </c>
      <c r="AA291" s="2">
        <v>155.80000000000001</v>
      </c>
      <c r="AB291" s="2">
        <v>161.19999999999999</v>
      </c>
      <c r="AC291" s="2">
        <v>158.6</v>
      </c>
      <c r="AD291" s="2">
        <v>156.80000000000001</v>
      </c>
      <c r="AE291" s="2">
        <v>160.4</v>
      </c>
    </row>
    <row r="292" spans="1:31" x14ac:dyDescent="0.2">
      <c r="A292" t="s">
        <v>34</v>
      </c>
      <c r="B292">
        <v>2021</v>
      </c>
      <c r="C292" t="s">
        <v>41</v>
      </c>
      <c r="D292" s="1">
        <f>DATE(All_India_Index_Upto_April23__1___1[[#This Row],[Year]],MATCH(All_India_Index_Upto_April23__1___1[[#This Row],[Month]],{"January","February","March","April","May","June","July","August","September","October","November","December"},0),1)</f>
        <v>44348</v>
      </c>
      <c r="E292" s="2">
        <v>146.69999999999999</v>
      </c>
      <c r="F292" s="2">
        <v>202</v>
      </c>
      <c r="G292">
        <v>180.7</v>
      </c>
      <c r="H292">
        <v>156.19999999999999</v>
      </c>
      <c r="I292">
        <v>183.7</v>
      </c>
      <c r="J292">
        <v>164.6</v>
      </c>
      <c r="K292">
        <v>155.4</v>
      </c>
      <c r="L292">
        <v>166</v>
      </c>
      <c r="M292">
        <v>115.1</v>
      </c>
      <c r="N292">
        <v>168.5</v>
      </c>
      <c r="O292">
        <v>160</v>
      </c>
      <c r="P292">
        <v>172.4</v>
      </c>
      <c r="Q292" s="2">
        <v>162.6</v>
      </c>
      <c r="R292" s="2">
        <v>190.8</v>
      </c>
      <c r="S292" s="2">
        <v>162.19999999999999</v>
      </c>
      <c r="T292" s="2">
        <v>151.80000000000001</v>
      </c>
      <c r="U292" s="3">
        <v>160.69999999999999</v>
      </c>
      <c r="V292" s="2" t="s">
        <v>139</v>
      </c>
      <c r="W292" s="2">
        <v>159.80000000000001</v>
      </c>
      <c r="X292" s="2">
        <v>154.80000000000001</v>
      </c>
      <c r="Y292" s="2">
        <v>166.3</v>
      </c>
      <c r="Z292" s="2">
        <v>150.69999999999999</v>
      </c>
      <c r="AA292" s="2">
        <v>154.9</v>
      </c>
      <c r="AB292" s="2">
        <v>161.69999999999999</v>
      </c>
      <c r="AC292" s="2">
        <v>158.80000000000001</v>
      </c>
      <c r="AD292" s="2">
        <v>157.6</v>
      </c>
      <c r="AE292" s="2">
        <v>161.30000000000001</v>
      </c>
    </row>
    <row r="293" spans="1:31" x14ac:dyDescent="0.2">
      <c r="A293" t="s">
        <v>34</v>
      </c>
      <c r="B293">
        <v>2021</v>
      </c>
      <c r="C293" t="s">
        <v>43</v>
      </c>
      <c r="D293" s="1">
        <f>DATE(All_India_Index_Upto_April23__1___1[[#This Row],[Year]],MATCH(All_India_Index_Upto_April23__1___1[[#This Row],[Month]],{"January","February","March","April","May","June","July","August","September","October","November","December"},0),1)</f>
        <v>44378</v>
      </c>
      <c r="E293" s="2">
        <v>146.4</v>
      </c>
      <c r="F293" s="2">
        <v>206.8</v>
      </c>
      <c r="G293">
        <v>182.2</v>
      </c>
      <c r="H293">
        <v>157.5</v>
      </c>
      <c r="I293">
        <v>182.1</v>
      </c>
      <c r="J293">
        <v>163.9</v>
      </c>
      <c r="K293">
        <v>164.2</v>
      </c>
      <c r="L293">
        <v>164</v>
      </c>
      <c r="M293">
        <v>114.5</v>
      </c>
      <c r="N293">
        <v>168.3</v>
      </c>
      <c r="O293">
        <v>160.9</v>
      </c>
      <c r="P293">
        <v>172.2</v>
      </c>
      <c r="Q293" s="2">
        <v>164</v>
      </c>
      <c r="R293" s="2">
        <v>191.2</v>
      </c>
      <c r="S293" s="2">
        <v>162.80000000000001</v>
      </c>
      <c r="T293" s="2">
        <v>153.1</v>
      </c>
      <c r="U293" s="3">
        <v>161.4</v>
      </c>
      <c r="V293" s="2" t="s">
        <v>140</v>
      </c>
      <c r="W293" s="2">
        <v>160.69999999999999</v>
      </c>
      <c r="X293" s="2">
        <v>155.80000000000001</v>
      </c>
      <c r="Y293" s="2">
        <v>167</v>
      </c>
      <c r="Z293" s="2">
        <v>153.1</v>
      </c>
      <c r="AA293" s="2">
        <v>155.30000000000001</v>
      </c>
      <c r="AB293" s="2">
        <v>163.19999999999999</v>
      </c>
      <c r="AC293" s="2">
        <v>160.1</v>
      </c>
      <c r="AD293" s="2">
        <v>159</v>
      </c>
      <c r="AE293" s="2">
        <v>162.5</v>
      </c>
    </row>
    <row r="294" spans="1:31" x14ac:dyDescent="0.2">
      <c r="A294" t="s">
        <v>34</v>
      </c>
      <c r="B294">
        <v>2021</v>
      </c>
      <c r="C294" t="s">
        <v>45</v>
      </c>
      <c r="D294" s="1">
        <f>DATE(All_India_Index_Upto_April23__1___1[[#This Row],[Year]],MATCH(All_India_Index_Upto_April23__1___1[[#This Row],[Month]],{"January","February","March","April","May","June","July","August","September","October","November","December"},0),1)</f>
        <v>44409</v>
      </c>
      <c r="E294" s="2">
        <v>146.6</v>
      </c>
      <c r="F294" s="2">
        <v>204</v>
      </c>
      <c r="G294">
        <v>172.8</v>
      </c>
      <c r="H294">
        <v>158.4</v>
      </c>
      <c r="I294">
        <v>188</v>
      </c>
      <c r="J294">
        <v>156.80000000000001</v>
      </c>
      <c r="K294">
        <v>162.19999999999999</v>
      </c>
      <c r="L294">
        <v>164.1</v>
      </c>
      <c r="M294">
        <v>119.7</v>
      </c>
      <c r="N294">
        <v>168.8</v>
      </c>
      <c r="O294">
        <v>162.69999999999999</v>
      </c>
      <c r="P294">
        <v>173.9</v>
      </c>
      <c r="Q294" s="2">
        <v>164</v>
      </c>
      <c r="R294" s="2">
        <v>192.1</v>
      </c>
      <c r="S294" s="2">
        <v>164.5</v>
      </c>
      <c r="T294" s="2">
        <v>155.30000000000001</v>
      </c>
      <c r="U294" s="3">
        <v>163.19999999999999</v>
      </c>
      <c r="V294" s="2" t="s">
        <v>141</v>
      </c>
      <c r="W294" s="2">
        <v>162.6</v>
      </c>
      <c r="X294" s="2">
        <v>157.5</v>
      </c>
      <c r="Y294" s="2">
        <v>168.4</v>
      </c>
      <c r="Z294" s="2">
        <v>154</v>
      </c>
      <c r="AA294" s="2">
        <v>157.6</v>
      </c>
      <c r="AB294" s="2">
        <v>163.80000000000001</v>
      </c>
      <c r="AC294" s="2">
        <v>160</v>
      </c>
      <c r="AD294" s="2">
        <v>160</v>
      </c>
      <c r="AE294" s="2">
        <v>163.19999999999999</v>
      </c>
    </row>
    <row r="295" spans="1:31" x14ac:dyDescent="0.2">
      <c r="A295" t="s">
        <v>34</v>
      </c>
      <c r="B295">
        <v>2021</v>
      </c>
      <c r="C295" t="s">
        <v>47</v>
      </c>
      <c r="D295" s="1">
        <f>DATE(All_India_Index_Upto_April23__1___1[[#This Row],[Year]],MATCH(All_India_Index_Upto_April23__1___1[[#This Row],[Month]],{"January","February","March","April","May","June","July","August","September","October","November","December"},0),1)</f>
        <v>44440</v>
      </c>
      <c r="E295" s="2">
        <v>146.6</v>
      </c>
      <c r="F295" s="2">
        <v>204</v>
      </c>
      <c r="G295">
        <v>172.8</v>
      </c>
      <c r="H295">
        <v>158.4</v>
      </c>
      <c r="I295">
        <v>188</v>
      </c>
      <c r="J295">
        <v>156.69999999999999</v>
      </c>
      <c r="K295">
        <v>162.30000000000001</v>
      </c>
      <c r="L295">
        <v>164.1</v>
      </c>
      <c r="M295">
        <v>119.7</v>
      </c>
      <c r="N295">
        <v>168.8</v>
      </c>
      <c r="O295">
        <v>162.69999999999999</v>
      </c>
      <c r="P295">
        <v>173.9</v>
      </c>
      <c r="Q295" s="2">
        <v>164</v>
      </c>
      <c r="R295" s="2">
        <v>192.1</v>
      </c>
      <c r="S295" s="2">
        <v>164.6</v>
      </c>
      <c r="T295" s="2">
        <v>155.30000000000001</v>
      </c>
      <c r="U295" s="3">
        <v>163.30000000000001</v>
      </c>
      <c r="V295" s="2" t="s">
        <v>141</v>
      </c>
      <c r="W295" s="2">
        <v>162.6</v>
      </c>
      <c r="X295" s="2">
        <v>157.5</v>
      </c>
      <c r="Y295" s="2">
        <v>168.4</v>
      </c>
      <c r="Z295" s="2">
        <v>154</v>
      </c>
      <c r="AA295" s="2">
        <v>157.69999999999999</v>
      </c>
      <c r="AB295" s="2">
        <v>163.69999999999999</v>
      </c>
      <c r="AC295" s="2">
        <v>160</v>
      </c>
      <c r="AD295" s="2">
        <v>160</v>
      </c>
      <c r="AE295" s="2">
        <v>163.19999999999999</v>
      </c>
    </row>
    <row r="296" spans="1:31" x14ac:dyDescent="0.2">
      <c r="A296" t="s">
        <v>34</v>
      </c>
      <c r="B296">
        <v>2021</v>
      </c>
      <c r="C296" t="s">
        <v>49</v>
      </c>
      <c r="D296" s="1">
        <f>DATE(All_India_Index_Upto_April23__1___1[[#This Row],[Year]],MATCH(All_India_Index_Upto_April23__1___1[[#This Row],[Month]],{"January","February","March","April","May","June","July","August","September","October","November","December"},0),1)</f>
        <v>44470</v>
      </c>
      <c r="E296" s="2">
        <v>147.4</v>
      </c>
      <c r="F296" s="2">
        <v>204.6</v>
      </c>
      <c r="G296">
        <v>171.2</v>
      </c>
      <c r="H296">
        <v>158.69999999999999</v>
      </c>
      <c r="I296">
        <v>190.6</v>
      </c>
      <c r="J296">
        <v>155.69999999999999</v>
      </c>
      <c r="K296">
        <v>185.3</v>
      </c>
      <c r="L296">
        <v>165.2</v>
      </c>
      <c r="M296">
        <v>121.9</v>
      </c>
      <c r="N296">
        <v>169.3</v>
      </c>
      <c r="O296">
        <v>163.19999999999999</v>
      </c>
      <c r="P296">
        <v>174.7</v>
      </c>
      <c r="Q296" s="2">
        <v>167.7</v>
      </c>
      <c r="R296" s="2">
        <v>192.7</v>
      </c>
      <c r="S296" s="2">
        <v>165.7</v>
      </c>
      <c r="T296" s="2">
        <v>156.30000000000001</v>
      </c>
      <c r="U296" s="3">
        <v>164.3</v>
      </c>
      <c r="V296" s="2" t="s">
        <v>142</v>
      </c>
      <c r="W296" s="2">
        <v>164.2</v>
      </c>
      <c r="X296" s="2">
        <v>158.4</v>
      </c>
      <c r="Y296" s="2">
        <v>169.1</v>
      </c>
      <c r="Z296" s="2">
        <v>155.69999999999999</v>
      </c>
      <c r="AA296" s="2">
        <v>158.6</v>
      </c>
      <c r="AB296" s="2">
        <v>163.9</v>
      </c>
      <c r="AC296" s="2">
        <v>160.80000000000001</v>
      </c>
      <c r="AD296" s="2">
        <v>161</v>
      </c>
      <c r="AE296" s="2">
        <v>165.5</v>
      </c>
    </row>
    <row r="297" spans="1:31" x14ac:dyDescent="0.2">
      <c r="A297" t="s">
        <v>34</v>
      </c>
      <c r="B297">
        <v>2021</v>
      </c>
      <c r="C297" t="s">
        <v>51</v>
      </c>
      <c r="D297" s="1">
        <f>DATE(All_India_Index_Upto_April23__1___1[[#This Row],[Year]],MATCH(All_India_Index_Upto_April23__1___1[[#This Row],[Month]],{"January","February","March","April","May","June","July","August","September","October","November","December"},0),1)</f>
        <v>44501</v>
      </c>
      <c r="E297" s="2">
        <v>148.19999999999999</v>
      </c>
      <c r="F297" s="2">
        <v>201.6</v>
      </c>
      <c r="G297">
        <v>173</v>
      </c>
      <c r="H297">
        <v>159.30000000000001</v>
      </c>
      <c r="I297">
        <v>190.1</v>
      </c>
      <c r="J297">
        <v>156.5</v>
      </c>
      <c r="K297">
        <v>199.2</v>
      </c>
      <c r="L297">
        <v>165.3</v>
      </c>
      <c r="M297">
        <v>122.4</v>
      </c>
      <c r="N297">
        <v>169.6</v>
      </c>
      <c r="O297">
        <v>163.69999999999999</v>
      </c>
      <c r="P297">
        <v>175.5</v>
      </c>
      <c r="Q297" s="2">
        <v>169.7</v>
      </c>
      <c r="R297" s="2">
        <v>192.9</v>
      </c>
      <c r="S297" s="2">
        <v>167.2</v>
      </c>
      <c r="T297" s="2">
        <v>157.4</v>
      </c>
      <c r="U297" s="3">
        <v>165.8</v>
      </c>
      <c r="V297" s="2" t="s">
        <v>143</v>
      </c>
      <c r="W297" s="2">
        <v>163.9</v>
      </c>
      <c r="X297" s="2">
        <v>159.30000000000001</v>
      </c>
      <c r="Y297" s="2">
        <v>169.9</v>
      </c>
      <c r="Z297" s="2">
        <v>154.80000000000001</v>
      </c>
      <c r="AA297" s="2">
        <v>159.80000000000001</v>
      </c>
      <c r="AB297" s="2">
        <v>164.3</v>
      </c>
      <c r="AC297" s="2">
        <v>162.19999999999999</v>
      </c>
      <c r="AD297" s="2">
        <v>161.4</v>
      </c>
      <c r="AE297" s="2">
        <v>166.7</v>
      </c>
    </row>
    <row r="298" spans="1:31" x14ac:dyDescent="0.2">
      <c r="A298" t="s">
        <v>34</v>
      </c>
      <c r="B298">
        <v>2021</v>
      </c>
      <c r="C298" t="s">
        <v>53</v>
      </c>
      <c r="D298" s="1">
        <f>DATE(All_India_Index_Upto_April23__1___1[[#This Row],[Year]],MATCH(All_India_Index_Upto_April23__1___1[[#This Row],[Month]],{"January","February","March","April","May","June","July","August","September","October","November","December"},0),1)</f>
        <v>44531</v>
      </c>
      <c r="E298" s="2">
        <v>148.69999999999999</v>
      </c>
      <c r="F298" s="2">
        <v>198.8</v>
      </c>
      <c r="G298">
        <v>177.9</v>
      </c>
      <c r="H298">
        <v>159.9</v>
      </c>
      <c r="I298">
        <v>187.6</v>
      </c>
      <c r="J298">
        <v>154.9</v>
      </c>
      <c r="K298">
        <v>188.3</v>
      </c>
      <c r="L298">
        <v>164.4</v>
      </c>
      <c r="M298">
        <v>121</v>
      </c>
      <c r="N298">
        <v>170.5</v>
      </c>
      <c r="O298">
        <v>164.2</v>
      </c>
      <c r="P298">
        <v>176.5</v>
      </c>
      <c r="Q298" s="2">
        <v>168.2</v>
      </c>
      <c r="R298" s="2">
        <v>192.4</v>
      </c>
      <c r="S298" s="2">
        <v>168.5</v>
      </c>
      <c r="T298" s="2">
        <v>158.69999999999999</v>
      </c>
      <c r="U298" s="3">
        <v>167</v>
      </c>
      <c r="V298" s="2" t="s">
        <v>144</v>
      </c>
      <c r="W298" s="2">
        <v>164.1</v>
      </c>
      <c r="X298" s="2">
        <v>160.19999999999999</v>
      </c>
      <c r="Y298" s="2">
        <v>170.6</v>
      </c>
      <c r="Z298" s="2">
        <v>155.69999999999999</v>
      </c>
      <c r="AA298" s="2">
        <v>160.6</v>
      </c>
      <c r="AB298" s="2">
        <v>164.4</v>
      </c>
      <c r="AC298" s="2">
        <v>162.6</v>
      </c>
      <c r="AD298" s="2">
        <v>162</v>
      </c>
      <c r="AE298" s="2">
        <v>166.2</v>
      </c>
    </row>
    <row r="299" spans="1:31" x14ac:dyDescent="0.2">
      <c r="A299" t="s">
        <v>30</v>
      </c>
      <c r="B299">
        <v>2021</v>
      </c>
      <c r="C299" t="s">
        <v>31</v>
      </c>
      <c r="D299" s="1">
        <f>DATE(All_India_Index_Upto_April23__1___1[[#This Row],[Year]],MATCH(All_India_Index_Upto_April23__1___1[[#This Row],[Month]],{"January","February","March","April","May","June","July","August","September","October","November","December"},0),1)</f>
        <v>44197</v>
      </c>
      <c r="E299" s="2">
        <v>143.4</v>
      </c>
      <c r="F299" s="2">
        <v>187.5</v>
      </c>
      <c r="G299">
        <v>173.4</v>
      </c>
      <c r="H299">
        <v>154</v>
      </c>
      <c r="I299">
        <v>154.80000000000001</v>
      </c>
      <c r="J299">
        <v>147</v>
      </c>
      <c r="K299">
        <v>187.8</v>
      </c>
      <c r="L299">
        <v>159.5</v>
      </c>
      <c r="M299">
        <v>113.8</v>
      </c>
      <c r="N299">
        <v>164.5</v>
      </c>
      <c r="O299">
        <v>156.1</v>
      </c>
      <c r="P299">
        <v>164.3</v>
      </c>
      <c r="Q299" s="2">
        <v>159.6</v>
      </c>
      <c r="R299" s="2">
        <v>184.6</v>
      </c>
      <c r="S299" s="2">
        <v>157.5</v>
      </c>
      <c r="T299" s="2">
        <v>152.4</v>
      </c>
      <c r="U299" s="3">
        <v>156.80000000000001</v>
      </c>
      <c r="V299" s="2"/>
      <c r="W299">
        <v>150.9</v>
      </c>
      <c r="X299" s="2">
        <v>153.9</v>
      </c>
      <c r="Y299" s="2">
        <v>162.5</v>
      </c>
      <c r="Z299" s="2">
        <v>147.5</v>
      </c>
      <c r="AA299" s="2">
        <v>155.1</v>
      </c>
      <c r="AB299" s="2">
        <v>163.5</v>
      </c>
      <c r="AC299" s="2">
        <v>156.19999999999999</v>
      </c>
      <c r="AD299" s="2">
        <v>155.9</v>
      </c>
      <c r="AE299" s="2">
        <v>158.5</v>
      </c>
    </row>
    <row r="300" spans="1:31" x14ac:dyDescent="0.2">
      <c r="A300" t="s">
        <v>32</v>
      </c>
      <c r="B300">
        <v>2021</v>
      </c>
      <c r="C300" t="s">
        <v>31</v>
      </c>
      <c r="D300" s="1">
        <f>DATE(All_India_Index_Upto_April23__1___1[[#This Row],[Year]],MATCH(All_India_Index_Upto_April23__1___1[[#This Row],[Month]],{"January","February","March","April","May","June","July","August","September","October","November","December"},0),1)</f>
        <v>44197</v>
      </c>
      <c r="E300" s="2">
        <v>148</v>
      </c>
      <c r="F300" s="2">
        <v>194.8</v>
      </c>
      <c r="G300">
        <v>178.4</v>
      </c>
      <c r="H300">
        <v>154.4</v>
      </c>
      <c r="I300">
        <v>144.1</v>
      </c>
      <c r="J300">
        <v>152.6</v>
      </c>
      <c r="K300">
        <v>206.8</v>
      </c>
      <c r="L300">
        <v>162.1</v>
      </c>
      <c r="M300">
        <v>116.3</v>
      </c>
      <c r="N300">
        <v>163</v>
      </c>
      <c r="O300">
        <v>145.9</v>
      </c>
      <c r="P300">
        <v>167.2</v>
      </c>
      <c r="Q300" s="2">
        <v>163.4</v>
      </c>
      <c r="R300" s="2">
        <v>191.8</v>
      </c>
      <c r="S300" s="2">
        <v>152.5</v>
      </c>
      <c r="T300" s="2">
        <v>137.30000000000001</v>
      </c>
      <c r="U300" s="3">
        <v>150.19999999999999</v>
      </c>
      <c r="V300" s="2" t="s">
        <v>134</v>
      </c>
      <c r="W300" s="2">
        <v>142.9</v>
      </c>
      <c r="X300" s="2">
        <v>145.69999999999999</v>
      </c>
      <c r="Y300" s="2">
        <v>154.1</v>
      </c>
      <c r="Z300" s="2">
        <v>136.9</v>
      </c>
      <c r="AA300" s="2">
        <v>145.4</v>
      </c>
      <c r="AB300" s="2">
        <v>156.1</v>
      </c>
      <c r="AC300" s="2">
        <v>157.69999999999999</v>
      </c>
      <c r="AD300" s="2">
        <v>147.6</v>
      </c>
      <c r="AE300" s="2">
        <v>156</v>
      </c>
    </row>
    <row r="301" spans="1:31" x14ac:dyDescent="0.2">
      <c r="A301" t="s">
        <v>30</v>
      </c>
      <c r="B301">
        <v>2021</v>
      </c>
      <c r="C301" t="s">
        <v>35</v>
      </c>
      <c r="D301" s="1">
        <f>DATE(All_India_Index_Upto_April23__1___1[[#This Row],[Year]],MATCH(All_India_Index_Upto_April23__1___1[[#This Row],[Month]],{"January","February","March","April","May","June","July","August","September","October","November","December"},0),1)</f>
        <v>44228</v>
      </c>
      <c r="E301" s="2">
        <v>142.80000000000001</v>
      </c>
      <c r="F301" s="2">
        <v>184</v>
      </c>
      <c r="G301">
        <v>168</v>
      </c>
      <c r="H301">
        <v>154.4</v>
      </c>
      <c r="I301">
        <v>163</v>
      </c>
      <c r="J301">
        <v>147.80000000000001</v>
      </c>
      <c r="K301">
        <v>149.69999999999999</v>
      </c>
      <c r="L301">
        <v>158.30000000000001</v>
      </c>
      <c r="M301">
        <v>111.8</v>
      </c>
      <c r="N301">
        <v>165</v>
      </c>
      <c r="O301">
        <v>160</v>
      </c>
      <c r="P301">
        <v>165.8</v>
      </c>
      <c r="Q301" s="2">
        <v>154.69999999999999</v>
      </c>
      <c r="R301" s="2">
        <v>186.5</v>
      </c>
      <c r="S301" s="2">
        <v>159.1</v>
      </c>
      <c r="T301" s="2">
        <v>153.9</v>
      </c>
      <c r="U301" s="3">
        <v>158.4</v>
      </c>
      <c r="V301" s="2"/>
      <c r="W301">
        <v>154.4</v>
      </c>
      <c r="X301" s="2">
        <v>154.80000000000001</v>
      </c>
      <c r="Y301" s="2">
        <v>164.3</v>
      </c>
      <c r="Z301" s="2">
        <v>150.19999999999999</v>
      </c>
      <c r="AA301" s="2">
        <v>157</v>
      </c>
      <c r="AB301" s="2">
        <v>163.6</v>
      </c>
      <c r="AC301" s="2">
        <v>155.19999999999999</v>
      </c>
      <c r="AD301" s="2">
        <v>157.19999999999999</v>
      </c>
      <c r="AE301" s="2">
        <v>156.69999999999999</v>
      </c>
    </row>
    <row r="302" spans="1:31" x14ac:dyDescent="0.2">
      <c r="A302" t="s">
        <v>32</v>
      </c>
      <c r="B302">
        <v>2021</v>
      </c>
      <c r="C302" t="s">
        <v>35</v>
      </c>
      <c r="D302" s="1">
        <f>DATE(All_India_Index_Upto_April23__1___1[[#This Row],[Year]],MATCH(All_India_Index_Upto_April23__1___1[[#This Row],[Month]],{"January","February","March","April","May","June","July","August","September","October","November","December"},0),1)</f>
        <v>44228</v>
      </c>
      <c r="E302" s="2">
        <v>147.6</v>
      </c>
      <c r="F302" s="2">
        <v>191.2</v>
      </c>
      <c r="G302">
        <v>169.9</v>
      </c>
      <c r="H302">
        <v>155.1</v>
      </c>
      <c r="I302">
        <v>151.4</v>
      </c>
      <c r="J302">
        <v>154</v>
      </c>
      <c r="K302">
        <v>180.2</v>
      </c>
      <c r="L302">
        <v>159.80000000000001</v>
      </c>
      <c r="M302">
        <v>114.9</v>
      </c>
      <c r="N302">
        <v>162.5</v>
      </c>
      <c r="O302">
        <v>149.19999999999999</v>
      </c>
      <c r="P302">
        <v>169.4</v>
      </c>
      <c r="Q302" s="2">
        <v>160.80000000000001</v>
      </c>
      <c r="R302" s="2">
        <v>193.3</v>
      </c>
      <c r="S302" s="2">
        <v>154.19999999999999</v>
      </c>
      <c r="T302" s="2">
        <v>138.19999999999999</v>
      </c>
      <c r="U302" s="3">
        <v>151.80000000000001</v>
      </c>
      <c r="V302" s="2" t="s">
        <v>135</v>
      </c>
      <c r="W302" s="2">
        <v>149.1</v>
      </c>
      <c r="X302" s="2">
        <v>146.5</v>
      </c>
      <c r="Y302" s="2">
        <v>156.30000000000001</v>
      </c>
      <c r="Z302" s="2">
        <v>140.5</v>
      </c>
      <c r="AA302" s="2">
        <v>147.30000000000001</v>
      </c>
      <c r="AB302" s="2">
        <v>156.6</v>
      </c>
      <c r="AC302" s="2">
        <v>156.69999999999999</v>
      </c>
      <c r="AD302" s="2">
        <v>149.30000000000001</v>
      </c>
      <c r="AE302" s="2">
        <v>156.5</v>
      </c>
    </row>
    <row r="303" spans="1:31" x14ac:dyDescent="0.2">
      <c r="A303" t="s">
        <v>30</v>
      </c>
      <c r="B303">
        <v>2021</v>
      </c>
      <c r="C303" t="s">
        <v>37</v>
      </c>
      <c r="D303" s="1">
        <f>DATE(All_India_Index_Upto_April23__1___1[[#This Row],[Year]],MATCH(All_India_Index_Upto_April23__1___1[[#This Row],[Month]],{"January","February","March","April","May","June","July","August","September","October","November","December"},0),1)</f>
        <v>44256</v>
      </c>
      <c r="E303" s="2">
        <v>142.5</v>
      </c>
      <c r="F303" s="2">
        <v>189.4</v>
      </c>
      <c r="G303">
        <v>163.19999999999999</v>
      </c>
      <c r="H303">
        <v>154.5</v>
      </c>
      <c r="I303">
        <v>168.2</v>
      </c>
      <c r="J303">
        <v>150.5</v>
      </c>
      <c r="K303">
        <v>141</v>
      </c>
      <c r="L303">
        <v>159.19999999999999</v>
      </c>
      <c r="M303">
        <v>111.7</v>
      </c>
      <c r="N303">
        <v>164</v>
      </c>
      <c r="O303">
        <v>160.6</v>
      </c>
      <c r="P303">
        <v>166.4</v>
      </c>
      <c r="Q303" s="2">
        <v>154.5</v>
      </c>
      <c r="R303" s="2">
        <v>186.1</v>
      </c>
      <c r="S303" s="2">
        <v>159.6</v>
      </c>
      <c r="T303" s="2">
        <v>154.4</v>
      </c>
      <c r="U303" s="3">
        <v>158.9</v>
      </c>
      <c r="V303" s="2"/>
      <c r="W303">
        <v>156</v>
      </c>
      <c r="X303" s="2">
        <v>154.80000000000001</v>
      </c>
      <c r="Y303" s="2">
        <v>164.6</v>
      </c>
      <c r="Z303" s="2">
        <v>151.30000000000001</v>
      </c>
      <c r="AA303" s="2">
        <v>157.80000000000001</v>
      </c>
      <c r="AB303" s="2">
        <v>163.80000000000001</v>
      </c>
      <c r="AC303" s="2">
        <v>153.1</v>
      </c>
      <c r="AD303" s="2">
        <v>157.30000000000001</v>
      </c>
      <c r="AE303" s="2">
        <v>156.69999999999999</v>
      </c>
    </row>
    <row r="304" spans="1:31" x14ac:dyDescent="0.2">
      <c r="A304" t="s">
        <v>32</v>
      </c>
      <c r="B304">
        <v>2021</v>
      </c>
      <c r="C304" t="s">
        <v>37</v>
      </c>
      <c r="D304" s="1">
        <f>DATE(All_India_Index_Upto_April23__1___1[[#This Row],[Year]],MATCH(All_India_Index_Upto_April23__1___1[[#This Row],[Month]],{"January","February","March","April","May","June","July","August","September","October","November","December"},0),1)</f>
        <v>44256</v>
      </c>
      <c r="E304" s="2">
        <v>147.5</v>
      </c>
      <c r="F304" s="2">
        <v>197.5</v>
      </c>
      <c r="G304">
        <v>164.7</v>
      </c>
      <c r="H304">
        <v>155.6</v>
      </c>
      <c r="I304">
        <v>156.4</v>
      </c>
      <c r="J304">
        <v>157.30000000000001</v>
      </c>
      <c r="K304">
        <v>166.1</v>
      </c>
      <c r="L304">
        <v>161.1</v>
      </c>
      <c r="M304">
        <v>114.3</v>
      </c>
      <c r="N304">
        <v>162.6</v>
      </c>
      <c r="O304">
        <v>150.69999999999999</v>
      </c>
      <c r="P304">
        <v>170.3</v>
      </c>
      <c r="Q304" s="2">
        <v>160.4</v>
      </c>
      <c r="R304" s="2">
        <v>193.5</v>
      </c>
      <c r="S304" s="2">
        <v>155.1</v>
      </c>
      <c r="T304" s="2">
        <v>138.69999999999999</v>
      </c>
      <c r="U304" s="3">
        <v>152.6</v>
      </c>
      <c r="V304" s="2" t="s">
        <v>136</v>
      </c>
      <c r="W304" s="2">
        <v>154.80000000000001</v>
      </c>
      <c r="X304" s="2">
        <v>147.19999999999999</v>
      </c>
      <c r="Y304" s="2">
        <v>156.9</v>
      </c>
      <c r="Z304" s="2">
        <v>141.69999999999999</v>
      </c>
      <c r="AA304" s="2">
        <v>148.6</v>
      </c>
      <c r="AB304" s="2">
        <v>157.6</v>
      </c>
      <c r="AC304" s="2">
        <v>154.9</v>
      </c>
      <c r="AD304" s="2">
        <v>150</v>
      </c>
      <c r="AE304" s="2">
        <v>156.9</v>
      </c>
    </row>
    <row r="305" spans="1:31" x14ac:dyDescent="0.2">
      <c r="A305" t="s">
        <v>30</v>
      </c>
      <c r="B305">
        <v>2021</v>
      </c>
      <c r="C305" t="s">
        <v>38</v>
      </c>
      <c r="D305" s="1">
        <f>DATE(All_India_Index_Upto_April23__1___1[[#This Row],[Year]],MATCH(All_India_Index_Upto_April23__1___1[[#This Row],[Month]],{"January","February","March","April","May","June","July","August","September","October","November","December"},0),1)</f>
        <v>44287</v>
      </c>
      <c r="E305" s="2">
        <v>142.69999999999999</v>
      </c>
      <c r="F305" s="2">
        <v>195.5</v>
      </c>
      <c r="G305">
        <v>163.4</v>
      </c>
      <c r="H305">
        <v>155</v>
      </c>
      <c r="I305">
        <v>175.2</v>
      </c>
      <c r="J305">
        <v>160.6</v>
      </c>
      <c r="K305">
        <v>135.1</v>
      </c>
      <c r="L305">
        <v>161.1</v>
      </c>
      <c r="M305">
        <v>112.2</v>
      </c>
      <c r="N305">
        <v>164.4</v>
      </c>
      <c r="O305">
        <v>161.9</v>
      </c>
      <c r="P305">
        <v>166.8</v>
      </c>
      <c r="Q305" s="2">
        <v>155.6</v>
      </c>
      <c r="R305" s="2">
        <v>186.8</v>
      </c>
      <c r="S305" s="2">
        <v>160.69999999999999</v>
      </c>
      <c r="T305" s="2">
        <v>155.1</v>
      </c>
      <c r="U305" s="3">
        <v>159.9</v>
      </c>
      <c r="V305" s="2"/>
      <c r="W305">
        <v>156</v>
      </c>
      <c r="X305" s="2">
        <v>155.5</v>
      </c>
      <c r="Y305" s="2">
        <v>165.3</v>
      </c>
      <c r="Z305" s="2">
        <v>151.69999999999999</v>
      </c>
      <c r="AA305" s="2">
        <v>158.6</v>
      </c>
      <c r="AB305" s="2">
        <v>164.1</v>
      </c>
      <c r="AC305" s="2">
        <v>154.6</v>
      </c>
      <c r="AD305" s="2">
        <v>158</v>
      </c>
      <c r="AE305" s="2">
        <v>157.6</v>
      </c>
    </row>
    <row r="306" spans="1:31" x14ac:dyDescent="0.2">
      <c r="A306" t="s">
        <v>32</v>
      </c>
      <c r="B306">
        <v>2021</v>
      </c>
      <c r="C306" t="s">
        <v>38</v>
      </c>
      <c r="D306" s="1">
        <f>DATE(All_India_Index_Upto_April23__1___1[[#This Row],[Year]],MATCH(All_India_Index_Upto_April23__1___1[[#This Row],[Month]],{"January","February","March","April","May","June","July","August","September","October","November","December"},0),1)</f>
        <v>44287</v>
      </c>
      <c r="E306" s="2">
        <v>147.6</v>
      </c>
      <c r="F306" s="2">
        <v>202.5</v>
      </c>
      <c r="G306">
        <v>166.4</v>
      </c>
      <c r="H306">
        <v>156</v>
      </c>
      <c r="I306">
        <v>161.4</v>
      </c>
      <c r="J306">
        <v>168.8</v>
      </c>
      <c r="K306">
        <v>161.6</v>
      </c>
      <c r="L306">
        <v>162.80000000000001</v>
      </c>
      <c r="M306">
        <v>114.8</v>
      </c>
      <c r="N306">
        <v>162.80000000000001</v>
      </c>
      <c r="O306">
        <v>151.5</v>
      </c>
      <c r="P306">
        <v>171.4</v>
      </c>
      <c r="Q306" s="2">
        <v>162</v>
      </c>
      <c r="R306" s="2">
        <v>194.4</v>
      </c>
      <c r="S306" s="2">
        <v>155.9</v>
      </c>
      <c r="T306" s="2">
        <v>139.30000000000001</v>
      </c>
      <c r="U306" s="3">
        <v>153.4</v>
      </c>
      <c r="V306" s="2" t="s">
        <v>137</v>
      </c>
      <c r="W306" s="2">
        <v>154.9</v>
      </c>
      <c r="X306" s="2">
        <v>147.6</v>
      </c>
      <c r="Y306" s="2">
        <v>157.5</v>
      </c>
      <c r="Z306" s="2">
        <v>142.1</v>
      </c>
      <c r="AA306" s="2">
        <v>149.1</v>
      </c>
      <c r="AB306" s="2">
        <v>157.6</v>
      </c>
      <c r="AC306" s="2">
        <v>156.6</v>
      </c>
      <c r="AD306" s="2">
        <v>150.5</v>
      </c>
      <c r="AE306" s="2">
        <v>158</v>
      </c>
    </row>
    <row r="307" spans="1:31" x14ac:dyDescent="0.2">
      <c r="A307" t="s">
        <v>30</v>
      </c>
      <c r="B307">
        <v>2021</v>
      </c>
      <c r="C307" t="s">
        <v>40</v>
      </c>
      <c r="D307" s="1">
        <f>DATE(All_India_Index_Upto_April23__1___1[[#This Row],[Year]],MATCH(All_India_Index_Upto_April23__1___1[[#This Row],[Month]],{"January","February","March","April","May","June","July","August","September","October","November","December"},0),1)</f>
        <v>44317</v>
      </c>
      <c r="E307" s="2">
        <v>145.1</v>
      </c>
      <c r="F307" s="2">
        <v>198.5</v>
      </c>
      <c r="G307">
        <v>168.6</v>
      </c>
      <c r="H307">
        <v>155.80000000000001</v>
      </c>
      <c r="I307">
        <v>184.4</v>
      </c>
      <c r="J307">
        <v>162.30000000000001</v>
      </c>
      <c r="K307">
        <v>138.4</v>
      </c>
      <c r="L307">
        <v>165.1</v>
      </c>
      <c r="M307">
        <v>114.3</v>
      </c>
      <c r="N307">
        <v>169.7</v>
      </c>
      <c r="O307">
        <v>164.6</v>
      </c>
      <c r="P307">
        <v>169.8</v>
      </c>
      <c r="Q307" s="2">
        <v>158.69999999999999</v>
      </c>
      <c r="R307" s="2">
        <v>189.6</v>
      </c>
      <c r="S307" s="2">
        <v>165.3</v>
      </c>
      <c r="T307" s="2">
        <v>160.6</v>
      </c>
      <c r="U307" s="3">
        <v>164.5</v>
      </c>
      <c r="V307" s="2"/>
      <c r="W307">
        <v>161.69999999999999</v>
      </c>
      <c r="X307" s="2">
        <v>158.80000000000001</v>
      </c>
      <c r="Y307" s="2">
        <v>169.1</v>
      </c>
      <c r="Z307" s="2">
        <v>153.19999999999999</v>
      </c>
      <c r="AA307" s="2">
        <v>160</v>
      </c>
      <c r="AB307" s="2">
        <v>167.6</v>
      </c>
      <c r="AC307" s="2">
        <v>159.30000000000001</v>
      </c>
      <c r="AD307" s="2">
        <v>161.1</v>
      </c>
      <c r="AE307" s="2">
        <v>161.1</v>
      </c>
    </row>
    <row r="308" spans="1:31" x14ac:dyDescent="0.2">
      <c r="A308" t="s">
        <v>32</v>
      </c>
      <c r="B308">
        <v>2021</v>
      </c>
      <c r="C308" t="s">
        <v>40</v>
      </c>
      <c r="D308" s="1">
        <f>DATE(All_India_Index_Upto_April23__1___1[[#This Row],[Year]],MATCH(All_India_Index_Upto_April23__1___1[[#This Row],[Month]],{"January","February","March","April","May","June","July","August","September","October","November","December"},0),1)</f>
        <v>44317</v>
      </c>
      <c r="E308" s="2">
        <v>148.80000000000001</v>
      </c>
      <c r="F308" s="2">
        <v>204.3</v>
      </c>
      <c r="G308">
        <v>173</v>
      </c>
      <c r="H308">
        <v>156.5</v>
      </c>
      <c r="I308">
        <v>168.8</v>
      </c>
      <c r="J308">
        <v>172.5</v>
      </c>
      <c r="K308">
        <v>166.5</v>
      </c>
      <c r="L308">
        <v>165.9</v>
      </c>
      <c r="M308">
        <v>115.9</v>
      </c>
      <c r="N308">
        <v>165.2</v>
      </c>
      <c r="O308">
        <v>152</v>
      </c>
      <c r="P308">
        <v>171.1</v>
      </c>
      <c r="Q308" s="2">
        <v>164.2</v>
      </c>
      <c r="R308" s="2">
        <v>198.2</v>
      </c>
      <c r="S308" s="2">
        <v>156.5</v>
      </c>
      <c r="T308" s="2">
        <v>140.19999999999999</v>
      </c>
      <c r="U308" s="3">
        <v>154.1</v>
      </c>
      <c r="V308" s="2" t="s">
        <v>138</v>
      </c>
      <c r="W308" s="2">
        <v>155.5</v>
      </c>
      <c r="X308" s="2">
        <v>150.1</v>
      </c>
      <c r="Y308" s="2">
        <v>160.4</v>
      </c>
      <c r="Z308" s="2">
        <v>145</v>
      </c>
      <c r="AA308" s="2">
        <v>152.6</v>
      </c>
      <c r="AB308" s="2">
        <v>156.6</v>
      </c>
      <c r="AC308" s="2">
        <v>157.5</v>
      </c>
      <c r="AD308" s="2">
        <v>152.30000000000001</v>
      </c>
      <c r="AE308" s="2">
        <v>159.5</v>
      </c>
    </row>
    <row r="309" spans="1:31" x14ac:dyDescent="0.2">
      <c r="A309" t="s">
        <v>30</v>
      </c>
      <c r="B309">
        <v>2021</v>
      </c>
      <c r="C309" t="s">
        <v>41</v>
      </c>
      <c r="D309" s="1">
        <f>DATE(All_India_Index_Upto_April23__1___1[[#This Row],[Year]],MATCH(All_India_Index_Upto_April23__1___1[[#This Row],[Month]],{"January","February","March","April","May","June","July","August","September","October","November","December"},0),1)</f>
        <v>44348</v>
      </c>
      <c r="E309" s="2">
        <v>145.6</v>
      </c>
      <c r="F309" s="2">
        <v>200.1</v>
      </c>
      <c r="G309">
        <v>179.3</v>
      </c>
      <c r="H309">
        <v>156.1</v>
      </c>
      <c r="I309">
        <v>190.4</v>
      </c>
      <c r="J309">
        <v>158.6</v>
      </c>
      <c r="K309">
        <v>144.69999999999999</v>
      </c>
      <c r="L309">
        <v>165.5</v>
      </c>
      <c r="M309">
        <v>114.6</v>
      </c>
      <c r="N309">
        <v>170</v>
      </c>
      <c r="O309">
        <v>165.5</v>
      </c>
      <c r="P309">
        <v>171.7</v>
      </c>
      <c r="Q309" s="2">
        <v>160.5</v>
      </c>
      <c r="R309" s="2">
        <v>189.1</v>
      </c>
      <c r="S309" s="2">
        <v>165.3</v>
      </c>
      <c r="T309" s="2">
        <v>159.9</v>
      </c>
      <c r="U309" s="3">
        <v>164.6</v>
      </c>
      <c r="V309" s="2"/>
      <c r="W309">
        <v>162.1</v>
      </c>
      <c r="X309" s="2">
        <v>159.19999999999999</v>
      </c>
      <c r="Y309" s="2">
        <v>169.7</v>
      </c>
      <c r="Z309" s="2">
        <v>154.19999999999999</v>
      </c>
      <c r="AA309" s="2">
        <v>160.4</v>
      </c>
      <c r="AB309" s="2">
        <v>166.8</v>
      </c>
      <c r="AC309" s="2">
        <v>159.4</v>
      </c>
      <c r="AD309" s="2">
        <v>161.5</v>
      </c>
      <c r="AE309" s="2">
        <v>162.1</v>
      </c>
    </row>
    <row r="310" spans="1:31" x14ac:dyDescent="0.2">
      <c r="A310" t="s">
        <v>32</v>
      </c>
      <c r="B310">
        <v>2021</v>
      </c>
      <c r="C310" t="s">
        <v>41</v>
      </c>
      <c r="D310" s="1">
        <f>DATE(All_India_Index_Upto_April23__1___1[[#This Row],[Year]],MATCH(All_India_Index_Upto_April23__1___1[[#This Row],[Month]],{"January","February","March","April","May","June","July","August","September","October","November","December"},0),1)</f>
        <v>44348</v>
      </c>
      <c r="E310" s="2">
        <v>149.19999999999999</v>
      </c>
      <c r="F310" s="2">
        <v>205.5</v>
      </c>
      <c r="G310">
        <v>182.8</v>
      </c>
      <c r="H310">
        <v>156.5</v>
      </c>
      <c r="I310">
        <v>172.2</v>
      </c>
      <c r="J310">
        <v>171.5</v>
      </c>
      <c r="K310">
        <v>176.2</v>
      </c>
      <c r="L310">
        <v>166.9</v>
      </c>
      <c r="M310">
        <v>116.1</v>
      </c>
      <c r="N310">
        <v>165.5</v>
      </c>
      <c r="O310">
        <v>152.30000000000001</v>
      </c>
      <c r="P310">
        <v>173.3</v>
      </c>
      <c r="Q310" s="2">
        <v>166.2</v>
      </c>
      <c r="R310" s="2">
        <v>195.6</v>
      </c>
      <c r="S310" s="2">
        <v>157.30000000000001</v>
      </c>
      <c r="T310" s="2">
        <v>140.5</v>
      </c>
      <c r="U310" s="3">
        <v>154.80000000000001</v>
      </c>
      <c r="V310" s="2" t="s">
        <v>139</v>
      </c>
      <c r="W310" s="2">
        <v>156.1</v>
      </c>
      <c r="X310" s="2">
        <v>149.80000000000001</v>
      </c>
      <c r="Y310" s="2">
        <v>160.80000000000001</v>
      </c>
      <c r="Z310" s="2">
        <v>147.5</v>
      </c>
      <c r="AA310" s="2">
        <v>150.69999999999999</v>
      </c>
      <c r="AB310" s="2">
        <v>158.1</v>
      </c>
      <c r="AC310" s="2">
        <v>158</v>
      </c>
      <c r="AD310" s="2">
        <v>153.4</v>
      </c>
      <c r="AE310" s="2">
        <v>160.4</v>
      </c>
    </row>
    <row r="311" spans="1:31" x14ac:dyDescent="0.2">
      <c r="A311" t="s">
        <v>30</v>
      </c>
      <c r="B311">
        <v>2021</v>
      </c>
      <c r="C311" t="s">
        <v>43</v>
      </c>
      <c r="D311" s="1">
        <f>DATE(All_India_Index_Upto_April23__1___1[[#This Row],[Year]],MATCH(All_India_Index_Upto_April23__1___1[[#This Row],[Month]],{"January","February","March","April","May","June","July","August","September","October","November","December"},0),1)</f>
        <v>44378</v>
      </c>
      <c r="E311" s="2">
        <v>145.1</v>
      </c>
      <c r="F311" s="2">
        <v>204.5</v>
      </c>
      <c r="G311">
        <v>180.4</v>
      </c>
      <c r="H311">
        <v>157.1</v>
      </c>
      <c r="I311">
        <v>188.7</v>
      </c>
      <c r="J311">
        <v>157.69999999999999</v>
      </c>
      <c r="K311">
        <v>152.80000000000001</v>
      </c>
      <c r="L311">
        <v>163.6</v>
      </c>
      <c r="M311">
        <v>113.9</v>
      </c>
      <c r="N311">
        <v>169.7</v>
      </c>
      <c r="O311">
        <v>166.2</v>
      </c>
      <c r="P311">
        <v>171</v>
      </c>
      <c r="Q311" s="2">
        <v>161.69999999999999</v>
      </c>
      <c r="R311" s="2">
        <v>189.7</v>
      </c>
      <c r="S311" s="2">
        <v>166</v>
      </c>
      <c r="T311" s="2">
        <v>161.1</v>
      </c>
      <c r="U311" s="3">
        <v>165.3</v>
      </c>
      <c r="V311" s="2"/>
      <c r="W311">
        <v>162.5</v>
      </c>
      <c r="X311" s="2">
        <v>160.30000000000001</v>
      </c>
      <c r="Y311" s="2">
        <v>170.4</v>
      </c>
      <c r="Z311" s="2">
        <v>157.1</v>
      </c>
      <c r="AA311" s="2">
        <v>160.69999999999999</v>
      </c>
      <c r="AB311" s="2">
        <v>167.2</v>
      </c>
      <c r="AC311" s="2">
        <v>160.4</v>
      </c>
      <c r="AD311" s="2">
        <v>162.80000000000001</v>
      </c>
      <c r="AE311" s="2">
        <v>163.19999999999999</v>
      </c>
    </row>
    <row r="312" spans="1:31" x14ac:dyDescent="0.2">
      <c r="A312" t="s">
        <v>32</v>
      </c>
      <c r="B312">
        <v>2021</v>
      </c>
      <c r="C312" t="s">
        <v>43</v>
      </c>
      <c r="D312" s="1">
        <f>DATE(All_India_Index_Upto_April23__1___1[[#This Row],[Year]],MATCH(All_India_Index_Upto_April23__1___1[[#This Row],[Month]],{"January","February","March","April","May","June","July","August","September","October","November","December"},0),1)</f>
        <v>44378</v>
      </c>
      <c r="E312" s="2">
        <v>149.1</v>
      </c>
      <c r="F312" s="2">
        <v>210.9</v>
      </c>
      <c r="G312">
        <v>185</v>
      </c>
      <c r="H312">
        <v>158.19999999999999</v>
      </c>
      <c r="I312">
        <v>170.6</v>
      </c>
      <c r="J312">
        <v>170.9</v>
      </c>
      <c r="K312">
        <v>186.4</v>
      </c>
      <c r="L312">
        <v>164.7</v>
      </c>
      <c r="M312">
        <v>115.7</v>
      </c>
      <c r="N312">
        <v>165.5</v>
      </c>
      <c r="O312">
        <v>153.4</v>
      </c>
      <c r="P312">
        <v>173.5</v>
      </c>
      <c r="Q312" s="2">
        <v>167.9</v>
      </c>
      <c r="R312" s="2">
        <v>195.5</v>
      </c>
      <c r="S312" s="2">
        <v>157.9</v>
      </c>
      <c r="T312" s="2">
        <v>141.9</v>
      </c>
      <c r="U312" s="3">
        <v>155.5</v>
      </c>
      <c r="V312" s="2" t="s">
        <v>140</v>
      </c>
      <c r="W312" s="2">
        <v>157.69999999999999</v>
      </c>
      <c r="X312" s="2">
        <v>150.69999999999999</v>
      </c>
      <c r="Y312" s="2">
        <v>161.5</v>
      </c>
      <c r="Z312" s="2">
        <v>149.5</v>
      </c>
      <c r="AA312" s="2">
        <v>151.19999999999999</v>
      </c>
      <c r="AB312" s="2">
        <v>160.30000000000001</v>
      </c>
      <c r="AC312" s="2">
        <v>159.6</v>
      </c>
      <c r="AD312" s="2">
        <v>155</v>
      </c>
      <c r="AE312" s="2">
        <v>161.80000000000001</v>
      </c>
    </row>
    <row r="313" spans="1:31" x14ac:dyDescent="0.2">
      <c r="A313" t="s">
        <v>30</v>
      </c>
      <c r="B313">
        <v>2021</v>
      </c>
      <c r="C313" t="s">
        <v>45</v>
      </c>
      <c r="D313" s="1">
        <f>DATE(All_India_Index_Upto_April23__1___1[[#This Row],[Year]],MATCH(All_India_Index_Upto_April23__1___1[[#This Row],[Month]],{"January","February","March","April","May","June","July","August","September","October","November","December"},0),1)</f>
        <v>44409</v>
      </c>
      <c r="E313" s="2">
        <v>144.9</v>
      </c>
      <c r="F313" s="2">
        <v>202.3</v>
      </c>
      <c r="G313">
        <v>176.5</v>
      </c>
      <c r="H313">
        <v>157.5</v>
      </c>
      <c r="I313">
        <v>190.9</v>
      </c>
      <c r="J313">
        <v>155.69999999999999</v>
      </c>
      <c r="K313">
        <v>153.9</v>
      </c>
      <c r="L313">
        <v>162.80000000000001</v>
      </c>
      <c r="M313">
        <v>115.2</v>
      </c>
      <c r="N313">
        <v>169.8</v>
      </c>
      <c r="O313">
        <v>167.6</v>
      </c>
      <c r="P313">
        <v>171.9</v>
      </c>
      <c r="Q313" s="2">
        <v>161.80000000000001</v>
      </c>
      <c r="R313" s="2">
        <v>190.2</v>
      </c>
      <c r="S313" s="2">
        <v>167</v>
      </c>
      <c r="T313" s="2">
        <v>162.6</v>
      </c>
      <c r="U313" s="3">
        <v>166.3</v>
      </c>
      <c r="V313" s="2"/>
      <c r="W313">
        <v>163.1</v>
      </c>
      <c r="X313" s="2">
        <v>160.9</v>
      </c>
      <c r="Y313" s="2">
        <v>171.1</v>
      </c>
      <c r="Z313" s="2">
        <v>157.69999999999999</v>
      </c>
      <c r="AA313" s="2">
        <v>161.1</v>
      </c>
      <c r="AB313" s="2">
        <v>167.5</v>
      </c>
      <c r="AC313" s="2">
        <v>160.30000000000001</v>
      </c>
      <c r="AD313" s="2">
        <v>163.30000000000001</v>
      </c>
      <c r="AE313" s="2">
        <v>163.6</v>
      </c>
    </row>
    <row r="314" spans="1:31" x14ac:dyDescent="0.2">
      <c r="A314" t="s">
        <v>32</v>
      </c>
      <c r="B314">
        <v>2021</v>
      </c>
      <c r="C314" t="s">
        <v>45</v>
      </c>
      <c r="D314" s="1">
        <f>DATE(All_India_Index_Upto_April23__1___1[[#This Row],[Year]],MATCH(All_India_Index_Upto_April23__1___1[[#This Row],[Month]],{"January","February","March","April","May","June","July","August","September","October","November","December"},0),1)</f>
        <v>44409</v>
      </c>
      <c r="E314" s="2">
        <v>149.30000000000001</v>
      </c>
      <c r="F314" s="2">
        <v>207.4</v>
      </c>
      <c r="G314">
        <v>174.1</v>
      </c>
      <c r="H314">
        <v>159.19999999999999</v>
      </c>
      <c r="I314">
        <v>175</v>
      </c>
      <c r="J314">
        <v>161.30000000000001</v>
      </c>
      <c r="K314">
        <v>183.3</v>
      </c>
      <c r="L314">
        <v>164.5</v>
      </c>
      <c r="M314">
        <v>120.4</v>
      </c>
      <c r="N314">
        <v>166.2</v>
      </c>
      <c r="O314">
        <v>154.80000000000001</v>
      </c>
      <c r="P314">
        <v>175.1</v>
      </c>
      <c r="Q314" s="2">
        <v>167.3</v>
      </c>
      <c r="R314" s="2">
        <v>196.5</v>
      </c>
      <c r="S314" s="2">
        <v>159.80000000000001</v>
      </c>
      <c r="T314" s="2">
        <v>143.6</v>
      </c>
      <c r="U314" s="3">
        <v>157.30000000000001</v>
      </c>
      <c r="V314" s="2" t="s">
        <v>141</v>
      </c>
      <c r="W314" s="2">
        <v>160.69999999999999</v>
      </c>
      <c r="X314" s="2">
        <v>153.19999999999999</v>
      </c>
      <c r="Y314" s="2">
        <v>162.80000000000001</v>
      </c>
      <c r="Z314" s="2">
        <v>150.4</v>
      </c>
      <c r="AA314" s="2">
        <v>153.69999999999999</v>
      </c>
      <c r="AB314" s="2">
        <v>160.4</v>
      </c>
      <c r="AC314" s="2">
        <v>159.6</v>
      </c>
      <c r="AD314" s="2">
        <v>156</v>
      </c>
      <c r="AE314" s="2">
        <v>162.30000000000001</v>
      </c>
    </row>
    <row r="315" spans="1:31" x14ac:dyDescent="0.2">
      <c r="A315" t="s">
        <v>30</v>
      </c>
      <c r="B315">
        <v>2021</v>
      </c>
      <c r="C315" t="s">
        <v>47</v>
      </c>
      <c r="D315" s="1">
        <f>DATE(All_India_Index_Upto_April23__1___1[[#This Row],[Year]],MATCH(All_India_Index_Upto_April23__1___1[[#This Row],[Month]],{"January","February","March","April","May","June","July","August","September","October","November","December"},0),1)</f>
        <v>44440</v>
      </c>
      <c r="E315" s="2">
        <v>145.4</v>
      </c>
      <c r="F315" s="2">
        <v>202.1</v>
      </c>
      <c r="G315">
        <v>172</v>
      </c>
      <c r="H315">
        <v>158</v>
      </c>
      <c r="I315">
        <v>195.5</v>
      </c>
      <c r="J315">
        <v>152.69999999999999</v>
      </c>
      <c r="K315">
        <v>151.4</v>
      </c>
      <c r="L315">
        <v>163.9</v>
      </c>
      <c r="M315">
        <v>119.3</v>
      </c>
      <c r="N315">
        <v>170.1</v>
      </c>
      <c r="O315">
        <v>168.3</v>
      </c>
      <c r="P315">
        <v>172.8</v>
      </c>
      <c r="Q315" s="2">
        <v>162.1</v>
      </c>
      <c r="R315" s="2">
        <v>190.5</v>
      </c>
      <c r="S315" s="2">
        <v>167.7</v>
      </c>
      <c r="T315" s="2">
        <v>163.6</v>
      </c>
      <c r="U315" s="3">
        <v>167.1</v>
      </c>
      <c r="V315" s="2"/>
      <c r="W315">
        <v>163.69999999999999</v>
      </c>
      <c r="X315" s="2">
        <v>161.30000000000001</v>
      </c>
      <c r="Y315" s="2">
        <v>171.9</v>
      </c>
      <c r="Z315" s="2">
        <v>157.80000000000001</v>
      </c>
      <c r="AA315" s="2">
        <v>162.69999999999999</v>
      </c>
      <c r="AB315" s="2">
        <v>168.5</v>
      </c>
      <c r="AC315" s="2">
        <v>160.19999999999999</v>
      </c>
      <c r="AD315" s="2">
        <v>163.80000000000001</v>
      </c>
      <c r="AE315" s="2">
        <v>164</v>
      </c>
    </row>
    <row r="316" spans="1:31" x14ac:dyDescent="0.2">
      <c r="A316" t="s">
        <v>32</v>
      </c>
      <c r="B316">
        <v>2021</v>
      </c>
      <c r="C316" t="s">
        <v>47</v>
      </c>
      <c r="D316" s="1">
        <f>DATE(All_India_Index_Upto_April23__1___1[[#This Row],[Year]],MATCH(All_India_Index_Upto_April23__1___1[[#This Row],[Month]],{"January","February","March","April","May","June","July","August","September","October","November","December"},0),1)</f>
        <v>44440</v>
      </c>
      <c r="E316" s="2">
        <v>149.30000000000001</v>
      </c>
      <c r="F316" s="2">
        <v>207.4</v>
      </c>
      <c r="G316">
        <v>174.1</v>
      </c>
      <c r="H316">
        <v>159.1</v>
      </c>
      <c r="I316">
        <v>175</v>
      </c>
      <c r="J316">
        <v>161.19999999999999</v>
      </c>
      <c r="K316">
        <v>183.5</v>
      </c>
      <c r="L316">
        <v>164.5</v>
      </c>
      <c r="M316">
        <v>120.4</v>
      </c>
      <c r="N316">
        <v>166.2</v>
      </c>
      <c r="O316">
        <v>154.80000000000001</v>
      </c>
      <c r="P316">
        <v>175.1</v>
      </c>
      <c r="Q316" s="2">
        <v>167.3</v>
      </c>
      <c r="R316" s="2">
        <v>196.5</v>
      </c>
      <c r="S316" s="2">
        <v>159.80000000000001</v>
      </c>
      <c r="T316" s="2">
        <v>143.6</v>
      </c>
      <c r="U316" s="3">
        <v>157.4</v>
      </c>
      <c r="V316" s="2" t="s">
        <v>141</v>
      </c>
      <c r="W316" s="2">
        <v>160.80000000000001</v>
      </c>
      <c r="X316" s="2">
        <v>153.30000000000001</v>
      </c>
      <c r="Y316" s="2">
        <v>162.80000000000001</v>
      </c>
      <c r="Z316" s="2">
        <v>150.5</v>
      </c>
      <c r="AA316" s="2">
        <v>153.9</v>
      </c>
      <c r="AB316" s="2">
        <v>160.30000000000001</v>
      </c>
      <c r="AC316" s="2">
        <v>159.6</v>
      </c>
      <c r="AD316" s="2">
        <v>156</v>
      </c>
      <c r="AE316" s="2">
        <v>162.30000000000001</v>
      </c>
    </row>
    <row r="317" spans="1:31" x14ac:dyDescent="0.2">
      <c r="A317" t="s">
        <v>30</v>
      </c>
      <c r="B317">
        <v>2021</v>
      </c>
      <c r="C317" t="s">
        <v>49</v>
      </c>
      <c r="D317" s="1">
        <f>DATE(All_India_Index_Upto_April23__1___1[[#This Row],[Year]],MATCH(All_India_Index_Upto_April23__1___1[[#This Row],[Month]],{"January","February","March","April","May","June","July","August","September","October","November","December"},0),1)</f>
        <v>44470</v>
      </c>
      <c r="E317" s="2">
        <v>146.1</v>
      </c>
      <c r="F317" s="2">
        <v>202.5</v>
      </c>
      <c r="G317">
        <v>170.1</v>
      </c>
      <c r="H317">
        <v>158.4</v>
      </c>
      <c r="I317">
        <v>198.8</v>
      </c>
      <c r="J317">
        <v>152.6</v>
      </c>
      <c r="K317">
        <v>170.4</v>
      </c>
      <c r="L317">
        <v>165.2</v>
      </c>
      <c r="M317">
        <v>121.6</v>
      </c>
      <c r="N317">
        <v>170.6</v>
      </c>
      <c r="O317">
        <v>168.8</v>
      </c>
      <c r="P317">
        <v>173.6</v>
      </c>
      <c r="Q317" s="2">
        <v>165.5</v>
      </c>
      <c r="R317" s="2">
        <v>191.2</v>
      </c>
      <c r="S317" s="2">
        <v>168.9</v>
      </c>
      <c r="T317" s="2">
        <v>164.8</v>
      </c>
      <c r="U317" s="3">
        <v>168.3</v>
      </c>
      <c r="V317" s="2"/>
      <c r="W317">
        <v>165.5</v>
      </c>
      <c r="X317" s="2">
        <v>162</v>
      </c>
      <c r="Y317" s="2">
        <v>172.5</v>
      </c>
      <c r="Z317" s="2">
        <v>159.5</v>
      </c>
      <c r="AA317" s="2">
        <v>163.19999999999999</v>
      </c>
      <c r="AB317" s="2">
        <v>169</v>
      </c>
      <c r="AC317" s="2">
        <v>161.1</v>
      </c>
      <c r="AD317" s="2">
        <v>164.7</v>
      </c>
      <c r="AE317" s="2">
        <v>166.3</v>
      </c>
    </row>
    <row r="318" spans="1:31" x14ac:dyDescent="0.2">
      <c r="A318" t="s">
        <v>32</v>
      </c>
      <c r="B318">
        <v>2021</v>
      </c>
      <c r="C318" t="s">
        <v>49</v>
      </c>
      <c r="D318" s="1">
        <f>DATE(All_India_Index_Upto_April23__1___1[[#This Row],[Year]],MATCH(All_India_Index_Upto_April23__1___1[[#This Row],[Month]],{"January","February","March","April","May","June","July","August","September","October","November","December"},0),1)</f>
        <v>44470</v>
      </c>
      <c r="E318" s="2">
        <v>150.1</v>
      </c>
      <c r="F318" s="2">
        <v>208.4</v>
      </c>
      <c r="G318">
        <v>173</v>
      </c>
      <c r="H318">
        <v>159.19999999999999</v>
      </c>
      <c r="I318">
        <v>176.6</v>
      </c>
      <c r="J318">
        <v>159.30000000000001</v>
      </c>
      <c r="K318">
        <v>214.4</v>
      </c>
      <c r="L318">
        <v>165.3</v>
      </c>
      <c r="M318">
        <v>122.5</v>
      </c>
      <c r="N318">
        <v>166.8</v>
      </c>
      <c r="O318">
        <v>155.4</v>
      </c>
      <c r="P318">
        <v>175.9</v>
      </c>
      <c r="Q318" s="2">
        <v>171.5</v>
      </c>
      <c r="R318" s="2">
        <v>197</v>
      </c>
      <c r="S318" s="2">
        <v>160.80000000000001</v>
      </c>
      <c r="T318" s="2">
        <v>144.4</v>
      </c>
      <c r="U318" s="3">
        <v>158.30000000000001</v>
      </c>
      <c r="V318" s="2" t="s">
        <v>142</v>
      </c>
      <c r="W318" s="2">
        <v>162.19999999999999</v>
      </c>
      <c r="X318" s="2">
        <v>154.30000000000001</v>
      </c>
      <c r="Y318" s="2">
        <v>163.5</v>
      </c>
      <c r="Z318" s="2">
        <v>152.19999999999999</v>
      </c>
      <c r="AA318" s="2">
        <v>155.1</v>
      </c>
      <c r="AB318" s="2">
        <v>160.30000000000001</v>
      </c>
      <c r="AC318" s="2">
        <v>160.30000000000001</v>
      </c>
      <c r="AD318" s="2">
        <v>157</v>
      </c>
      <c r="AE318" s="2">
        <v>164.6</v>
      </c>
    </row>
    <row r="319" spans="1:31" x14ac:dyDescent="0.2">
      <c r="A319" t="s">
        <v>30</v>
      </c>
      <c r="B319">
        <v>2021</v>
      </c>
      <c r="C319" t="s">
        <v>51</v>
      </c>
      <c r="D319" s="1">
        <f>DATE(All_India_Index_Upto_April23__1___1[[#This Row],[Year]],MATCH(All_India_Index_Upto_April23__1___1[[#This Row],[Month]],{"January","February","March","April","May","June","July","August","September","October","November","December"},0),1)</f>
        <v>44501</v>
      </c>
      <c r="E319" s="2">
        <v>146.9</v>
      </c>
      <c r="F319" s="2">
        <v>199.8</v>
      </c>
      <c r="G319">
        <v>171.5</v>
      </c>
      <c r="H319">
        <v>159.1</v>
      </c>
      <c r="I319">
        <v>198.4</v>
      </c>
      <c r="J319">
        <v>153.19999999999999</v>
      </c>
      <c r="K319">
        <v>183.9</v>
      </c>
      <c r="L319">
        <v>165.4</v>
      </c>
      <c r="M319">
        <v>122.1</v>
      </c>
      <c r="N319">
        <v>170.8</v>
      </c>
      <c r="O319">
        <v>169.1</v>
      </c>
      <c r="P319">
        <v>174.3</v>
      </c>
      <c r="Q319" s="2">
        <v>167.5</v>
      </c>
      <c r="R319" s="2">
        <v>191.4</v>
      </c>
      <c r="S319" s="2">
        <v>170.4</v>
      </c>
      <c r="T319" s="2">
        <v>166</v>
      </c>
      <c r="U319" s="3">
        <v>169.8</v>
      </c>
      <c r="V319" s="2"/>
      <c r="W319">
        <v>165.3</v>
      </c>
      <c r="X319" s="2">
        <v>162.9</v>
      </c>
      <c r="Y319" s="2">
        <v>173.4</v>
      </c>
      <c r="Z319" s="2">
        <v>158.9</v>
      </c>
      <c r="AA319" s="2">
        <v>163.80000000000001</v>
      </c>
      <c r="AB319" s="2">
        <v>169.3</v>
      </c>
      <c r="AC319" s="2">
        <v>162.4</v>
      </c>
      <c r="AD319" s="2">
        <v>165.2</v>
      </c>
      <c r="AE319" s="2">
        <v>167.6</v>
      </c>
    </row>
    <row r="320" spans="1:31" x14ac:dyDescent="0.2">
      <c r="A320" t="s">
        <v>32</v>
      </c>
      <c r="B320">
        <v>2021</v>
      </c>
      <c r="C320" t="s">
        <v>51</v>
      </c>
      <c r="D320" s="1">
        <f>DATE(All_India_Index_Upto_April23__1___1[[#This Row],[Year]],MATCH(All_India_Index_Upto_April23__1___1[[#This Row],[Month]],{"January","February","March","April","May","June","July","August","September","October","November","December"},0),1)</f>
        <v>44501</v>
      </c>
      <c r="E320" s="2">
        <v>151</v>
      </c>
      <c r="F320" s="2">
        <v>204.9</v>
      </c>
      <c r="G320">
        <v>175.4</v>
      </c>
      <c r="H320">
        <v>159.6</v>
      </c>
      <c r="I320">
        <v>175.8</v>
      </c>
      <c r="J320">
        <v>160.30000000000001</v>
      </c>
      <c r="K320">
        <v>229.1</v>
      </c>
      <c r="L320">
        <v>165.1</v>
      </c>
      <c r="M320">
        <v>123.1</v>
      </c>
      <c r="N320">
        <v>167.2</v>
      </c>
      <c r="O320">
        <v>156.1</v>
      </c>
      <c r="P320">
        <v>176.8</v>
      </c>
      <c r="Q320" s="2">
        <v>173.5</v>
      </c>
      <c r="R320" s="2">
        <v>197</v>
      </c>
      <c r="S320" s="2">
        <v>162.30000000000001</v>
      </c>
      <c r="T320" s="2">
        <v>145.30000000000001</v>
      </c>
      <c r="U320" s="3">
        <v>159.69999999999999</v>
      </c>
      <c r="V320" s="2" t="s">
        <v>143</v>
      </c>
      <c r="W320" s="2">
        <v>161.6</v>
      </c>
      <c r="X320" s="2">
        <v>155.19999999999999</v>
      </c>
      <c r="Y320" s="2">
        <v>164.2</v>
      </c>
      <c r="Z320" s="2">
        <v>151.19999999999999</v>
      </c>
      <c r="AA320" s="2">
        <v>156.69999999999999</v>
      </c>
      <c r="AB320" s="2">
        <v>160.80000000000001</v>
      </c>
      <c r="AC320" s="2">
        <v>161.80000000000001</v>
      </c>
      <c r="AD320" s="2">
        <v>157.30000000000001</v>
      </c>
      <c r="AE320" s="2">
        <v>165.6</v>
      </c>
    </row>
    <row r="321" spans="1:31" x14ac:dyDescent="0.2">
      <c r="A321" t="s">
        <v>30</v>
      </c>
      <c r="B321">
        <v>2021</v>
      </c>
      <c r="C321" t="s">
        <v>53</v>
      </c>
      <c r="D321" s="1">
        <f>DATE(All_India_Index_Upto_April23__1___1[[#This Row],[Year]],MATCH(All_India_Index_Upto_April23__1___1[[#This Row],[Month]],{"January","February","March","April","May","June","July","August","September","October","November","December"},0),1)</f>
        <v>44531</v>
      </c>
      <c r="E321" s="2">
        <v>147.4</v>
      </c>
      <c r="F321" s="2">
        <v>197</v>
      </c>
      <c r="G321">
        <v>176.5</v>
      </c>
      <c r="H321">
        <v>159.80000000000001</v>
      </c>
      <c r="I321">
        <v>195.8</v>
      </c>
      <c r="J321">
        <v>152</v>
      </c>
      <c r="K321">
        <v>172.3</v>
      </c>
      <c r="L321">
        <v>164.5</v>
      </c>
      <c r="M321">
        <v>120.6</v>
      </c>
      <c r="N321">
        <v>171.7</v>
      </c>
      <c r="O321">
        <v>169.7</v>
      </c>
      <c r="P321">
        <v>175.1</v>
      </c>
      <c r="Q321" s="2">
        <v>165.8</v>
      </c>
      <c r="R321" s="2">
        <v>190.8</v>
      </c>
      <c r="S321" s="2">
        <v>171.8</v>
      </c>
      <c r="T321" s="2">
        <v>167.3</v>
      </c>
      <c r="U321" s="3">
        <v>171.2</v>
      </c>
      <c r="V321" s="2"/>
      <c r="W321">
        <v>165.6</v>
      </c>
      <c r="X321" s="2">
        <v>163.9</v>
      </c>
      <c r="Y321" s="2">
        <v>174</v>
      </c>
      <c r="Z321" s="2">
        <v>160.1</v>
      </c>
      <c r="AA321" s="2">
        <v>164.5</v>
      </c>
      <c r="AB321" s="2">
        <v>169.7</v>
      </c>
      <c r="AC321" s="2">
        <v>162.80000000000001</v>
      </c>
      <c r="AD321" s="2">
        <v>166</v>
      </c>
      <c r="AE321" s="2">
        <v>167</v>
      </c>
    </row>
    <row r="322" spans="1:31" x14ac:dyDescent="0.2">
      <c r="A322" t="s">
        <v>32</v>
      </c>
      <c r="B322">
        <v>2021</v>
      </c>
      <c r="C322" t="s">
        <v>53</v>
      </c>
      <c r="D322" s="1">
        <f>DATE(All_India_Index_Upto_April23__1___1[[#This Row],[Year]],MATCH(All_India_Index_Upto_April23__1___1[[#This Row],[Month]],{"January","February","March","April","May","June","July","August","September","October","November","December"},0),1)</f>
        <v>44531</v>
      </c>
      <c r="E322" s="2">
        <v>151.6</v>
      </c>
      <c r="F322" s="2">
        <v>202.2</v>
      </c>
      <c r="G322">
        <v>180</v>
      </c>
      <c r="H322">
        <v>160</v>
      </c>
      <c r="I322">
        <v>173.5</v>
      </c>
      <c r="J322">
        <v>158.30000000000001</v>
      </c>
      <c r="K322">
        <v>219.5</v>
      </c>
      <c r="L322">
        <v>164.2</v>
      </c>
      <c r="M322">
        <v>121.9</v>
      </c>
      <c r="N322">
        <v>168.2</v>
      </c>
      <c r="O322">
        <v>156.5</v>
      </c>
      <c r="P322">
        <v>178.2</v>
      </c>
      <c r="Q322" s="2">
        <v>172.2</v>
      </c>
      <c r="R322" s="2">
        <v>196.8</v>
      </c>
      <c r="S322" s="2">
        <v>163.30000000000001</v>
      </c>
      <c r="T322" s="2">
        <v>146.69999999999999</v>
      </c>
      <c r="U322" s="3">
        <v>160.69999999999999</v>
      </c>
      <c r="V322" s="2" t="s">
        <v>144</v>
      </c>
      <c r="W322" s="2">
        <v>161.69999999999999</v>
      </c>
      <c r="X322" s="2">
        <v>156</v>
      </c>
      <c r="Y322" s="2">
        <v>165.1</v>
      </c>
      <c r="Z322" s="2">
        <v>151.80000000000001</v>
      </c>
      <c r="AA322" s="2">
        <v>157.6</v>
      </c>
      <c r="AB322" s="2">
        <v>160.6</v>
      </c>
      <c r="AC322" s="2">
        <v>162.4</v>
      </c>
      <c r="AD322" s="2">
        <v>157.80000000000001</v>
      </c>
      <c r="AE322" s="2">
        <v>165.2</v>
      </c>
    </row>
    <row r="323" spans="1:31" x14ac:dyDescent="0.2">
      <c r="A323" t="s">
        <v>34</v>
      </c>
      <c r="B323">
        <v>2022</v>
      </c>
      <c r="C323" t="s">
        <v>31</v>
      </c>
      <c r="D323" s="1">
        <f>DATE(All_India_Index_Upto_April23__1___1[[#This Row],[Year]],MATCH(All_India_Index_Upto_April23__1___1[[#This Row],[Month]],{"January","February","March","April","May","June","July","August","September","October","November","December"},0),1)</f>
        <v>44562</v>
      </c>
      <c r="E323" s="2">
        <v>149.5</v>
      </c>
      <c r="F323" s="2">
        <v>198.7</v>
      </c>
      <c r="G323">
        <v>178.8</v>
      </c>
      <c r="H323">
        <v>160.5</v>
      </c>
      <c r="I323">
        <v>184.7</v>
      </c>
      <c r="J323">
        <v>153.69999999999999</v>
      </c>
      <c r="K323">
        <v>174.3</v>
      </c>
      <c r="L323">
        <v>163.9</v>
      </c>
      <c r="M323">
        <v>120</v>
      </c>
      <c r="N323">
        <v>172.1</v>
      </c>
      <c r="O323">
        <v>164.3</v>
      </c>
      <c r="P323">
        <v>177.3</v>
      </c>
      <c r="Q323" s="2">
        <v>166.4</v>
      </c>
      <c r="R323" s="2">
        <v>192.2</v>
      </c>
      <c r="S323" s="2">
        <v>169.9</v>
      </c>
      <c r="T323" s="2">
        <v>160.69999999999999</v>
      </c>
      <c r="U323" s="3">
        <v>168.5</v>
      </c>
      <c r="V323" s="2" t="s">
        <v>145</v>
      </c>
      <c r="W323" s="2">
        <v>164.2</v>
      </c>
      <c r="X323" s="2">
        <v>161.1</v>
      </c>
      <c r="Y323" s="2">
        <v>171.4</v>
      </c>
      <c r="Z323" s="2">
        <v>156.5</v>
      </c>
      <c r="AA323" s="2">
        <v>161.19999999999999</v>
      </c>
      <c r="AB323" s="2">
        <v>164.7</v>
      </c>
      <c r="AC323" s="2">
        <v>163</v>
      </c>
      <c r="AD323" s="2">
        <v>162.69999999999999</v>
      </c>
      <c r="AE323" s="2">
        <v>165.7</v>
      </c>
    </row>
    <row r="324" spans="1:31" x14ac:dyDescent="0.2">
      <c r="A324" t="s">
        <v>34</v>
      </c>
      <c r="B324">
        <v>2022</v>
      </c>
      <c r="C324" t="s">
        <v>35</v>
      </c>
      <c r="D324" s="1">
        <f>DATE(All_India_Index_Upto_April23__1___1[[#This Row],[Year]],MATCH(All_India_Index_Upto_April23__1___1[[#This Row],[Month]],{"January","February","March","April","May","June","July","August","September","October","November","December"},0),1)</f>
        <v>44593</v>
      </c>
      <c r="E324" s="2">
        <v>150</v>
      </c>
      <c r="F324" s="2">
        <v>200.6</v>
      </c>
      <c r="G324">
        <v>175.8</v>
      </c>
      <c r="H324">
        <v>160.69999999999999</v>
      </c>
      <c r="I324">
        <v>184.9</v>
      </c>
      <c r="J324">
        <v>153.69999999999999</v>
      </c>
      <c r="K324">
        <v>169.7</v>
      </c>
      <c r="L324">
        <v>163.69999999999999</v>
      </c>
      <c r="M324">
        <v>118.9</v>
      </c>
      <c r="N324">
        <v>174.3</v>
      </c>
      <c r="O324">
        <v>164.7</v>
      </c>
      <c r="P324">
        <v>178</v>
      </c>
      <c r="Q324" s="2">
        <v>166.2</v>
      </c>
      <c r="R324" s="2">
        <v>192.8</v>
      </c>
      <c r="S324" s="2">
        <v>170.8</v>
      </c>
      <c r="T324" s="2">
        <v>162.4</v>
      </c>
      <c r="U324" s="3">
        <v>169.6</v>
      </c>
      <c r="V324" s="2" t="s">
        <v>146</v>
      </c>
      <c r="W324" s="2">
        <v>165.7</v>
      </c>
      <c r="X324" s="2">
        <v>161.80000000000001</v>
      </c>
      <c r="Y324" s="2">
        <v>172.2</v>
      </c>
      <c r="Z324" s="2">
        <v>156.9</v>
      </c>
      <c r="AA324" s="2">
        <v>162.1</v>
      </c>
      <c r="AB324" s="2">
        <v>165.4</v>
      </c>
      <c r="AC324" s="2">
        <v>164.4</v>
      </c>
      <c r="AD324" s="2">
        <v>163.5</v>
      </c>
      <c r="AE324" s="2">
        <v>166.1</v>
      </c>
    </row>
    <row r="325" spans="1:31" x14ac:dyDescent="0.2">
      <c r="A325" t="s">
        <v>34</v>
      </c>
      <c r="B325">
        <v>2022</v>
      </c>
      <c r="C325" t="s">
        <v>37</v>
      </c>
      <c r="D325" s="1">
        <f>DATE(All_India_Index_Upto_April23__1___1[[#This Row],[Year]],MATCH(All_India_Index_Upto_April23__1___1[[#This Row],[Month]],{"January","February","March","April","May","June","July","August","September","October","November","December"},0),1)</f>
        <v>44621</v>
      </c>
      <c r="E325" s="2">
        <v>151.30000000000001</v>
      </c>
      <c r="F325" s="2">
        <v>210.7</v>
      </c>
      <c r="G325">
        <v>167.8</v>
      </c>
      <c r="H325">
        <v>162.19999999999999</v>
      </c>
      <c r="I325">
        <v>194.6</v>
      </c>
      <c r="J325">
        <v>157.6</v>
      </c>
      <c r="K325">
        <v>166.9</v>
      </c>
      <c r="L325">
        <v>163.9</v>
      </c>
      <c r="M325">
        <v>118.8</v>
      </c>
      <c r="N325">
        <v>177.4</v>
      </c>
      <c r="O325">
        <v>165.3</v>
      </c>
      <c r="P325">
        <v>179.3</v>
      </c>
      <c r="Q325" s="2">
        <v>168.4</v>
      </c>
      <c r="R325" s="2">
        <v>193.7</v>
      </c>
      <c r="S325" s="2">
        <v>172.1</v>
      </c>
      <c r="T325" s="2">
        <v>164.6</v>
      </c>
      <c r="U325" s="3">
        <v>171.1</v>
      </c>
      <c r="V325" s="2" t="s">
        <v>147</v>
      </c>
      <c r="W325" s="2">
        <v>167.2</v>
      </c>
      <c r="X325" s="2">
        <v>162.80000000000001</v>
      </c>
      <c r="Y325" s="2">
        <v>173</v>
      </c>
      <c r="Z325" s="2">
        <v>157.9</v>
      </c>
      <c r="AA325" s="2">
        <v>163.30000000000001</v>
      </c>
      <c r="AB325" s="2">
        <v>166</v>
      </c>
      <c r="AC325" s="2">
        <v>167.2</v>
      </c>
      <c r="AD325" s="2">
        <v>164.6</v>
      </c>
      <c r="AE325" s="2">
        <v>167.7</v>
      </c>
    </row>
    <row r="326" spans="1:31" x14ac:dyDescent="0.2">
      <c r="A326" t="s">
        <v>34</v>
      </c>
      <c r="B326">
        <v>2022</v>
      </c>
      <c r="C326" t="s">
        <v>38</v>
      </c>
      <c r="D326" s="1">
        <f>DATE(All_India_Index_Upto_April23__1___1[[#This Row],[Year]],MATCH(All_India_Index_Upto_April23__1___1[[#This Row],[Month]],{"January","February","March","April","May","June","July","August","September","October","November","December"},0),1)</f>
        <v>44652</v>
      </c>
      <c r="E326" s="2">
        <v>152.9</v>
      </c>
      <c r="F326" s="2">
        <v>211.8</v>
      </c>
      <c r="G326">
        <v>164.5</v>
      </c>
      <c r="H326">
        <v>163.9</v>
      </c>
      <c r="I326">
        <v>199.5</v>
      </c>
      <c r="J326">
        <v>172.6</v>
      </c>
      <c r="K326">
        <v>166.2</v>
      </c>
      <c r="L326">
        <v>164.7</v>
      </c>
      <c r="M326">
        <v>119</v>
      </c>
      <c r="N326">
        <v>181.3</v>
      </c>
      <c r="O326">
        <v>166.2</v>
      </c>
      <c r="P326">
        <v>180.9</v>
      </c>
      <c r="Q326" s="2">
        <v>170.8</v>
      </c>
      <c r="R326" s="2">
        <v>193.9</v>
      </c>
      <c r="S326" s="2">
        <v>173.9</v>
      </c>
      <c r="T326" s="2">
        <v>166.5</v>
      </c>
      <c r="U326" s="3">
        <v>172.8</v>
      </c>
      <c r="V326" s="2" t="s">
        <v>148</v>
      </c>
      <c r="W326" s="2">
        <v>172.2</v>
      </c>
      <c r="X326" s="2">
        <v>164</v>
      </c>
      <c r="Y326" s="2">
        <v>174</v>
      </c>
      <c r="Z326" s="2">
        <v>162.6</v>
      </c>
      <c r="AA326" s="2">
        <v>164.4</v>
      </c>
      <c r="AB326" s="2">
        <v>166.9</v>
      </c>
      <c r="AC326" s="2">
        <v>168.8</v>
      </c>
      <c r="AD326" s="2">
        <v>166.8</v>
      </c>
      <c r="AE326" s="2">
        <v>170.1</v>
      </c>
    </row>
    <row r="327" spans="1:31" x14ac:dyDescent="0.2">
      <c r="A327" t="s">
        <v>34</v>
      </c>
      <c r="B327">
        <v>2022</v>
      </c>
      <c r="C327" t="s">
        <v>40</v>
      </c>
      <c r="D327" s="1">
        <f>DATE(All_India_Index_Upto_April23__1___1[[#This Row],[Year]],MATCH(All_India_Index_Upto_April23__1___1[[#This Row],[Month]],{"January","February","March","April","May","June","July","August","September","October","November","December"},0),1)</f>
        <v>44682</v>
      </c>
      <c r="E327" s="2">
        <v>154.1</v>
      </c>
      <c r="F327" s="2">
        <v>217</v>
      </c>
      <c r="G327">
        <v>162.4</v>
      </c>
      <c r="H327">
        <v>164.9</v>
      </c>
      <c r="I327">
        <v>202.4</v>
      </c>
      <c r="J327">
        <v>171</v>
      </c>
      <c r="K327">
        <v>174.9</v>
      </c>
      <c r="L327">
        <v>164.7</v>
      </c>
      <c r="M327">
        <v>119.7</v>
      </c>
      <c r="N327">
        <v>184.9</v>
      </c>
      <c r="O327">
        <v>167.1</v>
      </c>
      <c r="P327">
        <v>182.5</v>
      </c>
      <c r="Q327" s="2">
        <v>173.3</v>
      </c>
      <c r="R327" s="2">
        <v>194.1</v>
      </c>
      <c r="S327" s="2">
        <v>175.6</v>
      </c>
      <c r="T327" s="2">
        <v>168.4</v>
      </c>
      <c r="U327" s="3">
        <v>174.6</v>
      </c>
      <c r="V327" s="2" t="s">
        <v>149</v>
      </c>
      <c r="W327" s="2">
        <v>174.6</v>
      </c>
      <c r="X327" s="2">
        <v>165.2</v>
      </c>
      <c r="Y327" s="2">
        <v>174.8</v>
      </c>
      <c r="Z327" s="2">
        <v>163</v>
      </c>
      <c r="AA327" s="2">
        <v>165.1</v>
      </c>
      <c r="AB327" s="2">
        <v>167.9</v>
      </c>
      <c r="AC327" s="2">
        <v>168.4</v>
      </c>
      <c r="AD327" s="2">
        <v>167.5</v>
      </c>
      <c r="AE327" s="2">
        <v>171.7</v>
      </c>
    </row>
    <row r="328" spans="1:31" x14ac:dyDescent="0.2">
      <c r="A328" t="s">
        <v>34</v>
      </c>
      <c r="B328">
        <v>2022</v>
      </c>
      <c r="C328" t="s">
        <v>41</v>
      </c>
      <c r="D328" s="1">
        <f>DATE(All_India_Index_Upto_April23__1___1[[#This Row],[Year]],MATCH(All_India_Index_Upto_April23__1___1[[#This Row],[Month]],{"January","February","March","April","May","June","July","August","September","October","November","December"},0),1)</f>
        <v>44713</v>
      </c>
      <c r="E328" s="2">
        <v>155</v>
      </c>
      <c r="F328" s="2">
        <v>219.4</v>
      </c>
      <c r="G328">
        <v>170.8</v>
      </c>
      <c r="H328">
        <v>165.8</v>
      </c>
      <c r="I328">
        <v>200.9</v>
      </c>
      <c r="J328">
        <v>169.7</v>
      </c>
      <c r="K328">
        <v>182.3</v>
      </c>
      <c r="L328">
        <v>164.3</v>
      </c>
      <c r="M328">
        <v>119.9</v>
      </c>
      <c r="N328">
        <v>187.1</v>
      </c>
      <c r="O328">
        <v>167.9</v>
      </c>
      <c r="P328">
        <v>183.9</v>
      </c>
      <c r="Q328" s="2">
        <v>174.9</v>
      </c>
      <c r="R328" s="2">
        <v>194.3</v>
      </c>
      <c r="S328" s="2">
        <v>177.1</v>
      </c>
      <c r="T328" s="2">
        <v>169.9</v>
      </c>
      <c r="U328" s="3">
        <v>176</v>
      </c>
      <c r="V328" s="2" t="s">
        <v>150</v>
      </c>
      <c r="W328" s="2">
        <v>176</v>
      </c>
      <c r="X328" s="2">
        <v>166.4</v>
      </c>
      <c r="Y328" s="2">
        <v>175.4</v>
      </c>
      <c r="Z328" s="2">
        <v>161.1</v>
      </c>
      <c r="AA328" s="2">
        <v>165.8</v>
      </c>
      <c r="AB328" s="2">
        <v>169</v>
      </c>
      <c r="AC328" s="2">
        <v>169.4</v>
      </c>
      <c r="AD328" s="2">
        <v>167.5</v>
      </c>
      <c r="AE328" s="2">
        <v>172.6</v>
      </c>
    </row>
    <row r="329" spans="1:31" x14ac:dyDescent="0.2">
      <c r="A329" t="s">
        <v>34</v>
      </c>
      <c r="B329">
        <v>2022</v>
      </c>
      <c r="C329" t="s">
        <v>43</v>
      </c>
      <c r="D329" s="1">
        <f>DATE(All_India_Index_Upto_April23__1___1[[#This Row],[Year]],MATCH(All_India_Index_Upto_April23__1___1[[#This Row],[Month]],{"January","February","March","April","May","June","July","August","September","October","November","December"},0),1)</f>
        <v>44743</v>
      </c>
      <c r="E329" s="2">
        <v>156.5</v>
      </c>
      <c r="F329" s="2">
        <v>213</v>
      </c>
      <c r="G329">
        <v>175.2</v>
      </c>
      <c r="H329">
        <v>166.6</v>
      </c>
      <c r="I329">
        <v>195.8</v>
      </c>
      <c r="J329">
        <v>174.2</v>
      </c>
      <c r="K329">
        <v>182.1</v>
      </c>
      <c r="L329">
        <v>164.3</v>
      </c>
      <c r="M329">
        <v>120</v>
      </c>
      <c r="N329">
        <v>190</v>
      </c>
      <c r="O329">
        <v>168.4</v>
      </c>
      <c r="P329">
        <v>185.2</v>
      </c>
      <c r="Q329" s="2">
        <v>175</v>
      </c>
      <c r="R329" s="2">
        <v>194.6</v>
      </c>
      <c r="S329" s="2">
        <v>178.3</v>
      </c>
      <c r="T329" s="2">
        <v>171.3</v>
      </c>
      <c r="U329" s="3">
        <v>177.3</v>
      </c>
      <c r="V329" s="2" t="s">
        <v>151</v>
      </c>
      <c r="W329" s="2">
        <v>179.6</v>
      </c>
      <c r="X329" s="2">
        <v>167.4</v>
      </c>
      <c r="Y329" s="2">
        <v>176.1</v>
      </c>
      <c r="Z329" s="2">
        <v>161.6</v>
      </c>
      <c r="AA329" s="2">
        <v>166.3</v>
      </c>
      <c r="AB329" s="2">
        <v>171.4</v>
      </c>
      <c r="AC329" s="2">
        <v>169.7</v>
      </c>
      <c r="AD329" s="2">
        <v>168.4</v>
      </c>
      <c r="AE329" s="2">
        <v>173.4</v>
      </c>
    </row>
    <row r="330" spans="1:31" x14ac:dyDescent="0.2">
      <c r="A330" t="s">
        <v>34</v>
      </c>
      <c r="B330">
        <v>2022</v>
      </c>
      <c r="C330" t="s">
        <v>45</v>
      </c>
      <c r="D330" s="1">
        <f>DATE(All_India_Index_Upto_April23__1___1[[#This Row],[Year]],MATCH(All_India_Index_Upto_April23__1___1[[#This Row],[Month]],{"January","February","March","April","May","June","July","August","September","October","November","December"},0),1)</f>
        <v>44774</v>
      </c>
      <c r="E330" s="2">
        <v>160.30000000000001</v>
      </c>
      <c r="F330" s="2">
        <v>206.5</v>
      </c>
      <c r="G330">
        <v>169.2</v>
      </c>
      <c r="H330">
        <v>168.1</v>
      </c>
      <c r="I330">
        <v>192.4</v>
      </c>
      <c r="J330">
        <v>172.9</v>
      </c>
      <c r="K330">
        <v>186.7</v>
      </c>
      <c r="L330">
        <v>167.2</v>
      </c>
      <c r="M330">
        <v>120.9</v>
      </c>
      <c r="N330">
        <v>193.6</v>
      </c>
      <c r="O330">
        <v>168.8</v>
      </c>
      <c r="P330">
        <v>186.3</v>
      </c>
      <c r="Q330" s="2">
        <v>176.3</v>
      </c>
      <c r="R330" s="2">
        <v>195</v>
      </c>
      <c r="S330" s="2">
        <v>179.5</v>
      </c>
      <c r="T330" s="2">
        <v>172.7</v>
      </c>
      <c r="U330" s="3">
        <v>178.5</v>
      </c>
      <c r="V330" s="2" t="s">
        <v>152</v>
      </c>
      <c r="W330" s="2">
        <v>178.8</v>
      </c>
      <c r="X330" s="2">
        <v>168.5</v>
      </c>
      <c r="Y330" s="2">
        <v>176.8</v>
      </c>
      <c r="Z330" s="2">
        <v>161.9</v>
      </c>
      <c r="AA330" s="2">
        <v>166.9</v>
      </c>
      <c r="AB330" s="2">
        <v>172.3</v>
      </c>
      <c r="AC330" s="2">
        <v>171.2</v>
      </c>
      <c r="AD330" s="2">
        <v>169.1</v>
      </c>
      <c r="AE330" s="2">
        <v>174.3</v>
      </c>
    </row>
    <row r="331" spans="1:31" x14ac:dyDescent="0.2">
      <c r="A331" t="s">
        <v>34</v>
      </c>
      <c r="B331">
        <v>2022</v>
      </c>
      <c r="C331" t="s">
        <v>47</v>
      </c>
      <c r="D331" s="1">
        <f>DATE(All_India_Index_Upto_April23__1___1[[#This Row],[Year]],MATCH(All_India_Index_Upto_April23__1___1[[#This Row],[Month]],{"January","February","March","April","May","June","July","August","September","October","November","December"},0),1)</f>
        <v>44805</v>
      </c>
      <c r="E331" s="2">
        <v>163.5</v>
      </c>
      <c r="F331" s="2">
        <v>209.2</v>
      </c>
      <c r="G331">
        <v>169.7</v>
      </c>
      <c r="H331">
        <v>169.7</v>
      </c>
      <c r="I331">
        <v>188.7</v>
      </c>
      <c r="J331">
        <v>165.7</v>
      </c>
      <c r="K331">
        <v>191.8</v>
      </c>
      <c r="L331">
        <v>169.1</v>
      </c>
      <c r="M331">
        <v>121.6</v>
      </c>
      <c r="N331">
        <v>197.3</v>
      </c>
      <c r="O331">
        <v>169.4</v>
      </c>
      <c r="P331">
        <v>187.4</v>
      </c>
      <c r="Q331" s="2">
        <v>177.8</v>
      </c>
      <c r="R331" s="2">
        <v>195.9</v>
      </c>
      <c r="S331" s="2">
        <v>180.9</v>
      </c>
      <c r="T331" s="2">
        <v>174.3</v>
      </c>
      <c r="U331" s="3">
        <v>179.9</v>
      </c>
      <c r="V331" s="2" t="s">
        <v>153</v>
      </c>
      <c r="W331" s="2">
        <v>179.5</v>
      </c>
      <c r="X331" s="2">
        <v>169.5</v>
      </c>
      <c r="Y331" s="2">
        <v>177.8</v>
      </c>
      <c r="Z331" s="2">
        <v>162.30000000000001</v>
      </c>
      <c r="AA331" s="2">
        <v>167.6</v>
      </c>
      <c r="AB331" s="2">
        <v>173.1</v>
      </c>
      <c r="AC331" s="2">
        <v>170.9</v>
      </c>
      <c r="AD331" s="2">
        <v>169.7</v>
      </c>
      <c r="AE331" s="2">
        <v>175.3</v>
      </c>
    </row>
    <row r="332" spans="1:31" x14ac:dyDescent="0.2">
      <c r="A332" t="s">
        <v>34</v>
      </c>
      <c r="B332">
        <v>2022</v>
      </c>
      <c r="C332" t="s">
        <v>49</v>
      </c>
      <c r="D332" s="1">
        <f>DATE(All_India_Index_Upto_April23__1___1[[#This Row],[Year]],MATCH(All_India_Index_Upto_April23__1___1[[#This Row],[Month]],{"January","February","March","April","May","June","July","August","September","October","November","December"},0),1)</f>
        <v>44835</v>
      </c>
      <c r="E332" s="2">
        <v>165.2</v>
      </c>
      <c r="F332" s="2">
        <v>210.9</v>
      </c>
      <c r="G332">
        <v>170.9</v>
      </c>
      <c r="H332">
        <v>170.9</v>
      </c>
      <c r="I332">
        <v>186.5</v>
      </c>
      <c r="J332">
        <v>163.80000000000001</v>
      </c>
      <c r="K332">
        <v>199.7</v>
      </c>
      <c r="L332">
        <v>169.8</v>
      </c>
      <c r="M332">
        <v>121.9</v>
      </c>
      <c r="N332">
        <v>199.9</v>
      </c>
      <c r="O332">
        <v>169.9</v>
      </c>
      <c r="P332">
        <v>188.3</v>
      </c>
      <c r="Q332" s="2">
        <v>179.6</v>
      </c>
      <c r="R332" s="2">
        <v>196.3</v>
      </c>
      <c r="S332" s="2">
        <v>181.9</v>
      </c>
      <c r="T332" s="2">
        <v>175.3</v>
      </c>
      <c r="U332" s="3">
        <v>181</v>
      </c>
      <c r="V332" s="2" t="s">
        <v>154</v>
      </c>
      <c r="W332" s="2">
        <v>180.5</v>
      </c>
      <c r="X332" s="2">
        <v>170.4</v>
      </c>
      <c r="Y332" s="2">
        <v>178.7</v>
      </c>
      <c r="Z332" s="2">
        <v>162.9</v>
      </c>
      <c r="AA332" s="2">
        <v>168.2</v>
      </c>
      <c r="AB332" s="2">
        <v>173.4</v>
      </c>
      <c r="AC332" s="2">
        <v>172.1</v>
      </c>
      <c r="AD332" s="2">
        <v>170.5</v>
      </c>
      <c r="AE332" s="2">
        <v>176.7</v>
      </c>
    </row>
    <row r="333" spans="1:31" x14ac:dyDescent="0.2">
      <c r="A333" t="s">
        <v>34</v>
      </c>
      <c r="B333">
        <v>2022</v>
      </c>
      <c r="C333" t="s">
        <v>51</v>
      </c>
      <c r="D333" s="1">
        <f>DATE(All_India_Index_Upto_April23__1___1[[#This Row],[Year]],MATCH(All_India_Index_Upto_April23__1___1[[#This Row],[Month]],{"January","February","March","April","May","June","July","August","September","October","November","December"},0),1)</f>
        <v>44866</v>
      </c>
      <c r="E333" s="2">
        <v>167.4</v>
      </c>
      <c r="F333" s="2">
        <v>209.4</v>
      </c>
      <c r="G333">
        <v>181.4</v>
      </c>
      <c r="H333">
        <v>172.3</v>
      </c>
      <c r="I333">
        <v>188.9</v>
      </c>
      <c r="J333">
        <v>160.69999999999999</v>
      </c>
      <c r="K333">
        <v>183.1</v>
      </c>
      <c r="L333">
        <v>170.5</v>
      </c>
      <c r="M333">
        <v>122.1</v>
      </c>
      <c r="N333">
        <v>202.8</v>
      </c>
      <c r="O333">
        <v>170.4</v>
      </c>
      <c r="P333">
        <v>189.5</v>
      </c>
      <c r="Q333" s="2">
        <v>178.3</v>
      </c>
      <c r="R333" s="2">
        <v>196.9</v>
      </c>
      <c r="S333" s="2">
        <v>183.1</v>
      </c>
      <c r="T333" s="2">
        <v>176.2</v>
      </c>
      <c r="U333" s="3">
        <v>182.1</v>
      </c>
      <c r="V333" s="2" t="s">
        <v>155</v>
      </c>
      <c r="W333" s="2">
        <v>181.3</v>
      </c>
      <c r="X333" s="2">
        <v>171.4</v>
      </c>
      <c r="Y333" s="2">
        <v>179.8</v>
      </c>
      <c r="Z333" s="2">
        <v>163</v>
      </c>
      <c r="AA333" s="2">
        <v>168.5</v>
      </c>
      <c r="AB333" s="2">
        <v>173.7</v>
      </c>
      <c r="AC333" s="2">
        <v>173.6</v>
      </c>
      <c r="AD333" s="2">
        <v>171.1</v>
      </c>
      <c r="AE333" s="2">
        <v>176.5</v>
      </c>
    </row>
    <row r="334" spans="1:31" x14ac:dyDescent="0.2">
      <c r="A334" t="s">
        <v>34</v>
      </c>
      <c r="B334">
        <v>2022</v>
      </c>
      <c r="C334" t="s">
        <v>53</v>
      </c>
      <c r="D334" s="1">
        <f>DATE(All_India_Index_Upto_April23__1___1[[#This Row],[Year]],MATCH(All_India_Index_Upto_April23__1___1[[#This Row],[Month]],{"January","February","March","April","May","June","July","August","September","October","November","December"},0),1)</f>
        <v>44896</v>
      </c>
      <c r="E334" s="2">
        <v>169.2</v>
      </c>
      <c r="F334" s="2">
        <v>209</v>
      </c>
      <c r="G334">
        <v>190.2</v>
      </c>
      <c r="H334">
        <v>173.6</v>
      </c>
      <c r="I334">
        <v>188.5</v>
      </c>
      <c r="J334">
        <v>158</v>
      </c>
      <c r="K334">
        <v>159.9</v>
      </c>
      <c r="L334">
        <v>170.8</v>
      </c>
      <c r="M334">
        <v>121.8</v>
      </c>
      <c r="N334">
        <v>205.2</v>
      </c>
      <c r="O334">
        <v>171</v>
      </c>
      <c r="P334">
        <v>190.3</v>
      </c>
      <c r="Q334" s="2">
        <v>175.9</v>
      </c>
      <c r="R334" s="2">
        <v>197.3</v>
      </c>
      <c r="S334" s="2">
        <v>184</v>
      </c>
      <c r="T334" s="2">
        <v>177</v>
      </c>
      <c r="U334" s="3">
        <v>183</v>
      </c>
      <c r="V334" s="2" t="s">
        <v>156</v>
      </c>
      <c r="W334" s="2">
        <v>182</v>
      </c>
      <c r="X334" s="2">
        <v>172.1</v>
      </c>
      <c r="Y334" s="2">
        <v>181.1</v>
      </c>
      <c r="Z334" s="2">
        <v>163.4</v>
      </c>
      <c r="AA334" s="2">
        <v>168.9</v>
      </c>
      <c r="AB334" s="2">
        <v>174.1</v>
      </c>
      <c r="AC334" s="2">
        <v>175.8</v>
      </c>
      <c r="AD334" s="2">
        <v>172</v>
      </c>
      <c r="AE334" s="2">
        <v>175.7</v>
      </c>
    </row>
    <row r="335" spans="1:31" x14ac:dyDescent="0.2">
      <c r="A335" t="s">
        <v>30</v>
      </c>
      <c r="B335">
        <v>2022</v>
      </c>
      <c r="C335" t="s">
        <v>31</v>
      </c>
      <c r="D335" s="1">
        <f>DATE(All_India_Index_Upto_April23__1___1[[#This Row],[Year]],MATCH(All_India_Index_Upto_April23__1___1[[#This Row],[Month]],{"January","February","March","April","May","June","July","August","September","October","November","December"},0),1)</f>
        <v>44562</v>
      </c>
      <c r="E335" s="2">
        <v>148.30000000000001</v>
      </c>
      <c r="F335" s="2">
        <v>196.9</v>
      </c>
      <c r="G335">
        <v>178</v>
      </c>
      <c r="H335">
        <v>160.5</v>
      </c>
      <c r="I335">
        <v>192.6</v>
      </c>
      <c r="J335">
        <v>151.19999999999999</v>
      </c>
      <c r="K335">
        <v>159.19999999999999</v>
      </c>
      <c r="L335">
        <v>164</v>
      </c>
      <c r="M335">
        <v>119.3</v>
      </c>
      <c r="N335">
        <v>173.3</v>
      </c>
      <c r="O335">
        <v>169.8</v>
      </c>
      <c r="P335">
        <v>175.8</v>
      </c>
      <c r="Q335" s="2">
        <v>164.1</v>
      </c>
      <c r="R335" s="2">
        <v>190.7</v>
      </c>
      <c r="S335" s="2">
        <v>173.2</v>
      </c>
      <c r="T335" s="2">
        <v>169.3</v>
      </c>
      <c r="U335" s="3">
        <v>172.7</v>
      </c>
      <c r="V335" s="2"/>
      <c r="W335">
        <v>165.8</v>
      </c>
      <c r="X335" s="2">
        <v>164.9</v>
      </c>
      <c r="Y335" s="2">
        <v>174.7</v>
      </c>
      <c r="Z335" s="2">
        <v>160.80000000000001</v>
      </c>
      <c r="AA335" s="2">
        <v>164.9</v>
      </c>
      <c r="AB335" s="2">
        <v>169.9</v>
      </c>
      <c r="AC335" s="2">
        <v>163.19999999999999</v>
      </c>
      <c r="AD335" s="2">
        <v>166.6</v>
      </c>
      <c r="AE335" s="2">
        <v>166.4</v>
      </c>
    </row>
    <row r="336" spans="1:31" x14ac:dyDescent="0.2">
      <c r="A336" t="s">
        <v>32</v>
      </c>
      <c r="B336">
        <v>2022</v>
      </c>
      <c r="C336" t="s">
        <v>31</v>
      </c>
      <c r="D336" s="1">
        <f>DATE(All_India_Index_Upto_April23__1___1[[#This Row],[Year]],MATCH(All_India_Index_Upto_April23__1___1[[#This Row],[Month]],{"January","February","March","April","May","June","July","August","September","October","November","December"},0),1)</f>
        <v>44562</v>
      </c>
      <c r="E336" s="2">
        <v>152.19999999999999</v>
      </c>
      <c r="F336" s="2">
        <v>202.1</v>
      </c>
      <c r="G336">
        <v>180.1</v>
      </c>
      <c r="H336">
        <v>160.4</v>
      </c>
      <c r="I336">
        <v>171</v>
      </c>
      <c r="J336">
        <v>156.5</v>
      </c>
      <c r="K336">
        <v>203.6</v>
      </c>
      <c r="L336">
        <v>163.80000000000001</v>
      </c>
      <c r="M336">
        <v>121.3</v>
      </c>
      <c r="N336">
        <v>169.8</v>
      </c>
      <c r="O336">
        <v>156.6</v>
      </c>
      <c r="P336">
        <v>179</v>
      </c>
      <c r="Q336" s="2">
        <v>170.3</v>
      </c>
      <c r="R336" s="2">
        <v>196.4</v>
      </c>
      <c r="S336" s="2">
        <v>164.7</v>
      </c>
      <c r="T336" s="2">
        <v>148.5</v>
      </c>
      <c r="U336" s="3">
        <v>162.19999999999999</v>
      </c>
      <c r="V336" s="2" t="s">
        <v>145</v>
      </c>
      <c r="W336" s="2">
        <v>161.6</v>
      </c>
      <c r="X336" s="2">
        <v>156.80000000000001</v>
      </c>
      <c r="Y336" s="2">
        <v>166.1</v>
      </c>
      <c r="Z336" s="2">
        <v>152.69999999999999</v>
      </c>
      <c r="AA336" s="2">
        <v>158.4</v>
      </c>
      <c r="AB336" s="2">
        <v>161</v>
      </c>
      <c r="AC336" s="2">
        <v>162.80000000000001</v>
      </c>
      <c r="AD336" s="2">
        <v>158.6</v>
      </c>
      <c r="AE336" s="2">
        <v>165</v>
      </c>
    </row>
    <row r="337" spans="1:31" x14ac:dyDescent="0.2">
      <c r="A337" t="s">
        <v>30</v>
      </c>
      <c r="B337">
        <v>2022</v>
      </c>
      <c r="C337" t="s">
        <v>35</v>
      </c>
      <c r="D337" s="1">
        <f>DATE(All_India_Index_Upto_April23__1___1[[#This Row],[Year]],MATCH(All_India_Index_Upto_April23__1___1[[#This Row],[Month]],{"January","February","March","April","May","June","July","August","September","October","November","December"},0),1)</f>
        <v>44593</v>
      </c>
      <c r="E337" s="2">
        <v>148.80000000000001</v>
      </c>
      <c r="F337" s="2">
        <v>198.1</v>
      </c>
      <c r="G337">
        <v>175.5</v>
      </c>
      <c r="H337">
        <v>160.69999999999999</v>
      </c>
      <c r="I337">
        <v>192.6</v>
      </c>
      <c r="J337">
        <v>151.4</v>
      </c>
      <c r="K337">
        <v>155.19999999999999</v>
      </c>
      <c r="L337">
        <v>163.9</v>
      </c>
      <c r="M337">
        <v>118.1</v>
      </c>
      <c r="N337">
        <v>175.4</v>
      </c>
      <c r="O337">
        <v>170.5</v>
      </c>
      <c r="P337">
        <v>176.3</v>
      </c>
      <c r="Q337" s="2">
        <v>163.9</v>
      </c>
      <c r="R337" s="2">
        <v>191.5</v>
      </c>
      <c r="S337" s="2">
        <v>174.1</v>
      </c>
      <c r="T337" s="2">
        <v>171</v>
      </c>
      <c r="U337" s="3">
        <v>173.7</v>
      </c>
      <c r="V337" s="2"/>
      <c r="W337">
        <v>167.4</v>
      </c>
      <c r="X337" s="2">
        <v>165.7</v>
      </c>
      <c r="Y337" s="2">
        <v>175.3</v>
      </c>
      <c r="Z337" s="2">
        <v>161.19999999999999</v>
      </c>
      <c r="AA337" s="2">
        <v>165.5</v>
      </c>
      <c r="AB337" s="2">
        <v>170.3</v>
      </c>
      <c r="AC337" s="2">
        <v>164.5</v>
      </c>
      <c r="AD337" s="2">
        <v>167.3</v>
      </c>
      <c r="AE337" s="2">
        <v>166.7</v>
      </c>
    </row>
    <row r="338" spans="1:31" x14ac:dyDescent="0.2">
      <c r="A338" t="s">
        <v>32</v>
      </c>
      <c r="B338">
        <v>2022</v>
      </c>
      <c r="C338" t="s">
        <v>35</v>
      </c>
      <c r="D338" s="1">
        <f>DATE(All_India_Index_Upto_April23__1___1[[#This Row],[Year]],MATCH(All_India_Index_Upto_April23__1___1[[#This Row],[Month]],{"January","February","March","April","May","June","July","August","September","October","November","December"},0),1)</f>
        <v>44593</v>
      </c>
      <c r="E338" s="2">
        <v>152.5</v>
      </c>
      <c r="F338" s="2">
        <v>205.2</v>
      </c>
      <c r="G338">
        <v>176.4</v>
      </c>
      <c r="H338">
        <v>160.6</v>
      </c>
      <c r="I338">
        <v>171.5</v>
      </c>
      <c r="J338">
        <v>156.4</v>
      </c>
      <c r="K338">
        <v>198</v>
      </c>
      <c r="L338">
        <v>163.19999999999999</v>
      </c>
      <c r="M338">
        <v>120.6</v>
      </c>
      <c r="N338">
        <v>172.2</v>
      </c>
      <c r="O338">
        <v>156.69999999999999</v>
      </c>
      <c r="P338">
        <v>180</v>
      </c>
      <c r="Q338" s="2">
        <v>170.2</v>
      </c>
      <c r="R338" s="2">
        <v>196.5</v>
      </c>
      <c r="S338" s="2">
        <v>165.7</v>
      </c>
      <c r="T338" s="2">
        <v>150.4</v>
      </c>
      <c r="U338" s="3">
        <v>163.4</v>
      </c>
      <c r="V338" s="2" t="s">
        <v>146</v>
      </c>
      <c r="W338" s="2">
        <v>163</v>
      </c>
      <c r="X338" s="2">
        <v>157.4</v>
      </c>
      <c r="Y338" s="2">
        <v>167.2</v>
      </c>
      <c r="Z338" s="2">
        <v>153.1</v>
      </c>
      <c r="AA338" s="2">
        <v>159.5</v>
      </c>
      <c r="AB338" s="2">
        <v>162</v>
      </c>
      <c r="AC338" s="2">
        <v>164.2</v>
      </c>
      <c r="AD338" s="2">
        <v>159.4</v>
      </c>
      <c r="AE338" s="2">
        <v>165.5</v>
      </c>
    </row>
    <row r="339" spans="1:31" x14ac:dyDescent="0.2">
      <c r="A339" t="s">
        <v>30</v>
      </c>
      <c r="B339">
        <v>2022</v>
      </c>
      <c r="C339" t="s">
        <v>37</v>
      </c>
      <c r="D339" s="1">
        <f>DATE(All_India_Index_Upto_April23__1___1[[#This Row],[Year]],MATCH(All_India_Index_Upto_April23__1___1[[#This Row],[Month]],{"January","February","March","April","May","June","July","August","September","October","November","December"},0),1)</f>
        <v>44621</v>
      </c>
      <c r="E339" s="2">
        <v>150.19999999999999</v>
      </c>
      <c r="F339" s="2">
        <v>208</v>
      </c>
      <c r="G339">
        <v>167.9</v>
      </c>
      <c r="H339">
        <v>162</v>
      </c>
      <c r="I339">
        <v>203.1</v>
      </c>
      <c r="J339">
        <v>155.9</v>
      </c>
      <c r="K339">
        <v>155.80000000000001</v>
      </c>
      <c r="L339">
        <v>164.2</v>
      </c>
      <c r="M339">
        <v>118.1</v>
      </c>
      <c r="N339">
        <v>178.7</v>
      </c>
      <c r="O339">
        <v>171.2</v>
      </c>
      <c r="P339">
        <v>177.4</v>
      </c>
      <c r="Q339" s="2">
        <v>166.6</v>
      </c>
      <c r="R339" s="2">
        <v>192.3</v>
      </c>
      <c r="S339" s="2">
        <v>175.4</v>
      </c>
      <c r="T339" s="2">
        <v>173.2</v>
      </c>
      <c r="U339" s="3">
        <v>175.1</v>
      </c>
      <c r="V339" s="2"/>
      <c r="W339">
        <v>168.9</v>
      </c>
      <c r="X339" s="2">
        <v>166.5</v>
      </c>
      <c r="Y339" s="2">
        <v>176</v>
      </c>
      <c r="Z339" s="2">
        <v>162</v>
      </c>
      <c r="AA339" s="2">
        <v>166.6</v>
      </c>
      <c r="AB339" s="2">
        <v>170.6</v>
      </c>
      <c r="AC339" s="2">
        <v>167.4</v>
      </c>
      <c r="AD339" s="2">
        <v>168.3</v>
      </c>
      <c r="AE339" s="2">
        <v>168.7</v>
      </c>
    </row>
    <row r="340" spans="1:31" x14ac:dyDescent="0.2">
      <c r="A340" t="s">
        <v>32</v>
      </c>
      <c r="B340">
        <v>2022</v>
      </c>
      <c r="C340" t="s">
        <v>37</v>
      </c>
      <c r="D340" s="1">
        <f>DATE(All_India_Index_Upto_April23__1___1[[#This Row],[Year]],MATCH(All_India_Index_Upto_April23__1___1[[#This Row],[Month]],{"January","February","March","April","May","June","July","August","September","October","November","December"},0),1)</f>
        <v>44621</v>
      </c>
      <c r="E340" s="2">
        <v>153.69999999999999</v>
      </c>
      <c r="F340" s="2">
        <v>215.8</v>
      </c>
      <c r="G340">
        <v>167.7</v>
      </c>
      <c r="H340">
        <v>162.6</v>
      </c>
      <c r="I340">
        <v>180</v>
      </c>
      <c r="J340">
        <v>159.6</v>
      </c>
      <c r="K340">
        <v>188.4</v>
      </c>
      <c r="L340">
        <v>163.4</v>
      </c>
      <c r="M340">
        <v>120.3</v>
      </c>
      <c r="N340">
        <v>174.7</v>
      </c>
      <c r="O340">
        <v>157.1</v>
      </c>
      <c r="P340">
        <v>181.5</v>
      </c>
      <c r="Q340" s="2">
        <v>171.5</v>
      </c>
      <c r="R340" s="2">
        <v>197.5</v>
      </c>
      <c r="S340" s="2">
        <v>167.1</v>
      </c>
      <c r="T340" s="2">
        <v>152.6</v>
      </c>
      <c r="U340" s="3">
        <v>164.9</v>
      </c>
      <c r="V340" s="2" t="s">
        <v>147</v>
      </c>
      <c r="W340" s="2">
        <v>164.5</v>
      </c>
      <c r="X340" s="2">
        <v>158.6</v>
      </c>
      <c r="Y340" s="2">
        <v>168.2</v>
      </c>
      <c r="Z340" s="2">
        <v>154.19999999999999</v>
      </c>
      <c r="AA340" s="2">
        <v>160.80000000000001</v>
      </c>
      <c r="AB340" s="2">
        <v>162.69999999999999</v>
      </c>
      <c r="AC340" s="2">
        <v>166.8</v>
      </c>
      <c r="AD340" s="2">
        <v>160.6</v>
      </c>
      <c r="AE340" s="2">
        <v>166.5</v>
      </c>
    </row>
    <row r="341" spans="1:31" x14ac:dyDescent="0.2">
      <c r="A341" t="s">
        <v>30</v>
      </c>
      <c r="B341">
        <v>2022</v>
      </c>
      <c r="C341" t="s">
        <v>38</v>
      </c>
      <c r="D341" s="1">
        <f>DATE(All_India_Index_Upto_April23__1___1[[#This Row],[Year]],MATCH(All_India_Index_Upto_April23__1___1[[#This Row],[Month]],{"January","February","March","April","May","June","July","August","September","October","November","December"},0),1)</f>
        <v>44652</v>
      </c>
      <c r="E341" s="2">
        <v>151.80000000000001</v>
      </c>
      <c r="F341" s="2">
        <v>209.7</v>
      </c>
      <c r="G341">
        <v>164.5</v>
      </c>
      <c r="H341">
        <v>163.80000000000001</v>
      </c>
      <c r="I341">
        <v>207.4</v>
      </c>
      <c r="J341">
        <v>169.7</v>
      </c>
      <c r="K341">
        <v>153.6</v>
      </c>
      <c r="L341">
        <v>165.1</v>
      </c>
      <c r="M341">
        <v>118.2</v>
      </c>
      <c r="N341">
        <v>182.9</v>
      </c>
      <c r="O341">
        <v>172.4</v>
      </c>
      <c r="P341">
        <v>178.9</v>
      </c>
      <c r="Q341" s="2">
        <v>168.6</v>
      </c>
      <c r="R341" s="2">
        <v>192.8</v>
      </c>
      <c r="S341" s="2">
        <v>177.5</v>
      </c>
      <c r="T341" s="2">
        <v>175.1</v>
      </c>
      <c r="U341" s="3">
        <v>177.1</v>
      </c>
      <c r="V341" s="2"/>
      <c r="W341">
        <v>173.3</v>
      </c>
      <c r="X341" s="2">
        <v>167.7</v>
      </c>
      <c r="Y341" s="2">
        <v>177</v>
      </c>
      <c r="Z341" s="2">
        <v>166.2</v>
      </c>
      <c r="AA341" s="2">
        <v>167.2</v>
      </c>
      <c r="AB341" s="2">
        <v>170.9</v>
      </c>
      <c r="AC341" s="2">
        <v>169</v>
      </c>
      <c r="AD341" s="2">
        <v>170.2</v>
      </c>
      <c r="AE341" s="2">
        <v>170.8</v>
      </c>
    </row>
    <row r="342" spans="1:31" x14ac:dyDescent="0.2">
      <c r="A342" t="s">
        <v>32</v>
      </c>
      <c r="B342">
        <v>2022</v>
      </c>
      <c r="C342" t="s">
        <v>38</v>
      </c>
      <c r="D342" s="1">
        <f>DATE(All_India_Index_Upto_April23__1___1[[#This Row],[Year]],MATCH(All_India_Index_Upto_April23__1___1[[#This Row],[Month]],{"January","February","March","April","May","June","July","August","September","October","November","December"},0),1)</f>
        <v>44652</v>
      </c>
      <c r="E342" s="2">
        <v>155.4</v>
      </c>
      <c r="F342" s="2">
        <v>215.8</v>
      </c>
      <c r="G342">
        <v>164.6</v>
      </c>
      <c r="H342">
        <v>164.2</v>
      </c>
      <c r="I342">
        <v>186</v>
      </c>
      <c r="J342">
        <v>175.9</v>
      </c>
      <c r="K342">
        <v>190.7</v>
      </c>
      <c r="L342">
        <v>164</v>
      </c>
      <c r="M342">
        <v>120.5</v>
      </c>
      <c r="N342">
        <v>178</v>
      </c>
      <c r="O342">
        <v>157.5</v>
      </c>
      <c r="P342">
        <v>183.3</v>
      </c>
      <c r="Q342" s="2">
        <v>174.5</v>
      </c>
      <c r="R342" s="2">
        <v>197.1</v>
      </c>
      <c r="S342" s="2">
        <v>168.4</v>
      </c>
      <c r="T342" s="2">
        <v>154.5</v>
      </c>
      <c r="U342" s="3">
        <v>166.3</v>
      </c>
      <c r="V342" s="2" t="s">
        <v>148</v>
      </c>
      <c r="W342" s="2">
        <v>170.5</v>
      </c>
      <c r="X342" s="2">
        <v>159.80000000000001</v>
      </c>
      <c r="Y342" s="2">
        <v>169</v>
      </c>
      <c r="Z342" s="2">
        <v>159.30000000000001</v>
      </c>
      <c r="AA342" s="2">
        <v>162.19999999999999</v>
      </c>
      <c r="AB342" s="2">
        <v>164</v>
      </c>
      <c r="AC342" s="2">
        <v>168.4</v>
      </c>
      <c r="AD342" s="2">
        <v>163.1</v>
      </c>
      <c r="AE342" s="2">
        <v>169.2</v>
      </c>
    </row>
    <row r="343" spans="1:31" x14ac:dyDescent="0.2">
      <c r="A343" t="s">
        <v>30</v>
      </c>
      <c r="B343">
        <v>2022</v>
      </c>
      <c r="C343" t="s">
        <v>40</v>
      </c>
      <c r="D343" s="1">
        <f>DATE(All_India_Index_Upto_April23__1___1[[#This Row],[Year]],MATCH(All_India_Index_Upto_April23__1___1[[#This Row],[Month]],{"January","February","March","April","May","June","July","August","September","October","November","December"},0),1)</f>
        <v>44682</v>
      </c>
      <c r="E343" s="2">
        <v>152.9</v>
      </c>
      <c r="F343" s="2">
        <v>214.7</v>
      </c>
      <c r="G343">
        <v>161.4</v>
      </c>
      <c r="H343">
        <v>164.6</v>
      </c>
      <c r="I343">
        <v>209.9</v>
      </c>
      <c r="J343">
        <v>168</v>
      </c>
      <c r="K343">
        <v>160.4</v>
      </c>
      <c r="L343">
        <v>165</v>
      </c>
      <c r="M343">
        <v>118.9</v>
      </c>
      <c r="N343">
        <v>186.6</v>
      </c>
      <c r="O343">
        <v>173.2</v>
      </c>
      <c r="P343">
        <v>180.4</v>
      </c>
      <c r="Q343" s="2">
        <v>170.8</v>
      </c>
      <c r="R343" s="2">
        <v>192.9</v>
      </c>
      <c r="S343" s="2">
        <v>179.3</v>
      </c>
      <c r="T343" s="2">
        <v>177.2</v>
      </c>
      <c r="U343" s="3">
        <v>179</v>
      </c>
      <c r="V343" s="2"/>
      <c r="W343">
        <v>175.3</v>
      </c>
      <c r="X343" s="2">
        <v>168.9</v>
      </c>
      <c r="Y343" s="2">
        <v>177.7</v>
      </c>
      <c r="Z343" s="2">
        <v>167.1</v>
      </c>
      <c r="AA343" s="2">
        <v>167.6</v>
      </c>
      <c r="AB343" s="2">
        <v>171.8</v>
      </c>
      <c r="AC343" s="2">
        <v>168.5</v>
      </c>
      <c r="AD343" s="2">
        <v>170.9</v>
      </c>
      <c r="AE343" s="2">
        <v>172.5</v>
      </c>
    </row>
    <row r="344" spans="1:31" x14ac:dyDescent="0.2">
      <c r="A344" t="s">
        <v>32</v>
      </c>
      <c r="B344">
        <v>2022</v>
      </c>
      <c r="C344" t="s">
        <v>40</v>
      </c>
      <c r="D344" s="1">
        <f>DATE(All_India_Index_Upto_April23__1___1[[#This Row],[Year]],MATCH(All_India_Index_Upto_April23__1___1[[#This Row],[Month]],{"January","February","March","April","May","June","July","August","September","October","November","December"},0),1)</f>
        <v>44682</v>
      </c>
      <c r="E344" s="2">
        <v>156.69999999999999</v>
      </c>
      <c r="F344" s="2">
        <v>221.2</v>
      </c>
      <c r="G344">
        <v>164.1</v>
      </c>
      <c r="H344">
        <v>165.4</v>
      </c>
      <c r="I344">
        <v>189.5</v>
      </c>
      <c r="J344">
        <v>174.5</v>
      </c>
      <c r="K344">
        <v>203.2</v>
      </c>
      <c r="L344">
        <v>164.1</v>
      </c>
      <c r="M344">
        <v>121.2</v>
      </c>
      <c r="N344">
        <v>181.4</v>
      </c>
      <c r="O344">
        <v>158.5</v>
      </c>
      <c r="P344">
        <v>184.9</v>
      </c>
      <c r="Q344" s="2">
        <v>177.5</v>
      </c>
      <c r="R344" s="2">
        <v>197.5</v>
      </c>
      <c r="S344" s="2">
        <v>170</v>
      </c>
      <c r="T344" s="2">
        <v>155.9</v>
      </c>
      <c r="U344" s="3">
        <v>167.8</v>
      </c>
      <c r="V344" s="2" t="s">
        <v>149</v>
      </c>
      <c r="W344" s="2">
        <v>173.5</v>
      </c>
      <c r="X344" s="2">
        <v>161.1</v>
      </c>
      <c r="Y344" s="2">
        <v>170.1</v>
      </c>
      <c r="Z344" s="2">
        <v>159.4</v>
      </c>
      <c r="AA344" s="2">
        <v>163.19999999999999</v>
      </c>
      <c r="AB344" s="2">
        <v>165.2</v>
      </c>
      <c r="AC344" s="2">
        <v>168.2</v>
      </c>
      <c r="AD344" s="2">
        <v>163.80000000000001</v>
      </c>
      <c r="AE344" s="2">
        <v>170.8</v>
      </c>
    </row>
    <row r="345" spans="1:31" x14ac:dyDescent="0.2">
      <c r="A345" t="s">
        <v>30</v>
      </c>
      <c r="B345">
        <v>2022</v>
      </c>
      <c r="C345" t="s">
        <v>41</v>
      </c>
      <c r="D345" s="1">
        <f>DATE(All_India_Index_Upto_April23__1___1[[#This Row],[Year]],MATCH(All_India_Index_Upto_April23__1___1[[#This Row],[Month]],{"January","February","March","April","May","June","July","August","September","October","November","December"},0),1)</f>
        <v>44713</v>
      </c>
      <c r="E345" s="2">
        <v>153.80000000000001</v>
      </c>
      <c r="F345" s="2">
        <v>217.2</v>
      </c>
      <c r="G345">
        <v>169.6</v>
      </c>
      <c r="H345">
        <v>165.4</v>
      </c>
      <c r="I345">
        <v>208.1</v>
      </c>
      <c r="J345">
        <v>165.8</v>
      </c>
      <c r="K345">
        <v>167.3</v>
      </c>
      <c r="L345">
        <v>164.6</v>
      </c>
      <c r="M345">
        <v>119.1</v>
      </c>
      <c r="N345">
        <v>188.9</v>
      </c>
      <c r="O345">
        <v>174.2</v>
      </c>
      <c r="P345">
        <v>181.9</v>
      </c>
      <c r="Q345" s="2">
        <v>172.4</v>
      </c>
      <c r="R345" s="2">
        <v>192.9</v>
      </c>
      <c r="S345" s="2">
        <v>180.7</v>
      </c>
      <c r="T345" s="2">
        <v>178.7</v>
      </c>
      <c r="U345" s="3">
        <v>180.4</v>
      </c>
      <c r="V345" s="2"/>
      <c r="W345">
        <v>176.7</v>
      </c>
      <c r="X345" s="2">
        <v>170.3</v>
      </c>
      <c r="Y345" s="2">
        <v>178.2</v>
      </c>
      <c r="Z345" s="2">
        <v>165.5</v>
      </c>
      <c r="AA345" s="2">
        <v>168</v>
      </c>
      <c r="AB345" s="2">
        <v>172.6</v>
      </c>
      <c r="AC345" s="2">
        <v>169.5</v>
      </c>
      <c r="AD345" s="2">
        <v>171</v>
      </c>
      <c r="AE345" s="2">
        <v>173.6</v>
      </c>
    </row>
    <row r="346" spans="1:31" x14ac:dyDescent="0.2">
      <c r="A346" t="s">
        <v>32</v>
      </c>
      <c r="B346">
        <v>2022</v>
      </c>
      <c r="C346" t="s">
        <v>41</v>
      </c>
      <c r="D346" s="1">
        <f>DATE(All_India_Index_Upto_April23__1___1[[#This Row],[Year]],MATCH(All_India_Index_Upto_April23__1___1[[#This Row],[Month]],{"January","February","March","April","May","June","July","August","September","October","November","December"},0),1)</f>
        <v>44713</v>
      </c>
      <c r="E346" s="2">
        <v>157.5</v>
      </c>
      <c r="F346" s="2">
        <v>223.4</v>
      </c>
      <c r="G346">
        <v>172.8</v>
      </c>
      <c r="H346">
        <v>166.4</v>
      </c>
      <c r="I346">
        <v>188.6</v>
      </c>
      <c r="J346">
        <v>174.1</v>
      </c>
      <c r="K346">
        <v>211.5</v>
      </c>
      <c r="L346">
        <v>163.6</v>
      </c>
      <c r="M346">
        <v>121.4</v>
      </c>
      <c r="N346">
        <v>183.5</v>
      </c>
      <c r="O346">
        <v>159.1</v>
      </c>
      <c r="P346">
        <v>186.3</v>
      </c>
      <c r="Q346" s="2">
        <v>179.3</v>
      </c>
      <c r="R346" s="2">
        <v>198.3</v>
      </c>
      <c r="S346" s="2">
        <v>171.6</v>
      </c>
      <c r="T346" s="2">
        <v>157.4</v>
      </c>
      <c r="U346" s="3">
        <v>169.4</v>
      </c>
      <c r="V346" s="2" t="s">
        <v>150</v>
      </c>
      <c r="W346" s="2">
        <v>174.9</v>
      </c>
      <c r="X346" s="2">
        <v>162.1</v>
      </c>
      <c r="Y346" s="2">
        <v>170.9</v>
      </c>
      <c r="Z346" s="2">
        <v>157.19999999999999</v>
      </c>
      <c r="AA346" s="2">
        <v>164.1</v>
      </c>
      <c r="AB346" s="2">
        <v>166.5</v>
      </c>
      <c r="AC346" s="2">
        <v>169.2</v>
      </c>
      <c r="AD346" s="2">
        <v>163.80000000000001</v>
      </c>
      <c r="AE346" s="2">
        <v>171.4</v>
      </c>
    </row>
    <row r="347" spans="1:31" x14ac:dyDescent="0.2">
      <c r="A347" t="s">
        <v>30</v>
      </c>
      <c r="B347">
        <v>2022</v>
      </c>
      <c r="C347" t="s">
        <v>43</v>
      </c>
      <c r="D347" s="1">
        <f>DATE(All_India_Index_Upto_April23__1___1[[#This Row],[Year]],MATCH(All_India_Index_Upto_April23__1___1[[#This Row],[Month]],{"January","February","March","April","May","June","July","August","September","October","November","December"},0),1)</f>
        <v>44743</v>
      </c>
      <c r="E347" s="2">
        <v>155.19999999999999</v>
      </c>
      <c r="F347" s="2">
        <v>210.8</v>
      </c>
      <c r="G347">
        <v>174.3</v>
      </c>
      <c r="H347">
        <v>166.3</v>
      </c>
      <c r="I347">
        <v>202.2</v>
      </c>
      <c r="J347">
        <v>169.6</v>
      </c>
      <c r="K347">
        <v>168.6</v>
      </c>
      <c r="L347">
        <v>164.4</v>
      </c>
      <c r="M347">
        <v>119.2</v>
      </c>
      <c r="N347">
        <v>191.8</v>
      </c>
      <c r="O347">
        <v>174.5</v>
      </c>
      <c r="P347">
        <v>183.1</v>
      </c>
      <c r="Q347" s="2">
        <v>172.5</v>
      </c>
      <c r="R347" s="2">
        <v>193.2</v>
      </c>
      <c r="S347" s="2">
        <v>182</v>
      </c>
      <c r="T347" s="2">
        <v>180.3</v>
      </c>
      <c r="U347" s="3">
        <v>181.7</v>
      </c>
      <c r="V347" s="2"/>
      <c r="W347">
        <v>179.6</v>
      </c>
      <c r="X347" s="2">
        <v>171.3</v>
      </c>
      <c r="Y347" s="2">
        <v>178.8</v>
      </c>
      <c r="Z347" s="2">
        <v>166.3</v>
      </c>
      <c r="AA347" s="2">
        <v>168.6</v>
      </c>
      <c r="AB347" s="2">
        <v>174.7</v>
      </c>
      <c r="AC347" s="2">
        <v>169.7</v>
      </c>
      <c r="AD347" s="2">
        <v>171.8</v>
      </c>
      <c r="AE347" s="2">
        <v>174.3</v>
      </c>
    </row>
    <row r="348" spans="1:31" x14ac:dyDescent="0.2">
      <c r="A348" t="s">
        <v>32</v>
      </c>
      <c r="B348">
        <v>2022</v>
      </c>
      <c r="C348" t="s">
        <v>43</v>
      </c>
      <c r="D348" s="1">
        <f>DATE(All_India_Index_Upto_April23__1___1[[#This Row],[Year]],MATCH(All_India_Index_Upto_April23__1___1[[#This Row],[Month]],{"January","February","March","April","May","June","July","August","September","October","November","December"},0),1)</f>
        <v>44743</v>
      </c>
      <c r="E348" s="2">
        <v>159.30000000000001</v>
      </c>
      <c r="F348" s="2">
        <v>217.1</v>
      </c>
      <c r="G348">
        <v>176.6</v>
      </c>
      <c r="H348">
        <v>167.1</v>
      </c>
      <c r="I348">
        <v>184.8</v>
      </c>
      <c r="J348">
        <v>179.5</v>
      </c>
      <c r="K348">
        <v>208.5</v>
      </c>
      <c r="L348">
        <v>164</v>
      </c>
      <c r="M348">
        <v>121.5</v>
      </c>
      <c r="N348">
        <v>186.3</v>
      </c>
      <c r="O348">
        <v>159.80000000000001</v>
      </c>
      <c r="P348">
        <v>187.7</v>
      </c>
      <c r="Q348" s="2">
        <v>179.4</v>
      </c>
      <c r="R348" s="2">
        <v>198.6</v>
      </c>
      <c r="S348" s="2">
        <v>172.7</v>
      </c>
      <c r="T348" s="2">
        <v>158.69999999999999</v>
      </c>
      <c r="U348" s="3">
        <v>170.6</v>
      </c>
      <c r="V348" s="2" t="s">
        <v>151</v>
      </c>
      <c r="W348" s="2">
        <v>179.5</v>
      </c>
      <c r="X348" s="2">
        <v>163.1</v>
      </c>
      <c r="Y348" s="2">
        <v>171.7</v>
      </c>
      <c r="Z348" s="2">
        <v>157.4</v>
      </c>
      <c r="AA348" s="2">
        <v>164.6</v>
      </c>
      <c r="AB348" s="2">
        <v>169.1</v>
      </c>
      <c r="AC348" s="2">
        <v>169.8</v>
      </c>
      <c r="AD348" s="2">
        <v>164.7</v>
      </c>
      <c r="AE348" s="2">
        <v>172.3</v>
      </c>
    </row>
    <row r="349" spans="1:31" x14ac:dyDescent="0.2">
      <c r="A349" t="s">
        <v>30</v>
      </c>
      <c r="B349">
        <v>2022</v>
      </c>
      <c r="C349" t="s">
        <v>45</v>
      </c>
      <c r="D349" s="1">
        <f>DATE(All_India_Index_Upto_April23__1___1[[#This Row],[Year]],MATCH(All_India_Index_Upto_April23__1___1[[#This Row],[Month]],{"January","February","March","April","May","June","July","August","September","October","November","December"},0),1)</f>
        <v>44774</v>
      </c>
      <c r="E349" s="2">
        <v>159.5</v>
      </c>
      <c r="F349" s="2">
        <v>204.1</v>
      </c>
      <c r="G349">
        <v>168.3</v>
      </c>
      <c r="H349">
        <v>167.9</v>
      </c>
      <c r="I349">
        <v>198.1</v>
      </c>
      <c r="J349">
        <v>169.2</v>
      </c>
      <c r="K349">
        <v>173.1</v>
      </c>
      <c r="L349">
        <v>167.1</v>
      </c>
      <c r="M349">
        <v>120.2</v>
      </c>
      <c r="N349">
        <v>195.6</v>
      </c>
      <c r="O349">
        <v>174.8</v>
      </c>
      <c r="P349">
        <v>184</v>
      </c>
      <c r="Q349" s="2">
        <v>173.9</v>
      </c>
      <c r="R349" s="2">
        <v>193.7</v>
      </c>
      <c r="S349" s="2">
        <v>183.2</v>
      </c>
      <c r="T349" s="2">
        <v>181.7</v>
      </c>
      <c r="U349" s="3">
        <v>183</v>
      </c>
      <c r="V349" s="2"/>
      <c r="W349">
        <v>179.1</v>
      </c>
      <c r="X349" s="2">
        <v>172.3</v>
      </c>
      <c r="Y349" s="2">
        <v>179.4</v>
      </c>
      <c r="Z349" s="2">
        <v>166.6</v>
      </c>
      <c r="AA349" s="2">
        <v>169.3</v>
      </c>
      <c r="AB349" s="2">
        <v>175.7</v>
      </c>
      <c r="AC349" s="2">
        <v>171.1</v>
      </c>
      <c r="AD349" s="2">
        <v>172.6</v>
      </c>
      <c r="AE349" s="2">
        <v>175.3</v>
      </c>
    </row>
    <row r="350" spans="1:31" x14ac:dyDescent="0.2">
      <c r="A350" t="s">
        <v>32</v>
      </c>
      <c r="B350">
        <v>2022</v>
      </c>
      <c r="C350" t="s">
        <v>45</v>
      </c>
      <c r="D350" s="1">
        <f>DATE(All_India_Index_Upto_April23__1___1[[#This Row],[Year]],MATCH(All_India_Index_Upto_April23__1___1[[#This Row],[Month]],{"January","February","March","April","May","June","July","August","September","October","November","December"},0),1)</f>
        <v>44774</v>
      </c>
      <c r="E350" s="2">
        <v>162.1</v>
      </c>
      <c r="F350" s="2">
        <v>210.9</v>
      </c>
      <c r="G350">
        <v>170.6</v>
      </c>
      <c r="H350">
        <v>168.4</v>
      </c>
      <c r="I350">
        <v>182.5</v>
      </c>
      <c r="J350">
        <v>177.1</v>
      </c>
      <c r="K350">
        <v>213.1</v>
      </c>
      <c r="L350">
        <v>167.3</v>
      </c>
      <c r="M350">
        <v>122.2</v>
      </c>
      <c r="N350">
        <v>189.7</v>
      </c>
      <c r="O350">
        <v>160.5</v>
      </c>
      <c r="P350">
        <v>188.9</v>
      </c>
      <c r="Q350" s="2">
        <v>180.4</v>
      </c>
      <c r="R350" s="2">
        <v>198.7</v>
      </c>
      <c r="S350" s="2">
        <v>173.7</v>
      </c>
      <c r="T350" s="2">
        <v>160</v>
      </c>
      <c r="U350" s="3">
        <v>171.6</v>
      </c>
      <c r="V350" s="2" t="s">
        <v>152</v>
      </c>
      <c r="W350" s="2">
        <v>178.4</v>
      </c>
      <c r="X350" s="2">
        <v>164.2</v>
      </c>
      <c r="Y350" s="2">
        <v>172.6</v>
      </c>
      <c r="Z350" s="2">
        <v>157.69999999999999</v>
      </c>
      <c r="AA350" s="2">
        <v>165.1</v>
      </c>
      <c r="AB350" s="2">
        <v>169.9</v>
      </c>
      <c r="AC350" s="2">
        <v>171.4</v>
      </c>
      <c r="AD350" s="2">
        <v>165.4</v>
      </c>
      <c r="AE350" s="2">
        <v>173.1</v>
      </c>
    </row>
    <row r="351" spans="1:31" x14ac:dyDescent="0.2">
      <c r="A351" t="s">
        <v>30</v>
      </c>
      <c r="B351">
        <v>2022</v>
      </c>
      <c r="C351" t="s">
        <v>47</v>
      </c>
      <c r="D351" s="1">
        <f>DATE(All_India_Index_Upto_April23__1___1[[#This Row],[Year]],MATCH(All_India_Index_Upto_April23__1___1[[#This Row],[Month]],{"January","February","March","April","May","June","July","August","September","October","November","December"},0),1)</f>
        <v>44805</v>
      </c>
      <c r="E351" s="2">
        <v>162.9</v>
      </c>
      <c r="F351" s="2">
        <v>206.7</v>
      </c>
      <c r="G351">
        <v>169</v>
      </c>
      <c r="H351">
        <v>169.5</v>
      </c>
      <c r="I351">
        <v>194.1</v>
      </c>
      <c r="J351">
        <v>164.1</v>
      </c>
      <c r="K351">
        <v>176.9</v>
      </c>
      <c r="L351">
        <v>169</v>
      </c>
      <c r="M351">
        <v>120.8</v>
      </c>
      <c r="N351">
        <v>199.1</v>
      </c>
      <c r="O351">
        <v>175.4</v>
      </c>
      <c r="P351">
        <v>184.8</v>
      </c>
      <c r="Q351" s="2">
        <v>175.5</v>
      </c>
      <c r="R351" s="2">
        <v>194.5</v>
      </c>
      <c r="S351" s="2">
        <v>184.7</v>
      </c>
      <c r="T351" s="2">
        <v>183.3</v>
      </c>
      <c r="U351" s="3">
        <v>184.5</v>
      </c>
      <c r="V351" s="2"/>
      <c r="W351">
        <v>179.7</v>
      </c>
      <c r="X351" s="2">
        <v>173.6</v>
      </c>
      <c r="Y351" s="2">
        <v>180.2</v>
      </c>
      <c r="Z351" s="2">
        <v>166.9</v>
      </c>
      <c r="AA351" s="2">
        <v>170</v>
      </c>
      <c r="AB351" s="2">
        <v>176.2</v>
      </c>
      <c r="AC351" s="2">
        <v>170.8</v>
      </c>
      <c r="AD351" s="2">
        <v>173.1</v>
      </c>
      <c r="AE351" s="2">
        <v>176.4</v>
      </c>
    </row>
    <row r="352" spans="1:31" x14ac:dyDescent="0.2">
      <c r="A352" t="s">
        <v>32</v>
      </c>
      <c r="B352">
        <v>2022</v>
      </c>
      <c r="C352" t="s">
        <v>47</v>
      </c>
      <c r="D352" s="1">
        <f>DATE(All_India_Index_Upto_April23__1___1[[#This Row],[Year]],MATCH(All_India_Index_Upto_April23__1___1[[#This Row],[Month]],{"January","February","March","April","May","June","July","August","September","October","November","December"},0),1)</f>
        <v>44805</v>
      </c>
      <c r="E352" s="2">
        <v>164.9</v>
      </c>
      <c r="F352" s="2">
        <v>213.7</v>
      </c>
      <c r="G352">
        <v>170.9</v>
      </c>
      <c r="H352">
        <v>170.1</v>
      </c>
      <c r="I352">
        <v>179.3</v>
      </c>
      <c r="J352">
        <v>167.5</v>
      </c>
      <c r="K352">
        <v>220.8</v>
      </c>
      <c r="L352">
        <v>169.2</v>
      </c>
      <c r="M352">
        <v>123.1</v>
      </c>
      <c r="N352">
        <v>193.6</v>
      </c>
      <c r="O352">
        <v>161.1</v>
      </c>
      <c r="P352">
        <v>190.4</v>
      </c>
      <c r="Q352" s="2">
        <v>181.8</v>
      </c>
      <c r="R352" s="2">
        <v>199.7</v>
      </c>
      <c r="S352" s="2">
        <v>175</v>
      </c>
      <c r="T352" s="2">
        <v>161.69999999999999</v>
      </c>
      <c r="U352" s="3">
        <v>173</v>
      </c>
      <c r="V352" s="2" t="s">
        <v>153</v>
      </c>
      <c r="W352" s="2">
        <v>179.2</v>
      </c>
      <c r="X352" s="2">
        <v>165</v>
      </c>
      <c r="Y352" s="2">
        <v>173.8</v>
      </c>
      <c r="Z352" s="2">
        <v>158.19999999999999</v>
      </c>
      <c r="AA352" s="2">
        <v>165.8</v>
      </c>
      <c r="AB352" s="2">
        <v>170.9</v>
      </c>
      <c r="AC352" s="2">
        <v>171.1</v>
      </c>
      <c r="AD352" s="2">
        <v>166.1</v>
      </c>
      <c r="AE352" s="2">
        <v>174.1</v>
      </c>
    </row>
    <row r="353" spans="1:31" x14ac:dyDescent="0.2">
      <c r="A353" t="s">
        <v>30</v>
      </c>
      <c r="B353">
        <v>2022</v>
      </c>
      <c r="C353" t="s">
        <v>49</v>
      </c>
      <c r="D353" s="1">
        <f>DATE(All_India_Index_Upto_April23__1___1[[#This Row],[Year]],MATCH(All_India_Index_Upto_April23__1___1[[#This Row],[Month]],{"January","February","March","April","May","June","July","August","September","October","November","December"},0),1)</f>
        <v>44835</v>
      </c>
      <c r="E353" s="2">
        <v>164.7</v>
      </c>
      <c r="F353" s="2">
        <v>208.8</v>
      </c>
      <c r="G353">
        <v>170.3</v>
      </c>
      <c r="H353">
        <v>170.9</v>
      </c>
      <c r="I353">
        <v>191.6</v>
      </c>
      <c r="J353">
        <v>162.19999999999999</v>
      </c>
      <c r="K353">
        <v>184.8</v>
      </c>
      <c r="L353">
        <v>169.7</v>
      </c>
      <c r="M353">
        <v>121.1</v>
      </c>
      <c r="N353">
        <v>201.6</v>
      </c>
      <c r="O353">
        <v>175.8</v>
      </c>
      <c r="P353">
        <v>185.6</v>
      </c>
      <c r="Q353" s="2">
        <v>177.4</v>
      </c>
      <c r="R353" s="2">
        <v>194.9</v>
      </c>
      <c r="S353" s="2">
        <v>186.1</v>
      </c>
      <c r="T353" s="2">
        <v>184.4</v>
      </c>
      <c r="U353" s="3">
        <v>185.9</v>
      </c>
      <c r="V353" s="2"/>
      <c r="W353">
        <v>180.8</v>
      </c>
      <c r="X353" s="2">
        <v>174.4</v>
      </c>
      <c r="Y353" s="2">
        <v>181.2</v>
      </c>
      <c r="Z353" s="2">
        <v>167.4</v>
      </c>
      <c r="AA353" s="2">
        <v>170.6</v>
      </c>
      <c r="AB353" s="2">
        <v>176.5</v>
      </c>
      <c r="AC353" s="2">
        <v>172</v>
      </c>
      <c r="AD353" s="2">
        <v>173.9</v>
      </c>
      <c r="AE353" s="2">
        <v>177.9</v>
      </c>
    </row>
    <row r="354" spans="1:31" x14ac:dyDescent="0.2">
      <c r="A354" t="s">
        <v>32</v>
      </c>
      <c r="B354">
        <v>2022</v>
      </c>
      <c r="C354" t="s">
        <v>49</v>
      </c>
      <c r="D354" s="1">
        <f>DATE(All_India_Index_Upto_April23__1___1[[#This Row],[Year]],MATCH(All_India_Index_Upto_April23__1___1[[#This Row],[Month]],{"January","February","March","April","May","June","July","August","September","October","November","December"},0),1)</f>
        <v>44835</v>
      </c>
      <c r="E354" s="2">
        <v>166.4</v>
      </c>
      <c r="F354" s="2">
        <v>214.9</v>
      </c>
      <c r="G354">
        <v>171.9</v>
      </c>
      <c r="H354">
        <v>171</v>
      </c>
      <c r="I354">
        <v>177.7</v>
      </c>
      <c r="J354">
        <v>165.7</v>
      </c>
      <c r="K354">
        <v>228.6</v>
      </c>
      <c r="L354">
        <v>169.9</v>
      </c>
      <c r="M354">
        <v>123.4</v>
      </c>
      <c r="N354">
        <v>196.4</v>
      </c>
      <c r="O354">
        <v>161.6</v>
      </c>
      <c r="P354">
        <v>191.5</v>
      </c>
      <c r="Q354" s="2">
        <v>183.3</v>
      </c>
      <c r="R354" s="2">
        <v>200.1</v>
      </c>
      <c r="S354" s="2">
        <v>175.5</v>
      </c>
      <c r="T354" s="2">
        <v>162.6</v>
      </c>
      <c r="U354" s="3">
        <v>173.6</v>
      </c>
      <c r="V354" s="2" t="s">
        <v>154</v>
      </c>
      <c r="W354" s="2">
        <v>180</v>
      </c>
      <c r="X354" s="2">
        <v>166</v>
      </c>
      <c r="Y354" s="2">
        <v>174.7</v>
      </c>
      <c r="Z354" s="2">
        <v>158.80000000000001</v>
      </c>
      <c r="AA354" s="2">
        <v>166.3</v>
      </c>
      <c r="AB354" s="2">
        <v>171.2</v>
      </c>
      <c r="AC354" s="2">
        <v>172.3</v>
      </c>
      <c r="AD354" s="2">
        <v>166.8</v>
      </c>
      <c r="AE354" s="2">
        <v>175.3</v>
      </c>
    </row>
    <row r="355" spans="1:31" x14ac:dyDescent="0.2">
      <c r="A355" t="s">
        <v>30</v>
      </c>
      <c r="B355">
        <v>2022</v>
      </c>
      <c r="C355" t="s">
        <v>51</v>
      </c>
      <c r="D355" s="1">
        <f>DATE(All_India_Index_Upto_April23__1___1[[#This Row],[Year]],MATCH(All_India_Index_Upto_April23__1___1[[#This Row],[Month]],{"January","February","March","April","May","June","July","August","September","October","November","December"},0),1)</f>
        <v>44866</v>
      </c>
      <c r="E355" s="2">
        <v>166.9</v>
      </c>
      <c r="F355" s="2">
        <v>207.2</v>
      </c>
      <c r="G355">
        <v>180.2</v>
      </c>
      <c r="H355">
        <v>172.3</v>
      </c>
      <c r="I355">
        <v>194</v>
      </c>
      <c r="J355">
        <v>159.1</v>
      </c>
      <c r="K355">
        <v>171.6</v>
      </c>
      <c r="L355">
        <v>170.2</v>
      </c>
      <c r="M355">
        <v>121.5</v>
      </c>
      <c r="N355">
        <v>204.8</v>
      </c>
      <c r="O355">
        <v>176.4</v>
      </c>
      <c r="P355">
        <v>186.9</v>
      </c>
      <c r="Q355" s="2">
        <v>176.6</v>
      </c>
      <c r="R355" s="2">
        <v>195.5</v>
      </c>
      <c r="S355" s="2">
        <v>187.2</v>
      </c>
      <c r="T355" s="2">
        <v>185.2</v>
      </c>
      <c r="U355" s="3">
        <v>186.9</v>
      </c>
      <c r="V355" s="2"/>
      <c r="W355">
        <v>181.9</v>
      </c>
      <c r="X355" s="2">
        <v>175.5</v>
      </c>
      <c r="Y355" s="2">
        <v>182.3</v>
      </c>
      <c r="Z355" s="2">
        <v>167.5</v>
      </c>
      <c r="AA355" s="2">
        <v>170.8</v>
      </c>
      <c r="AB355" s="2">
        <v>176.9</v>
      </c>
      <c r="AC355" s="2">
        <v>173.4</v>
      </c>
      <c r="AD355" s="2">
        <v>174.6</v>
      </c>
      <c r="AE355" s="2">
        <v>177.8</v>
      </c>
    </row>
    <row r="356" spans="1:31" x14ac:dyDescent="0.2">
      <c r="A356" t="s">
        <v>32</v>
      </c>
      <c r="B356">
        <v>2022</v>
      </c>
      <c r="C356" t="s">
        <v>51</v>
      </c>
      <c r="D356" s="1">
        <f>DATE(All_India_Index_Upto_April23__1___1[[#This Row],[Year]],MATCH(All_India_Index_Upto_April23__1___1[[#This Row],[Month]],{"January","February","March","April","May","June","July","August","September","October","November","December"},0),1)</f>
        <v>44866</v>
      </c>
      <c r="E356" s="2">
        <v>168.4</v>
      </c>
      <c r="F356" s="2">
        <v>213.4</v>
      </c>
      <c r="G356">
        <v>183.2</v>
      </c>
      <c r="H356">
        <v>172.3</v>
      </c>
      <c r="I356">
        <v>180</v>
      </c>
      <c r="J356">
        <v>162.6</v>
      </c>
      <c r="K356">
        <v>205.5</v>
      </c>
      <c r="L356">
        <v>171</v>
      </c>
      <c r="M356">
        <v>123.4</v>
      </c>
      <c r="N356">
        <v>198.8</v>
      </c>
      <c r="O356">
        <v>162.1</v>
      </c>
      <c r="P356">
        <v>192.4</v>
      </c>
      <c r="Q356" s="2">
        <v>181.3</v>
      </c>
      <c r="R356" s="2">
        <v>200.6</v>
      </c>
      <c r="S356" s="2">
        <v>176.7</v>
      </c>
      <c r="T356" s="2">
        <v>163.5</v>
      </c>
      <c r="U356" s="3">
        <v>174.7</v>
      </c>
      <c r="V356" s="2" t="s">
        <v>155</v>
      </c>
      <c r="W356" s="2">
        <v>180.3</v>
      </c>
      <c r="X356" s="2">
        <v>166.9</v>
      </c>
      <c r="Y356" s="2">
        <v>175.8</v>
      </c>
      <c r="Z356" s="2">
        <v>158.9</v>
      </c>
      <c r="AA356" s="2">
        <v>166.7</v>
      </c>
      <c r="AB356" s="2">
        <v>171.5</v>
      </c>
      <c r="AC356" s="2">
        <v>173.8</v>
      </c>
      <c r="AD356" s="2">
        <v>167.4</v>
      </c>
      <c r="AE356" s="2">
        <v>174.1</v>
      </c>
    </row>
    <row r="357" spans="1:31" x14ac:dyDescent="0.2">
      <c r="A357" t="s">
        <v>30</v>
      </c>
      <c r="B357">
        <v>2022</v>
      </c>
      <c r="C357" t="s">
        <v>53</v>
      </c>
      <c r="D357" s="1">
        <f>DATE(All_India_Index_Upto_April23__1___1[[#This Row],[Year]],MATCH(All_India_Index_Upto_April23__1___1[[#This Row],[Month]],{"January","February","March","April","May","June","July","August","September","October","November","December"},0),1)</f>
        <v>44896</v>
      </c>
      <c r="E357" s="2">
        <v>168.8</v>
      </c>
      <c r="F357" s="2">
        <v>206.9</v>
      </c>
      <c r="G357">
        <v>189.1</v>
      </c>
      <c r="H357">
        <v>173.4</v>
      </c>
      <c r="I357">
        <v>193.9</v>
      </c>
      <c r="J357">
        <v>156.69999999999999</v>
      </c>
      <c r="K357">
        <v>150.19999999999999</v>
      </c>
      <c r="L357">
        <v>170.5</v>
      </c>
      <c r="M357">
        <v>121.2</v>
      </c>
      <c r="N357">
        <v>207.5</v>
      </c>
      <c r="O357">
        <v>176.8</v>
      </c>
      <c r="P357">
        <v>187.7</v>
      </c>
      <c r="Q357" s="2">
        <v>174.4</v>
      </c>
      <c r="R357" s="2">
        <v>195.9</v>
      </c>
      <c r="S357" s="2">
        <v>188.1</v>
      </c>
      <c r="T357" s="2">
        <v>185.9</v>
      </c>
      <c r="U357" s="3">
        <v>187.8</v>
      </c>
      <c r="V357" s="2"/>
      <c r="W357">
        <v>182.8</v>
      </c>
      <c r="X357" s="2">
        <v>176.4</v>
      </c>
      <c r="Y357" s="2">
        <v>183.5</v>
      </c>
      <c r="Z357" s="2">
        <v>167.8</v>
      </c>
      <c r="AA357" s="2">
        <v>171.2</v>
      </c>
      <c r="AB357" s="2">
        <v>177.3</v>
      </c>
      <c r="AC357" s="2">
        <v>175.7</v>
      </c>
      <c r="AD357" s="2">
        <v>175.5</v>
      </c>
      <c r="AE357" s="2">
        <v>177.1</v>
      </c>
    </row>
    <row r="358" spans="1:31" x14ac:dyDescent="0.2">
      <c r="A358" t="s">
        <v>32</v>
      </c>
      <c r="B358">
        <v>2022</v>
      </c>
      <c r="C358" t="s">
        <v>53</v>
      </c>
      <c r="D358" s="1">
        <f>DATE(All_India_Index_Upto_April23__1___1[[#This Row],[Year]],MATCH(All_India_Index_Upto_April23__1___1[[#This Row],[Month]],{"January","February","March","April","May","June","July","August","September","October","November","December"},0),1)</f>
        <v>44896</v>
      </c>
      <c r="E358" s="2">
        <v>170.2</v>
      </c>
      <c r="F358" s="2">
        <v>212.9</v>
      </c>
      <c r="G358">
        <v>191.9</v>
      </c>
      <c r="H358">
        <v>173.9</v>
      </c>
      <c r="I358">
        <v>179.1</v>
      </c>
      <c r="J358">
        <v>159.5</v>
      </c>
      <c r="K358">
        <v>178.7</v>
      </c>
      <c r="L358">
        <v>171.3</v>
      </c>
      <c r="M358">
        <v>123.1</v>
      </c>
      <c r="N358">
        <v>200.5</v>
      </c>
      <c r="O358">
        <v>162.80000000000001</v>
      </c>
      <c r="P358">
        <v>193.3</v>
      </c>
      <c r="Q358" s="2">
        <v>178.6</v>
      </c>
      <c r="R358" s="2">
        <v>201.1</v>
      </c>
      <c r="S358" s="2">
        <v>177.7</v>
      </c>
      <c r="T358" s="2">
        <v>164.5</v>
      </c>
      <c r="U358" s="3">
        <v>175.7</v>
      </c>
      <c r="V358" s="2" t="s">
        <v>156</v>
      </c>
      <c r="W358" s="2">
        <v>180.6</v>
      </c>
      <c r="X358" s="2">
        <v>167.3</v>
      </c>
      <c r="Y358" s="2">
        <v>177.2</v>
      </c>
      <c r="Z358" s="2">
        <v>159.4</v>
      </c>
      <c r="AA358" s="2">
        <v>167.1</v>
      </c>
      <c r="AB358" s="2">
        <v>171.8</v>
      </c>
      <c r="AC358" s="2">
        <v>176</v>
      </c>
      <c r="AD358" s="2">
        <v>168.2</v>
      </c>
      <c r="AE358" s="2">
        <v>174.1</v>
      </c>
    </row>
    <row r="359" spans="1:31" x14ac:dyDescent="0.2">
      <c r="A359" t="s">
        <v>34</v>
      </c>
      <c r="B359">
        <v>2023</v>
      </c>
      <c r="C359" t="s">
        <v>31</v>
      </c>
      <c r="D359" s="1">
        <f>DATE(All_India_Index_Upto_April23__1___1[[#This Row],[Year]],MATCH(All_India_Index_Upto_April23__1___1[[#This Row],[Month]],{"January","February","March","April","May","June","July","August","September","October","November","December"},0),1)</f>
        <v>44927</v>
      </c>
      <c r="E359" s="2">
        <v>173.8</v>
      </c>
      <c r="F359" s="2">
        <v>210.7</v>
      </c>
      <c r="G359">
        <v>194.5</v>
      </c>
      <c r="H359">
        <v>174.6</v>
      </c>
      <c r="I359">
        <v>187.2</v>
      </c>
      <c r="J359">
        <v>158.30000000000001</v>
      </c>
      <c r="K359">
        <v>153.9</v>
      </c>
      <c r="L359">
        <v>170.9</v>
      </c>
      <c r="M359">
        <v>121.1</v>
      </c>
      <c r="N359">
        <v>208.4</v>
      </c>
      <c r="O359">
        <v>171.4</v>
      </c>
      <c r="P359">
        <v>191.2</v>
      </c>
      <c r="Q359" s="2">
        <v>176.7</v>
      </c>
      <c r="R359" s="2">
        <v>198.2</v>
      </c>
      <c r="S359" s="2">
        <v>184.9</v>
      </c>
      <c r="T359" s="2">
        <v>177.6</v>
      </c>
      <c r="U359" s="3">
        <v>183.8</v>
      </c>
      <c r="V359" s="2" t="s">
        <v>157</v>
      </c>
      <c r="W359" s="2">
        <v>182</v>
      </c>
      <c r="X359" s="2">
        <v>172.9</v>
      </c>
      <c r="Y359" s="2">
        <v>182.3</v>
      </c>
      <c r="Z359" s="2">
        <v>163.6</v>
      </c>
      <c r="AA359" s="2">
        <v>169.5</v>
      </c>
      <c r="AB359" s="2">
        <v>174.3</v>
      </c>
      <c r="AC359" s="2">
        <v>178.6</v>
      </c>
      <c r="AD359" s="2">
        <v>172.8</v>
      </c>
      <c r="AE359" s="2">
        <v>176.5</v>
      </c>
    </row>
    <row r="360" spans="1:31" x14ac:dyDescent="0.2">
      <c r="A360" t="s">
        <v>34</v>
      </c>
      <c r="B360">
        <v>2023</v>
      </c>
      <c r="C360" t="s">
        <v>35</v>
      </c>
      <c r="D360" s="1">
        <f>DATE(All_India_Index_Upto_April23__1___1[[#This Row],[Year]],MATCH(All_India_Index_Upto_April23__1___1[[#This Row],[Month]],{"January","February","March","April","May","June","July","August","September","October","November","December"},0),1)</f>
        <v>44958</v>
      </c>
      <c r="E360" s="2">
        <v>174.4</v>
      </c>
      <c r="F360" s="2">
        <v>207.7</v>
      </c>
      <c r="G360">
        <v>175.2</v>
      </c>
      <c r="H360">
        <v>177.3</v>
      </c>
      <c r="I360">
        <v>179.3</v>
      </c>
      <c r="J360">
        <v>169.5</v>
      </c>
      <c r="K360">
        <v>152.69999999999999</v>
      </c>
      <c r="L360">
        <v>171</v>
      </c>
      <c r="M360">
        <v>120</v>
      </c>
      <c r="N360">
        <v>209.7</v>
      </c>
      <c r="O360">
        <v>172.3</v>
      </c>
      <c r="P360">
        <v>193</v>
      </c>
      <c r="Q360" s="2">
        <v>177</v>
      </c>
      <c r="R360" s="2">
        <v>199.5</v>
      </c>
      <c r="S360" s="2">
        <v>186.2</v>
      </c>
      <c r="T360" s="2">
        <v>178.7</v>
      </c>
      <c r="U360" s="3">
        <v>185.1</v>
      </c>
      <c r="V360" s="2" t="s">
        <v>158</v>
      </c>
      <c r="W360" s="2">
        <v>182.1</v>
      </c>
      <c r="X360" s="2">
        <v>174.2</v>
      </c>
      <c r="Y360" s="2">
        <v>184.4</v>
      </c>
      <c r="Z360" s="2">
        <v>164.2</v>
      </c>
      <c r="AA360" s="2">
        <v>170.3</v>
      </c>
      <c r="AB360" s="2">
        <v>175</v>
      </c>
      <c r="AC360" s="2">
        <v>181</v>
      </c>
      <c r="AD360" s="2">
        <v>174.1</v>
      </c>
      <c r="AE360" s="2">
        <v>177.2</v>
      </c>
    </row>
    <row r="361" spans="1:31" x14ac:dyDescent="0.2">
      <c r="A361" t="s">
        <v>34</v>
      </c>
      <c r="B361">
        <v>2023</v>
      </c>
      <c r="C361" t="s">
        <v>37</v>
      </c>
      <c r="D361" s="1">
        <f>DATE(All_India_Index_Upto_April23__1___1[[#This Row],[Year]],MATCH(All_India_Index_Upto_April23__1___1[[#This Row],[Month]],{"January","February","March","April","May","June","July","August","September","October","November","December"},0),1)</f>
        <v>44986</v>
      </c>
      <c r="E361" s="2">
        <v>174.4</v>
      </c>
      <c r="F361" s="2">
        <v>207.7</v>
      </c>
      <c r="G361">
        <v>175.2</v>
      </c>
      <c r="H361">
        <v>177.3</v>
      </c>
      <c r="I361">
        <v>179.2</v>
      </c>
      <c r="J361">
        <v>169.5</v>
      </c>
      <c r="K361">
        <v>152.80000000000001</v>
      </c>
      <c r="L361">
        <v>171.1</v>
      </c>
      <c r="M361">
        <v>120</v>
      </c>
      <c r="N361">
        <v>209.7</v>
      </c>
      <c r="O361">
        <v>172.3</v>
      </c>
      <c r="P361">
        <v>193</v>
      </c>
      <c r="Q361" s="2">
        <v>177</v>
      </c>
      <c r="R361" s="2">
        <v>199.5</v>
      </c>
      <c r="S361" s="2">
        <v>186.1</v>
      </c>
      <c r="T361" s="2">
        <v>178.7</v>
      </c>
      <c r="U361" s="3">
        <v>185.1</v>
      </c>
      <c r="V361" s="2" t="s">
        <v>158</v>
      </c>
      <c r="W361" s="2">
        <v>181.9</v>
      </c>
      <c r="X361" s="2">
        <v>174.2</v>
      </c>
      <c r="Y361" s="2">
        <v>184.4</v>
      </c>
      <c r="Z361" s="2">
        <v>164.2</v>
      </c>
      <c r="AA361" s="2">
        <v>170.3</v>
      </c>
      <c r="AB361" s="2">
        <v>175</v>
      </c>
      <c r="AC361" s="2">
        <v>181</v>
      </c>
      <c r="AD361" s="2">
        <v>174.1</v>
      </c>
      <c r="AE361" s="2">
        <v>177.2</v>
      </c>
    </row>
    <row r="362" spans="1:31" x14ac:dyDescent="0.2">
      <c r="A362" t="s">
        <v>34</v>
      </c>
      <c r="B362">
        <v>2023</v>
      </c>
      <c r="C362" t="s">
        <v>38</v>
      </c>
      <c r="D362" s="1">
        <f>DATE(All_India_Index_Upto_April23__1___1[[#This Row],[Year]],MATCH(All_India_Index_Upto_April23__1___1[[#This Row],[Month]],{"January","February","March","April","May","June","July","August","September","October","November","December"},0),1)</f>
        <v>45017</v>
      </c>
      <c r="E362" s="2">
        <v>173.8</v>
      </c>
      <c r="F362" s="2">
        <v>209.3</v>
      </c>
      <c r="G362">
        <v>169.6</v>
      </c>
      <c r="H362">
        <v>178.4</v>
      </c>
      <c r="I362">
        <v>174.9</v>
      </c>
      <c r="J362">
        <v>176.3</v>
      </c>
      <c r="K362">
        <v>155.4</v>
      </c>
      <c r="L362">
        <v>173.4</v>
      </c>
      <c r="M362">
        <v>121.3</v>
      </c>
      <c r="N362">
        <v>212.9</v>
      </c>
      <c r="O362">
        <v>172.9</v>
      </c>
      <c r="P362">
        <v>193.5</v>
      </c>
      <c r="Q362" s="2">
        <v>177.9</v>
      </c>
      <c r="R362" s="2">
        <v>200.6</v>
      </c>
      <c r="S362" s="2">
        <v>186.9</v>
      </c>
      <c r="T362" s="2">
        <v>179.2</v>
      </c>
      <c r="U362" s="3">
        <v>185.7</v>
      </c>
      <c r="V362" s="2" t="s">
        <v>159</v>
      </c>
      <c r="W362" s="2">
        <v>181.7</v>
      </c>
      <c r="X362" s="2">
        <v>174.6</v>
      </c>
      <c r="Y362" s="2">
        <v>185</v>
      </c>
      <c r="Z362" s="2">
        <v>164.5</v>
      </c>
      <c r="AA362" s="2">
        <v>170.7</v>
      </c>
      <c r="AB362" s="2">
        <v>176.4</v>
      </c>
      <c r="AC362" s="2">
        <v>184</v>
      </c>
      <c r="AD362" s="2">
        <v>175</v>
      </c>
      <c r="AE362" s="2">
        <v>178.1</v>
      </c>
    </row>
    <row r="363" spans="1:31" x14ac:dyDescent="0.2">
      <c r="A363" t="s">
        <v>34</v>
      </c>
      <c r="B363">
        <v>2023</v>
      </c>
      <c r="C363" t="s">
        <v>40</v>
      </c>
      <c r="D363" s="1">
        <f>DATE(All_India_Index_Upto_April23__1___1[[#This Row],[Year]],MATCH(All_India_Index_Upto_April23__1___1[[#This Row],[Month]],{"January","February","March","April","May","June","July","August","September","October","November","December"},0),1)</f>
        <v>45047</v>
      </c>
      <c r="E363" s="2">
        <v>173.7</v>
      </c>
      <c r="F363" s="2">
        <v>214.3</v>
      </c>
      <c r="G363">
        <v>173.2</v>
      </c>
      <c r="H363">
        <v>179.5</v>
      </c>
      <c r="I363">
        <v>170</v>
      </c>
      <c r="J363">
        <v>172.2</v>
      </c>
      <c r="K363">
        <v>161</v>
      </c>
      <c r="L363">
        <v>175.6</v>
      </c>
      <c r="M363">
        <v>122.7</v>
      </c>
      <c r="N363">
        <v>218</v>
      </c>
      <c r="O363">
        <v>173.4</v>
      </c>
      <c r="P363">
        <v>194.2</v>
      </c>
      <c r="Q363" s="2">
        <v>179.1</v>
      </c>
      <c r="R363" s="2">
        <v>201</v>
      </c>
      <c r="S363" s="2">
        <v>187.3</v>
      </c>
      <c r="T363" s="2">
        <v>179.7</v>
      </c>
      <c r="U363" s="3">
        <v>186.2</v>
      </c>
      <c r="V363" s="2" t="s">
        <v>160</v>
      </c>
      <c r="W363" s="2">
        <v>182.8</v>
      </c>
      <c r="X363" s="2">
        <v>175.2</v>
      </c>
      <c r="Y363" s="2">
        <v>185.7</v>
      </c>
      <c r="Z363" s="2">
        <v>164.8</v>
      </c>
      <c r="AA363" s="2">
        <v>171.2</v>
      </c>
      <c r="AB363" s="2">
        <v>177.1</v>
      </c>
      <c r="AC363" s="2">
        <v>185.2</v>
      </c>
      <c r="AD363" s="2">
        <v>175.7</v>
      </c>
      <c r="AE363" s="2">
        <v>179.1</v>
      </c>
    </row>
    <row r="364" spans="1:31" x14ac:dyDescent="0.2">
      <c r="A364" t="s">
        <v>30</v>
      </c>
      <c r="B364">
        <v>2023</v>
      </c>
      <c r="C364" t="s">
        <v>31</v>
      </c>
      <c r="D364" s="1">
        <f>DATE(All_India_Index_Upto_April23__1___1[[#This Row],[Year]],MATCH(All_India_Index_Upto_April23__1___1[[#This Row],[Month]],{"January","February","March","April","May","June","July","August","September","October","November","December"},0),1)</f>
        <v>44927</v>
      </c>
      <c r="E364" s="2">
        <v>174</v>
      </c>
      <c r="F364" s="2">
        <v>208.3</v>
      </c>
      <c r="G364">
        <v>192.9</v>
      </c>
      <c r="H364">
        <v>174.3</v>
      </c>
      <c r="I364">
        <v>192.6</v>
      </c>
      <c r="J364">
        <v>156.30000000000001</v>
      </c>
      <c r="K364">
        <v>142.9</v>
      </c>
      <c r="L364">
        <v>170.7</v>
      </c>
      <c r="M364">
        <v>120.3</v>
      </c>
      <c r="N364">
        <v>210.5</v>
      </c>
      <c r="O364">
        <v>176.9</v>
      </c>
      <c r="P364">
        <v>188.5</v>
      </c>
      <c r="Q364" s="2">
        <v>175</v>
      </c>
      <c r="R364" s="2">
        <v>196.9</v>
      </c>
      <c r="S364" s="2">
        <v>189</v>
      </c>
      <c r="T364" s="2">
        <v>186.3</v>
      </c>
      <c r="U364" s="3">
        <v>188.6</v>
      </c>
      <c r="V364" s="2"/>
      <c r="W364">
        <v>183.2</v>
      </c>
      <c r="X364" s="2">
        <v>177.2</v>
      </c>
      <c r="Y364" s="2">
        <v>184.7</v>
      </c>
      <c r="Z364" s="2">
        <v>168.2</v>
      </c>
      <c r="AA364" s="2">
        <v>171.8</v>
      </c>
      <c r="AB364" s="2">
        <v>177.8</v>
      </c>
      <c r="AC364" s="2">
        <v>178.4</v>
      </c>
      <c r="AD364" s="2">
        <v>176.5</v>
      </c>
      <c r="AE364" s="2">
        <v>177.8</v>
      </c>
    </row>
    <row r="365" spans="1:31" x14ac:dyDescent="0.2">
      <c r="A365" t="s">
        <v>32</v>
      </c>
      <c r="B365">
        <v>2023</v>
      </c>
      <c r="C365" t="s">
        <v>31</v>
      </c>
      <c r="D365" s="1">
        <f>DATE(All_India_Index_Upto_April23__1___1[[#This Row],[Year]],MATCH(All_India_Index_Upto_April23__1___1[[#This Row],[Month]],{"January","February","March","April","May","June","July","August","September","October","November","December"},0),1)</f>
        <v>44927</v>
      </c>
      <c r="E365" s="2">
        <v>173.3</v>
      </c>
      <c r="F365" s="2">
        <v>215.2</v>
      </c>
      <c r="G365">
        <v>197</v>
      </c>
      <c r="H365">
        <v>175.2</v>
      </c>
      <c r="I365">
        <v>178</v>
      </c>
      <c r="J365">
        <v>160.5</v>
      </c>
      <c r="K365">
        <v>175.3</v>
      </c>
      <c r="L365">
        <v>171.2</v>
      </c>
      <c r="M365">
        <v>122.7</v>
      </c>
      <c r="N365">
        <v>204.3</v>
      </c>
      <c r="O365">
        <v>163.69999999999999</v>
      </c>
      <c r="P365">
        <v>194.3</v>
      </c>
      <c r="Q365" s="2">
        <v>179.5</v>
      </c>
      <c r="R365" s="2">
        <v>201.6</v>
      </c>
      <c r="S365" s="2">
        <v>178.7</v>
      </c>
      <c r="T365" s="2">
        <v>165.3</v>
      </c>
      <c r="U365" s="3">
        <v>176.6</v>
      </c>
      <c r="V365" s="2" t="s">
        <v>157</v>
      </c>
      <c r="W365" s="2">
        <v>180.1</v>
      </c>
      <c r="X365" s="2">
        <v>168</v>
      </c>
      <c r="Y365" s="2">
        <v>178.5</v>
      </c>
      <c r="Z365" s="2">
        <v>159.5</v>
      </c>
      <c r="AA365" s="2">
        <v>167.8</v>
      </c>
      <c r="AB365" s="2">
        <v>171.8</v>
      </c>
      <c r="AC365" s="2">
        <v>178.8</v>
      </c>
      <c r="AD365" s="2">
        <v>168.9</v>
      </c>
      <c r="AE365" s="2">
        <v>174.9</v>
      </c>
    </row>
    <row r="366" spans="1:31" x14ac:dyDescent="0.2">
      <c r="A366" t="s">
        <v>30</v>
      </c>
      <c r="B366">
        <v>2023</v>
      </c>
      <c r="C366" t="s">
        <v>35</v>
      </c>
      <c r="D366" s="1">
        <f>DATE(All_India_Index_Upto_April23__1___1[[#This Row],[Year]],MATCH(All_India_Index_Upto_April23__1___1[[#This Row],[Month]],{"January","February","March","April","May","June","July","August","September","October","November","December"},0),1)</f>
        <v>44958</v>
      </c>
      <c r="E366" s="2">
        <v>174.2</v>
      </c>
      <c r="F366" s="2">
        <v>205.2</v>
      </c>
      <c r="G366">
        <v>173.9</v>
      </c>
      <c r="H366">
        <v>177</v>
      </c>
      <c r="I366">
        <v>183.4</v>
      </c>
      <c r="J366">
        <v>167.2</v>
      </c>
      <c r="K366">
        <v>140.9</v>
      </c>
      <c r="L366">
        <v>170.4</v>
      </c>
      <c r="M366">
        <v>119.1</v>
      </c>
      <c r="N366">
        <v>212.1</v>
      </c>
      <c r="O366">
        <v>177.6</v>
      </c>
      <c r="P366">
        <v>189.9</v>
      </c>
      <c r="Q366" s="2">
        <v>174.8</v>
      </c>
      <c r="R366" s="2">
        <v>198.3</v>
      </c>
      <c r="S366" s="2">
        <v>190</v>
      </c>
      <c r="T366" s="2">
        <v>187</v>
      </c>
      <c r="U366" s="3">
        <v>189.6</v>
      </c>
      <c r="V366" s="2"/>
      <c r="W366">
        <v>181.6</v>
      </c>
      <c r="X366" s="2">
        <v>178.6</v>
      </c>
      <c r="Y366" s="2">
        <v>186.6</v>
      </c>
      <c r="Z366" s="2">
        <v>169</v>
      </c>
      <c r="AA366" s="2">
        <v>172.8</v>
      </c>
      <c r="AB366" s="2">
        <v>178.5</v>
      </c>
      <c r="AC366" s="2">
        <v>180.7</v>
      </c>
      <c r="AD366" s="2">
        <v>177.9</v>
      </c>
      <c r="AE366" s="2">
        <v>178</v>
      </c>
    </row>
    <row r="367" spans="1:31" x14ac:dyDescent="0.2">
      <c r="A367" t="s">
        <v>32</v>
      </c>
      <c r="B367">
        <v>2023</v>
      </c>
      <c r="C367" t="s">
        <v>35</v>
      </c>
      <c r="D367" s="1">
        <f>DATE(All_India_Index_Upto_April23__1___1[[#This Row],[Year]],MATCH(All_India_Index_Upto_April23__1___1[[#This Row],[Month]],{"January","February","March","April","May","June","July","August","September","October","November","December"},0),1)</f>
        <v>44958</v>
      </c>
      <c r="E367" s="2">
        <v>174.7</v>
      </c>
      <c r="F367" s="2">
        <v>212.2</v>
      </c>
      <c r="G367">
        <v>177.2</v>
      </c>
      <c r="H367">
        <v>177.9</v>
      </c>
      <c r="I367">
        <v>172.2</v>
      </c>
      <c r="J367">
        <v>172.1</v>
      </c>
      <c r="K367">
        <v>175.8</v>
      </c>
      <c r="L367">
        <v>172.2</v>
      </c>
      <c r="M367">
        <v>121.9</v>
      </c>
      <c r="N367">
        <v>204.8</v>
      </c>
      <c r="O367">
        <v>164.9</v>
      </c>
      <c r="P367">
        <v>196.6</v>
      </c>
      <c r="Q367" s="2">
        <v>180.7</v>
      </c>
      <c r="R367" s="2">
        <v>202.7</v>
      </c>
      <c r="S367" s="2">
        <v>180.3</v>
      </c>
      <c r="T367" s="2">
        <v>167</v>
      </c>
      <c r="U367" s="3">
        <v>178.2</v>
      </c>
      <c r="V367" s="2" t="s">
        <v>158</v>
      </c>
      <c r="W367" s="2">
        <v>182.8</v>
      </c>
      <c r="X367" s="2">
        <v>169.2</v>
      </c>
      <c r="Y367" s="2">
        <v>180.8</v>
      </c>
      <c r="Z367" s="2">
        <v>159.80000000000001</v>
      </c>
      <c r="AA367" s="2">
        <v>168.4</v>
      </c>
      <c r="AB367" s="2">
        <v>172.5</v>
      </c>
      <c r="AC367" s="2">
        <v>181.4</v>
      </c>
      <c r="AD367" s="2">
        <v>170</v>
      </c>
      <c r="AE367" s="2">
        <v>176.3</v>
      </c>
    </row>
    <row r="368" spans="1:31" x14ac:dyDescent="0.2">
      <c r="A368" t="s">
        <v>30</v>
      </c>
      <c r="B368">
        <v>2023</v>
      </c>
      <c r="C368" t="s">
        <v>37</v>
      </c>
      <c r="D368" s="1">
        <f>DATE(All_India_Index_Upto_April23__1___1[[#This Row],[Year]],MATCH(All_India_Index_Upto_April23__1___1[[#This Row],[Month]],{"January","February","March","April","May","June","July","August","September","October","November","December"},0),1)</f>
        <v>44986</v>
      </c>
      <c r="E368" s="2">
        <v>174.3</v>
      </c>
      <c r="F368" s="2">
        <v>205.2</v>
      </c>
      <c r="G368">
        <v>173.9</v>
      </c>
      <c r="H368">
        <v>177</v>
      </c>
      <c r="I368">
        <v>183.3</v>
      </c>
      <c r="J368">
        <v>167.2</v>
      </c>
      <c r="K368">
        <v>140.9</v>
      </c>
      <c r="L368">
        <v>170.5</v>
      </c>
      <c r="M368">
        <v>119.1</v>
      </c>
      <c r="N368">
        <v>212.1</v>
      </c>
      <c r="O368">
        <v>177.6</v>
      </c>
      <c r="P368">
        <v>189.9</v>
      </c>
      <c r="Q368" s="2">
        <v>174.8</v>
      </c>
      <c r="R368" s="2">
        <v>198.4</v>
      </c>
      <c r="S368" s="2">
        <v>190</v>
      </c>
      <c r="T368" s="2">
        <v>187</v>
      </c>
      <c r="U368" s="3">
        <v>189.6</v>
      </c>
      <c r="V368" s="2"/>
      <c r="W368">
        <v>181.4</v>
      </c>
      <c r="X368" s="2">
        <v>178.6</v>
      </c>
      <c r="Y368" s="2">
        <v>186.6</v>
      </c>
      <c r="Z368" s="2">
        <v>169</v>
      </c>
      <c r="AA368" s="2">
        <v>172.8</v>
      </c>
      <c r="AB368" s="2">
        <v>178.5</v>
      </c>
      <c r="AC368" s="2">
        <v>180.7</v>
      </c>
      <c r="AD368" s="2">
        <v>177.9</v>
      </c>
      <c r="AE368" s="2">
        <v>178</v>
      </c>
    </row>
    <row r="369" spans="1:31" x14ac:dyDescent="0.2">
      <c r="A369" t="s">
        <v>32</v>
      </c>
      <c r="B369">
        <v>2023</v>
      </c>
      <c r="C369" t="s">
        <v>37</v>
      </c>
      <c r="D369" s="1">
        <f>DATE(All_India_Index_Upto_April23__1___1[[#This Row],[Year]],MATCH(All_India_Index_Upto_April23__1___1[[#This Row],[Month]],{"January","February","March","April","May","June","July","August","September","October","November","December"},0),1)</f>
        <v>44986</v>
      </c>
      <c r="E369" s="2">
        <v>174.7</v>
      </c>
      <c r="F369" s="2">
        <v>212.2</v>
      </c>
      <c r="G369">
        <v>177.2</v>
      </c>
      <c r="H369">
        <v>177.9</v>
      </c>
      <c r="I369">
        <v>172.2</v>
      </c>
      <c r="J369">
        <v>172.1</v>
      </c>
      <c r="K369">
        <v>175.9</v>
      </c>
      <c r="L369">
        <v>172.2</v>
      </c>
      <c r="M369">
        <v>121.9</v>
      </c>
      <c r="N369">
        <v>204.8</v>
      </c>
      <c r="O369">
        <v>164.9</v>
      </c>
      <c r="P369">
        <v>196.6</v>
      </c>
      <c r="Q369" s="2">
        <v>180.8</v>
      </c>
      <c r="R369" s="2">
        <v>202.7</v>
      </c>
      <c r="S369" s="2">
        <v>180.2</v>
      </c>
      <c r="T369" s="2">
        <v>167</v>
      </c>
      <c r="U369" s="3">
        <v>178.2</v>
      </c>
      <c r="V369" s="2" t="s">
        <v>158</v>
      </c>
      <c r="W369" s="2">
        <v>182.6</v>
      </c>
      <c r="X369" s="2">
        <v>169.2</v>
      </c>
      <c r="Y369" s="2">
        <v>180.8</v>
      </c>
      <c r="Z369" s="2">
        <v>159.80000000000001</v>
      </c>
      <c r="AA369" s="2">
        <v>168.4</v>
      </c>
      <c r="AB369" s="2">
        <v>172.5</v>
      </c>
      <c r="AC369" s="2">
        <v>181.5</v>
      </c>
      <c r="AD369" s="2">
        <v>170</v>
      </c>
      <c r="AE369" s="2">
        <v>176.3</v>
      </c>
    </row>
    <row r="370" spans="1:31" x14ac:dyDescent="0.2">
      <c r="A370" t="s">
        <v>30</v>
      </c>
      <c r="B370">
        <v>2023</v>
      </c>
      <c r="C370" t="s">
        <v>38</v>
      </c>
      <c r="D370" s="1">
        <f>DATE(All_India_Index_Upto_April23__1___1[[#This Row],[Year]],MATCH(All_India_Index_Upto_April23__1___1[[#This Row],[Month]],{"January","February","March","April","May","June","July","August","September","October","November","December"},0),1)</f>
        <v>45017</v>
      </c>
      <c r="E370" s="2">
        <v>173.3</v>
      </c>
      <c r="F370" s="2">
        <v>206.9</v>
      </c>
      <c r="G370">
        <v>167.9</v>
      </c>
      <c r="H370">
        <v>178.2</v>
      </c>
      <c r="I370">
        <v>178.5</v>
      </c>
      <c r="J370">
        <v>173.7</v>
      </c>
      <c r="K370">
        <v>142.80000000000001</v>
      </c>
      <c r="L370">
        <v>172.8</v>
      </c>
      <c r="M370">
        <v>120.4</v>
      </c>
      <c r="N370">
        <v>215.5</v>
      </c>
      <c r="O370">
        <v>178.2</v>
      </c>
      <c r="P370">
        <v>190.5</v>
      </c>
      <c r="Q370" s="2">
        <v>175.5</v>
      </c>
      <c r="R370" s="2">
        <v>199.5</v>
      </c>
      <c r="S370" s="2">
        <v>190.7</v>
      </c>
      <c r="T370" s="2">
        <v>187.3</v>
      </c>
      <c r="U370" s="3">
        <v>190.2</v>
      </c>
      <c r="V370" s="2"/>
      <c r="W370">
        <v>181.5</v>
      </c>
      <c r="X370" s="2">
        <v>179.1</v>
      </c>
      <c r="Y370" s="2">
        <v>187.2</v>
      </c>
      <c r="Z370" s="2">
        <v>169.4</v>
      </c>
      <c r="AA370" s="2">
        <v>173.2</v>
      </c>
      <c r="AB370" s="2">
        <v>179.4</v>
      </c>
      <c r="AC370" s="2">
        <v>183.8</v>
      </c>
      <c r="AD370" s="2">
        <v>178.9</v>
      </c>
      <c r="AE370" s="2">
        <v>178.8</v>
      </c>
    </row>
    <row r="371" spans="1:31" x14ac:dyDescent="0.2">
      <c r="A371" t="s">
        <v>32</v>
      </c>
      <c r="B371">
        <v>2023</v>
      </c>
      <c r="C371" t="s">
        <v>38</v>
      </c>
      <c r="D371" s="1">
        <f>DATE(All_India_Index_Upto_April23__1___1[[#This Row],[Year]],MATCH(All_India_Index_Upto_April23__1___1[[#This Row],[Month]],{"January","February","March","April","May","June","July","August","September","October","November","December"},0),1)</f>
        <v>45017</v>
      </c>
      <c r="E371" s="2">
        <v>174.8</v>
      </c>
      <c r="F371" s="2">
        <v>213.7</v>
      </c>
      <c r="G371">
        <v>172.4</v>
      </c>
      <c r="H371">
        <v>178.8</v>
      </c>
      <c r="I371">
        <v>168.7</v>
      </c>
      <c r="J371">
        <v>179.2</v>
      </c>
      <c r="K371">
        <v>179.9</v>
      </c>
      <c r="L371">
        <v>174.7</v>
      </c>
      <c r="M371">
        <v>123.1</v>
      </c>
      <c r="N371">
        <v>207.8</v>
      </c>
      <c r="O371">
        <v>165.5</v>
      </c>
      <c r="P371">
        <v>197</v>
      </c>
      <c r="Q371" s="2">
        <v>182.1</v>
      </c>
      <c r="R371" s="2">
        <v>203.5</v>
      </c>
      <c r="S371" s="2">
        <v>181</v>
      </c>
      <c r="T371" s="2">
        <v>167.7</v>
      </c>
      <c r="U371" s="3">
        <v>178.9</v>
      </c>
      <c r="V371" s="2" t="s">
        <v>159</v>
      </c>
      <c r="W371" s="2">
        <v>182.1</v>
      </c>
      <c r="X371" s="2">
        <v>169.6</v>
      </c>
      <c r="Y371" s="2">
        <v>181.5</v>
      </c>
      <c r="Z371" s="2">
        <v>160.1</v>
      </c>
      <c r="AA371" s="2">
        <v>168.8</v>
      </c>
      <c r="AB371" s="2">
        <v>174.2</v>
      </c>
      <c r="AC371" s="2">
        <v>184.4</v>
      </c>
      <c r="AD371" s="2">
        <v>170.9</v>
      </c>
      <c r="AE371" s="2">
        <v>177.4</v>
      </c>
    </row>
    <row r="372" spans="1:31" x14ac:dyDescent="0.2">
      <c r="A372" t="s">
        <v>30</v>
      </c>
      <c r="B372">
        <v>2023</v>
      </c>
      <c r="C372" t="s">
        <v>40</v>
      </c>
      <c r="D372" s="1">
        <f>DATE(All_India_Index_Upto_April23__1___1[[#This Row],[Year]],MATCH(All_India_Index_Upto_April23__1___1[[#This Row],[Month]],{"January","February","March","April","May","June","July","August","September","October","November","December"},0),1)</f>
        <v>45047</v>
      </c>
      <c r="E372" s="2">
        <v>173.2</v>
      </c>
      <c r="F372" s="2">
        <v>211.5</v>
      </c>
      <c r="G372">
        <v>171</v>
      </c>
      <c r="H372">
        <v>179.6</v>
      </c>
      <c r="I372">
        <v>173.3</v>
      </c>
      <c r="J372">
        <v>169</v>
      </c>
      <c r="K372">
        <v>148.69999999999999</v>
      </c>
      <c r="L372">
        <v>174.9</v>
      </c>
      <c r="M372">
        <v>121.9</v>
      </c>
      <c r="N372">
        <v>221</v>
      </c>
      <c r="O372">
        <v>178.7</v>
      </c>
      <c r="P372">
        <v>191.1</v>
      </c>
      <c r="Q372" s="2">
        <v>176.8</v>
      </c>
      <c r="R372" s="2">
        <v>199.9</v>
      </c>
      <c r="S372" s="2">
        <v>191.2</v>
      </c>
      <c r="T372" s="2">
        <v>187.9</v>
      </c>
      <c r="U372" s="3">
        <v>190.8</v>
      </c>
      <c r="V372" s="2"/>
      <c r="W372">
        <v>182.5</v>
      </c>
      <c r="X372" s="2">
        <v>179.8</v>
      </c>
      <c r="Y372" s="2">
        <v>187.8</v>
      </c>
      <c r="Z372" s="2">
        <v>169.7</v>
      </c>
      <c r="AA372" s="2">
        <v>173.8</v>
      </c>
      <c r="AB372" s="2">
        <v>180.3</v>
      </c>
      <c r="AC372" s="2">
        <v>184.9</v>
      </c>
      <c r="AD372" s="2">
        <v>179.5</v>
      </c>
      <c r="AE372" s="2">
        <v>179.8</v>
      </c>
    </row>
    <row r="373" spans="1:31" x14ac:dyDescent="0.2">
      <c r="A373" t="s">
        <v>32</v>
      </c>
      <c r="B373">
        <v>2023</v>
      </c>
      <c r="C373" t="s">
        <v>40</v>
      </c>
      <c r="D373" s="1">
        <f>DATE(All_India_Index_Upto_April23__1___1[[#This Row],[Year]],MATCH(All_India_Index_Upto_April23__1___1[[#This Row],[Month]],{"January","February","March","April","May","June","July","August","September","October","November","December"},0),1)</f>
        <v>45047</v>
      </c>
      <c r="E373" s="2">
        <v>174.7</v>
      </c>
      <c r="F373" s="2">
        <v>219.4</v>
      </c>
      <c r="G373">
        <v>176.7</v>
      </c>
      <c r="H373">
        <v>179.4</v>
      </c>
      <c r="I373">
        <v>164.4</v>
      </c>
      <c r="J373">
        <v>175.8</v>
      </c>
      <c r="K373">
        <v>185</v>
      </c>
      <c r="L373">
        <v>176.9</v>
      </c>
      <c r="M373">
        <v>124.2</v>
      </c>
      <c r="N373">
        <v>211.9</v>
      </c>
      <c r="O373">
        <v>165.9</v>
      </c>
      <c r="P373">
        <v>197.7</v>
      </c>
      <c r="Q373" s="2">
        <v>183.1</v>
      </c>
      <c r="R373" s="2">
        <v>204.2</v>
      </c>
      <c r="S373" s="2">
        <v>181.3</v>
      </c>
      <c r="T373" s="2">
        <v>168.1</v>
      </c>
      <c r="U373" s="3">
        <v>179.3</v>
      </c>
      <c r="V373" s="2" t="s">
        <v>160</v>
      </c>
      <c r="W373" s="2">
        <v>183.4</v>
      </c>
      <c r="X373" s="2">
        <v>170.1</v>
      </c>
      <c r="Y373" s="2">
        <v>182.2</v>
      </c>
      <c r="Z373" s="2">
        <v>160.4</v>
      </c>
      <c r="AA373" s="2">
        <v>169.2</v>
      </c>
      <c r="AB373" s="2">
        <v>174.8</v>
      </c>
      <c r="AC373" s="2">
        <v>185.6</v>
      </c>
      <c r="AD373" s="2">
        <v>171.6</v>
      </c>
      <c r="AE373" s="2">
        <v>178.2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AA050-A36B-B046-AACB-49EB006A5A67}">
  <dimension ref="A1"/>
  <sheetViews>
    <sheetView zoomScaleNormal="100" workbookViewId="0">
      <selection activeCell="AD134" sqref="AD134"/>
    </sheetView>
  </sheetViews>
  <sheetFormatPr baseColWidth="10" defaultRowHeight="16" x14ac:dyDescent="0.2"/>
  <cols>
    <col min="1" max="16384" width="10.83203125" style="9"/>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7985B-BC4F-6E4E-AD7C-E7F0877AD319}">
  <dimension ref="A1:H68"/>
  <sheetViews>
    <sheetView topLeftCell="A41" zoomScaleNormal="116" workbookViewId="0">
      <selection activeCell="E4" sqref="E4"/>
    </sheetView>
  </sheetViews>
  <sheetFormatPr baseColWidth="10" defaultColWidth="41.5" defaultRowHeight="20" x14ac:dyDescent="0.2"/>
  <cols>
    <col min="1" max="1" width="28.83203125" style="32" customWidth="1"/>
    <col min="2" max="2" width="44.1640625" style="32" customWidth="1"/>
    <col min="3" max="3" width="33.1640625" style="32" customWidth="1"/>
    <col min="4" max="4" width="32.6640625" style="32" bestFit="1" customWidth="1"/>
    <col min="5" max="5" width="46.83203125" style="32" bestFit="1" customWidth="1"/>
    <col min="6" max="16384" width="41.5" style="32"/>
  </cols>
  <sheetData>
    <row r="1" spans="1:7" ht="25" x14ac:dyDescent="0.2">
      <c r="A1" s="99" t="s">
        <v>209</v>
      </c>
      <c r="B1" s="99"/>
      <c r="C1" s="99"/>
      <c r="D1" s="99"/>
    </row>
    <row r="2" spans="1:7" ht="23" x14ac:dyDescent="0.25">
      <c r="A2" s="56" t="s">
        <v>501</v>
      </c>
      <c r="B2" s="57"/>
      <c r="C2" s="57"/>
      <c r="D2" s="57"/>
      <c r="E2" s="57"/>
      <c r="F2" s="57"/>
      <c r="G2" s="57"/>
    </row>
    <row r="3" spans="1:7" ht="23" x14ac:dyDescent="0.25">
      <c r="A3" s="56" t="s">
        <v>206</v>
      </c>
      <c r="B3" s="57"/>
      <c r="C3" s="57"/>
      <c r="D3" s="57"/>
      <c r="E3" s="57"/>
      <c r="F3" s="57"/>
      <c r="G3" s="57"/>
    </row>
    <row r="4" spans="1:7" ht="19" customHeight="1" x14ac:dyDescent="0.25">
      <c r="A4" s="58" t="s">
        <v>240</v>
      </c>
      <c r="B4" s="57"/>
      <c r="C4" s="57"/>
      <c r="D4" s="57"/>
      <c r="E4" s="57"/>
      <c r="F4" s="57"/>
      <c r="G4" s="57"/>
    </row>
    <row r="5" spans="1:7" ht="75" customHeight="1" x14ac:dyDescent="0.25">
      <c r="A5" s="100" t="s">
        <v>210</v>
      </c>
      <c r="B5" s="101"/>
      <c r="C5" s="101"/>
      <c r="D5" s="101"/>
      <c r="E5" s="101"/>
      <c r="F5" s="102"/>
      <c r="G5" s="57"/>
    </row>
    <row r="6" spans="1:7" ht="23" x14ac:dyDescent="0.25">
      <c r="A6" s="59" t="s">
        <v>211</v>
      </c>
      <c r="B6" s="57"/>
      <c r="C6" s="57"/>
      <c r="D6" s="57"/>
      <c r="E6" s="57"/>
      <c r="F6" s="57"/>
      <c r="G6" s="57"/>
    </row>
    <row r="7" spans="1:7" ht="23" x14ac:dyDescent="0.25">
      <c r="A7" s="60" t="s">
        <v>227</v>
      </c>
      <c r="B7" s="57"/>
      <c r="C7" s="57"/>
      <c r="D7" s="57"/>
      <c r="E7" s="57"/>
      <c r="F7" s="57"/>
      <c r="G7" s="57"/>
    </row>
    <row r="8" spans="1:7" ht="23" x14ac:dyDescent="0.25">
      <c r="A8" s="61" t="s">
        <v>228</v>
      </c>
      <c r="B8" s="57"/>
      <c r="C8" s="57"/>
      <c r="D8" s="57"/>
      <c r="E8" s="57"/>
      <c r="F8" s="57"/>
      <c r="G8" s="57"/>
    </row>
    <row r="9" spans="1:7" ht="23" x14ac:dyDescent="0.25">
      <c r="A9" s="61" t="s">
        <v>229</v>
      </c>
      <c r="B9" s="57"/>
      <c r="C9" s="57"/>
      <c r="D9" s="57"/>
      <c r="E9" s="57"/>
      <c r="F9" s="57"/>
      <c r="G9" s="57"/>
    </row>
    <row r="10" spans="1:7" ht="23" x14ac:dyDescent="0.25">
      <c r="A10" s="62" t="s">
        <v>230</v>
      </c>
      <c r="B10" s="57"/>
      <c r="C10" s="57"/>
      <c r="D10" s="57"/>
      <c r="E10" s="57"/>
      <c r="F10" s="57"/>
      <c r="G10" s="57"/>
    </row>
    <row r="11" spans="1:7" ht="23" x14ac:dyDescent="0.25">
      <c r="A11" s="60" t="s">
        <v>231</v>
      </c>
      <c r="B11" s="57"/>
      <c r="C11" s="57"/>
      <c r="D11" s="57"/>
      <c r="E11" s="57"/>
      <c r="F11" s="57"/>
      <c r="G11" s="57"/>
    </row>
    <row r="12" spans="1:7" ht="23" x14ac:dyDescent="0.25">
      <c r="A12" s="61" t="s">
        <v>232</v>
      </c>
      <c r="B12" s="57"/>
      <c r="C12" s="57"/>
      <c r="D12" s="57"/>
      <c r="E12" s="57"/>
      <c r="F12" s="57"/>
      <c r="G12" s="57"/>
    </row>
    <row r="13" spans="1:7" ht="23" customHeight="1" x14ac:dyDescent="0.25">
      <c r="A13" s="61" t="s">
        <v>233</v>
      </c>
      <c r="B13" s="57"/>
      <c r="C13" s="57"/>
      <c r="D13" s="57"/>
      <c r="E13" s="57"/>
      <c r="F13" s="57"/>
      <c r="G13" s="57"/>
    </row>
    <row r="14" spans="1:7" ht="26" customHeight="1" x14ac:dyDescent="0.25">
      <c r="A14" s="60" t="s">
        <v>234</v>
      </c>
      <c r="B14" s="57"/>
      <c r="C14" s="57"/>
      <c r="D14" s="57"/>
      <c r="E14" s="57"/>
      <c r="F14" s="57"/>
      <c r="G14" s="57"/>
    </row>
    <row r="15" spans="1:7" ht="26" customHeight="1" x14ac:dyDescent="0.25">
      <c r="A15" s="62" t="s">
        <v>235</v>
      </c>
      <c r="B15" s="57"/>
      <c r="C15" s="57"/>
      <c r="D15" s="57"/>
      <c r="E15" s="57"/>
      <c r="F15" s="57"/>
      <c r="G15" s="57"/>
    </row>
    <row r="16" spans="1:7" ht="23" x14ac:dyDescent="0.25">
      <c r="A16" s="63" t="s">
        <v>236</v>
      </c>
      <c r="B16" s="57"/>
      <c r="C16" s="57"/>
      <c r="D16" s="57"/>
      <c r="E16" s="57"/>
      <c r="F16" s="57"/>
      <c r="G16" s="57"/>
    </row>
    <row r="17" spans="1:8" ht="23" x14ac:dyDescent="0.25">
      <c r="A17" s="63" t="s">
        <v>237</v>
      </c>
      <c r="B17" s="57"/>
      <c r="C17" s="57"/>
      <c r="D17" s="57"/>
      <c r="E17" s="57"/>
      <c r="F17" s="57"/>
      <c r="G17" s="57"/>
    </row>
    <row r="18" spans="1:8" ht="23" x14ac:dyDescent="0.25">
      <c r="A18" s="59" t="s">
        <v>207</v>
      </c>
      <c r="B18" s="57"/>
      <c r="C18" s="57"/>
      <c r="D18" s="57"/>
      <c r="E18" s="57"/>
      <c r="F18" s="57"/>
      <c r="G18" s="57"/>
    </row>
    <row r="19" spans="1:8" ht="23" x14ac:dyDescent="0.25">
      <c r="A19" s="57" t="s">
        <v>208</v>
      </c>
      <c r="B19" s="57"/>
      <c r="C19" s="57"/>
      <c r="D19" s="57"/>
      <c r="E19" s="57"/>
      <c r="F19" s="57"/>
      <c r="G19" s="57"/>
    </row>
    <row r="20" spans="1:8" ht="23" x14ac:dyDescent="0.25">
      <c r="A20" s="64"/>
      <c r="B20" s="64"/>
      <c r="C20" s="64"/>
      <c r="D20" s="64"/>
      <c r="E20" s="64"/>
      <c r="F20" s="64"/>
      <c r="G20" s="64"/>
    </row>
    <row r="21" spans="1:8" ht="23" x14ac:dyDescent="0.25">
      <c r="A21" s="65" t="s">
        <v>188</v>
      </c>
      <c r="B21" s="65" t="s">
        <v>201</v>
      </c>
      <c r="C21" s="65" t="s">
        <v>195</v>
      </c>
      <c r="D21" s="65" t="s">
        <v>196</v>
      </c>
      <c r="E21" s="65" t="s">
        <v>202</v>
      </c>
      <c r="F21" s="65" t="s">
        <v>203</v>
      </c>
      <c r="G21" s="65" t="s">
        <v>204</v>
      </c>
      <c r="H21" s="33"/>
    </row>
    <row r="22" spans="1:8" ht="23" x14ac:dyDescent="0.25">
      <c r="A22" s="65" t="s">
        <v>189</v>
      </c>
      <c r="B22" s="66">
        <v>177.45384615384617</v>
      </c>
      <c r="C22" s="66">
        <v>176.20769230769235</v>
      </c>
      <c r="D22" s="66">
        <v>179.62307692307692</v>
      </c>
      <c r="E22" s="67">
        <v>0.124135800874746</v>
      </c>
      <c r="F22" s="67">
        <v>0.13874027600676092</v>
      </c>
      <c r="G22" s="67">
        <v>0.12717610694753018</v>
      </c>
      <c r="H22" s="33"/>
    </row>
    <row r="23" spans="1:8" ht="23" x14ac:dyDescent="0.25">
      <c r="A23" s="65" t="s">
        <v>190</v>
      </c>
      <c r="B23" s="66">
        <v>182.8</v>
      </c>
      <c r="C23" s="66">
        <v>182.5</v>
      </c>
      <c r="D23" s="66">
        <v>183.4</v>
      </c>
      <c r="E23" s="67">
        <v>0.12787564142301203</v>
      </c>
      <c r="F23" s="67">
        <v>0.14369463693457904</v>
      </c>
      <c r="G23" s="67">
        <v>0.1298502309041589</v>
      </c>
      <c r="H23" s="33"/>
    </row>
    <row r="24" spans="1:8" ht="23" x14ac:dyDescent="0.25">
      <c r="A24" s="65" t="s">
        <v>191</v>
      </c>
      <c r="B24" s="66">
        <v>164.8</v>
      </c>
      <c r="C24" s="66">
        <v>169.7</v>
      </c>
      <c r="D24" s="66">
        <v>160.4</v>
      </c>
      <c r="E24" s="67">
        <v>0.11528394806626029</v>
      </c>
      <c r="F24" s="67">
        <v>0.13361632815231814</v>
      </c>
      <c r="G24" s="67">
        <v>0.1135658508016744</v>
      </c>
      <c r="H24" s="33"/>
    </row>
    <row r="25" spans="1:8" ht="23" x14ac:dyDescent="0.25">
      <c r="A25" s="65" t="s">
        <v>20</v>
      </c>
      <c r="B25" s="66">
        <v>175.6</v>
      </c>
      <c r="C25" s="66" t="s">
        <v>187</v>
      </c>
      <c r="D25" s="66">
        <v>175.6</v>
      </c>
      <c r="E25" s="67">
        <v>0.12283896408031131</v>
      </c>
      <c r="F25" s="67" t="s">
        <v>187</v>
      </c>
      <c r="G25" s="67">
        <v>0.12432770199983806</v>
      </c>
      <c r="H25" s="33"/>
    </row>
    <row r="26" spans="1:8" ht="23" x14ac:dyDescent="0.25">
      <c r="A26" s="65" t="s">
        <v>23</v>
      </c>
      <c r="B26" s="66">
        <v>185.7</v>
      </c>
      <c r="C26" s="66">
        <v>187.8</v>
      </c>
      <c r="D26" s="66">
        <v>182.2</v>
      </c>
      <c r="E26" s="67">
        <v>0.12990430313048867</v>
      </c>
      <c r="F26" s="67">
        <v>0.14786768666473393</v>
      </c>
      <c r="G26" s="67">
        <v>0.1290006110727249</v>
      </c>
      <c r="H26" s="33"/>
    </row>
    <row r="27" spans="1:8" ht="23" x14ac:dyDescent="0.25">
      <c r="A27" s="65" t="s">
        <v>26</v>
      </c>
      <c r="B27" s="66">
        <v>177.1</v>
      </c>
      <c r="C27" s="66">
        <v>180.3</v>
      </c>
      <c r="D27" s="66">
        <v>174.8</v>
      </c>
      <c r="E27" s="67">
        <v>0.12388827186004062</v>
      </c>
      <c r="F27" s="67">
        <v>0.14196242761262795</v>
      </c>
      <c r="G27" s="67">
        <v>0.12376128877888209</v>
      </c>
      <c r="H27" s="33"/>
    </row>
    <row r="28" spans="1:8" ht="23" x14ac:dyDescent="0.25">
      <c r="A28" s="65" t="s">
        <v>193</v>
      </c>
      <c r="B28" s="66">
        <v>184.4</v>
      </c>
      <c r="C28" s="66">
        <v>189.9666666666667</v>
      </c>
      <c r="D28" s="66">
        <v>176.23333333333335</v>
      </c>
      <c r="E28" s="67">
        <v>0.12899490305472328</v>
      </c>
      <c r="F28" s="67">
        <v>0.1495736503908979</v>
      </c>
      <c r="G28" s="67">
        <v>0.12477611246642822</v>
      </c>
      <c r="H28" s="33"/>
    </row>
    <row r="29" spans="1:8" ht="23" x14ac:dyDescent="0.25">
      <c r="A29" s="65" t="s">
        <v>194</v>
      </c>
      <c r="B29" s="66">
        <v>181.66</v>
      </c>
      <c r="C29" s="66">
        <v>183.57999999999998</v>
      </c>
      <c r="D29" s="66">
        <v>180.14000000000001</v>
      </c>
      <c r="E29" s="67">
        <v>0.12707816751041773</v>
      </c>
      <c r="F29" s="67">
        <v>0.14454499423808229</v>
      </c>
      <c r="G29" s="67">
        <v>0.12754209702876326</v>
      </c>
      <c r="H29" s="33"/>
    </row>
    <row r="30" spans="1:8" ht="23" x14ac:dyDescent="0.25">
      <c r="A30" s="65" t="s">
        <v>205</v>
      </c>
      <c r="B30" s="68">
        <v>1429.5138461538463</v>
      </c>
      <c r="C30" s="68">
        <v>1270.0543589743588</v>
      </c>
      <c r="D30" s="68">
        <v>1412.3964102564103</v>
      </c>
      <c r="E30" s="69">
        <v>1</v>
      </c>
      <c r="F30" s="69">
        <v>1</v>
      </c>
      <c r="G30" s="69">
        <v>1</v>
      </c>
      <c r="H30" s="33"/>
    </row>
    <row r="31" spans="1:8" ht="23" x14ac:dyDescent="0.25">
      <c r="A31" s="70"/>
      <c r="B31" s="71" t="s">
        <v>212</v>
      </c>
      <c r="C31" s="70"/>
      <c r="D31" s="70"/>
      <c r="E31" s="70"/>
      <c r="F31" s="70"/>
      <c r="G31" s="70"/>
    </row>
    <row r="32" spans="1:8" ht="23" x14ac:dyDescent="0.25">
      <c r="A32" s="57"/>
      <c r="B32" s="57"/>
      <c r="C32" s="57"/>
      <c r="D32" s="57"/>
      <c r="E32" s="57"/>
      <c r="F32" s="57"/>
      <c r="G32" s="57"/>
    </row>
    <row r="33" spans="1:7" ht="23" x14ac:dyDescent="0.25">
      <c r="A33" s="57"/>
      <c r="B33" s="57"/>
      <c r="C33" s="57"/>
      <c r="D33" s="57"/>
      <c r="E33" s="57"/>
      <c r="F33" s="57"/>
      <c r="G33" s="57"/>
    </row>
    <row r="34" spans="1:7" ht="23" x14ac:dyDescent="0.25">
      <c r="A34" s="57"/>
      <c r="B34" s="57"/>
      <c r="C34" s="57"/>
      <c r="D34" s="57"/>
      <c r="E34" s="57"/>
      <c r="F34" s="57"/>
      <c r="G34" s="57"/>
    </row>
    <row r="35" spans="1:7" ht="23" x14ac:dyDescent="0.25">
      <c r="A35" s="57"/>
      <c r="B35" s="57"/>
      <c r="C35" s="57"/>
      <c r="D35" s="57"/>
      <c r="E35" s="57"/>
      <c r="F35" s="57"/>
      <c r="G35" s="57"/>
    </row>
    <row r="36" spans="1:7" ht="23" x14ac:dyDescent="0.25">
      <c r="A36" s="57"/>
      <c r="B36" s="57"/>
      <c r="C36" s="57"/>
      <c r="D36" s="57"/>
      <c r="E36" s="57"/>
      <c r="F36" s="57"/>
      <c r="G36" s="57"/>
    </row>
    <row r="37" spans="1:7" ht="23" x14ac:dyDescent="0.25">
      <c r="A37" s="57"/>
      <c r="B37" s="57"/>
      <c r="C37" s="57"/>
      <c r="D37" s="57"/>
      <c r="E37" s="57"/>
      <c r="F37" s="57"/>
      <c r="G37" s="57"/>
    </row>
    <row r="38" spans="1:7" ht="23" x14ac:dyDescent="0.25">
      <c r="A38" s="57"/>
      <c r="B38" s="57"/>
      <c r="C38" s="57"/>
      <c r="D38" s="57"/>
      <c r="E38" s="57"/>
      <c r="F38" s="57"/>
      <c r="G38" s="57"/>
    </row>
    <row r="39" spans="1:7" ht="23" x14ac:dyDescent="0.25">
      <c r="A39" s="57"/>
      <c r="B39" s="57"/>
      <c r="C39" s="57"/>
      <c r="D39" s="57"/>
      <c r="E39" s="57"/>
      <c r="F39" s="57"/>
      <c r="G39" s="57"/>
    </row>
    <row r="40" spans="1:7" ht="23" x14ac:dyDescent="0.25">
      <c r="A40" s="57"/>
      <c r="B40" s="57"/>
      <c r="C40" s="57"/>
      <c r="D40" s="57"/>
      <c r="E40" s="57"/>
      <c r="F40" s="57"/>
      <c r="G40" s="57"/>
    </row>
    <row r="41" spans="1:7" ht="23" x14ac:dyDescent="0.25">
      <c r="A41" s="57"/>
      <c r="B41" s="57"/>
      <c r="C41" s="57"/>
      <c r="D41" s="57"/>
      <c r="E41" s="57"/>
      <c r="F41" s="57"/>
      <c r="G41" s="57"/>
    </row>
    <row r="42" spans="1:7" ht="23" x14ac:dyDescent="0.25">
      <c r="A42" s="57"/>
      <c r="B42" s="57"/>
      <c r="C42" s="57"/>
      <c r="D42" s="57"/>
      <c r="E42" s="57"/>
      <c r="F42" s="57"/>
      <c r="G42" s="57"/>
    </row>
    <row r="43" spans="1:7" ht="23" x14ac:dyDescent="0.25">
      <c r="A43" s="57"/>
      <c r="B43" s="57"/>
      <c r="C43" s="57"/>
      <c r="D43" s="57"/>
      <c r="E43" s="57"/>
      <c r="F43" s="57"/>
      <c r="G43" s="57"/>
    </row>
    <row r="44" spans="1:7" ht="23" x14ac:dyDescent="0.25">
      <c r="A44" s="57"/>
      <c r="B44" s="57"/>
      <c r="C44" s="57"/>
      <c r="D44" s="57"/>
      <c r="E44" s="57"/>
      <c r="F44" s="57"/>
      <c r="G44" s="57"/>
    </row>
    <row r="45" spans="1:7" ht="23" x14ac:dyDescent="0.25">
      <c r="A45" s="57"/>
      <c r="B45" s="57"/>
      <c r="C45" s="57"/>
      <c r="D45" s="57"/>
      <c r="E45" s="57"/>
      <c r="F45" s="57"/>
      <c r="G45" s="57"/>
    </row>
    <row r="46" spans="1:7" ht="23" x14ac:dyDescent="0.25">
      <c r="A46" s="57"/>
      <c r="B46" s="57"/>
      <c r="C46" s="57"/>
      <c r="D46" s="57"/>
      <c r="E46" s="57"/>
      <c r="F46" s="57"/>
      <c r="G46" s="57"/>
    </row>
    <row r="47" spans="1:7" ht="23" x14ac:dyDescent="0.25">
      <c r="A47" s="57"/>
      <c r="B47" s="57"/>
      <c r="C47" s="57"/>
      <c r="D47" s="57"/>
      <c r="E47" s="57"/>
      <c r="F47" s="57"/>
      <c r="G47" s="57"/>
    </row>
    <row r="48" spans="1:7" ht="23" x14ac:dyDescent="0.25">
      <c r="A48" s="57"/>
      <c r="B48" s="57"/>
      <c r="C48" s="57"/>
      <c r="D48" s="57"/>
      <c r="E48" s="57"/>
      <c r="F48" s="57"/>
      <c r="G48" s="57"/>
    </row>
    <row r="49" spans="1:7" ht="23" x14ac:dyDescent="0.25">
      <c r="A49" s="59" t="s">
        <v>213</v>
      </c>
      <c r="B49" s="57"/>
      <c r="C49" s="57"/>
      <c r="D49" s="57"/>
      <c r="E49" s="57"/>
      <c r="F49" s="57"/>
      <c r="G49" s="57"/>
    </row>
    <row r="50" spans="1:7" ht="23" x14ac:dyDescent="0.25">
      <c r="A50" s="60" t="s">
        <v>214</v>
      </c>
      <c r="B50" s="57"/>
      <c r="C50" s="57"/>
      <c r="D50" s="57"/>
      <c r="E50" s="57"/>
      <c r="F50" s="57"/>
      <c r="G50" s="57"/>
    </row>
    <row r="51" spans="1:7" ht="23" x14ac:dyDescent="0.25">
      <c r="A51" s="63" t="s">
        <v>215</v>
      </c>
      <c r="B51" s="57"/>
      <c r="C51" s="57"/>
      <c r="D51" s="57"/>
      <c r="E51" s="57"/>
      <c r="F51" s="57"/>
      <c r="G51" s="57"/>
    </row>
    <row r="52" spans="1:7" ht="23" x14ac:dyDescent="0.25">
      <c r="A52" s="63" t="s">
        <v>216</v>
      </c>
      <c r="B52" s="57"/>
      <c r="C52" s="57"/>
      <c r="D52" s="57"/>
      <c r="E52" s="57"/>
      <c r="F52" s="57"/>
      <c r="G52" s="57"/>
    </row>
    <row r="53" spans="1:7" ht="23" x14ac:dyDescent="0.25">
      <c r="A53" s="63" t="s">
        <v>217</v>
      </c>
      <c r="B53" s="57"/>
      <c r="C53" s="57"/>
      <c r="D53" s="57"/>
      <c r="E53" s="57"/>
      <c r="F53" s="57"/>
      <c r="G53" s="57"/>
    </row>
    <row r="54" spans="1:7" ht="23" x14ac:dyDescent="0.25">
      <c r="A54" s="60" t="s">
        <v>218</v>
      </c>
      <c r="B54" s="57"/>
      <c r="C54" s="57"/>
      <c r="D54" s="57"/>
      <c r="E54" s="57"/>
      <c r="F54" s="57"/>
      <c r="G54" s="57"/>
    </row>
    <row r="55" spans="1:7" ht="23" x14ac:dyDescent="0.25">
      <c r="A55" s="63" t="s">
        <v>219</v>
      </c>
      <c r="B55" s="57"/>
      <c r="C55" s="57"/>
      <c r="D55" s="57"/>
      <c r="E55" s="57"/>
      <c r="F55" s="57"/>
      <c r="G55" s="57"/>
    </row>
    <row r="56" spans="1:7" ht="23" x14ac:dyDescent="0.25">
      <c r="A56" s="63" t="s">
        <v>220</v>
      </c>
      <c r="B56" s="57"/>
      <c r="C56" s="57"/>
      <c r="D56" s="57"/>
      <c r="E56" s="57"/>
      <c r="F56" s="57"/>
      <c r="G56" s="57"/>
    </row>
    <row r="57" spans="1:7" ht="23" x14ac:dyDescent="0.25">
      <c r="A57" s="60" t="s">
        <v>221</v>
      </c>
      <c r="B57" s="57"/>
      <c r="C57" s="57"/>
      <c r="D57" s="57"/>
      <c r="E57" s="57"/>
      <c r="F57" s="57"/>
      <c r="G57" s="57"/>
    </row>
    <row r="58" spans="1:7" ht="23" x14ac:dyDescent="0.25">
      <c r="A58" s="63" t="s">
        <v>222</v>
      </c>
      <c r="B58" s="57"/>
      <c r="C58" s="57"/>
      <c r="D58" s="57"/>
      <c r="E58" s="57"/>
      <c r="F58" s="57"/>
      <c r="G58" s="57"/>
    </row>
    <row r="59" spans="1:7" ht="23" x14ac:dyDescent="0.25">
      <c r="A59" s="72" t="s">
        <v>223</v>
      </c>
      <c r="B59" s="57"/>
      <c r="C59" s="57"/>
      <c r="D59" s="57"/>
      <c r="E59" s="57"/>
      <c r="F59" s="57"/>
      <c r="G59" s="57"/>
    </row>
    <row r="60" spans="1:7" ht="23" x14ac:dyDescent="0.25">
      <c r="A60" s="63" t="s">
        <v>224</v>
      </c>
      <c r="B60" s="57"/>
      <c r="C60" s="57"/>
      <c r="D60" s="57"/>
      <c r="E60" s="57"/>
      <c r="F60" s="57"/>
      <c r="G60" s="57"/>
    </row>
    <row r="61" spans="1:7" ht="23" x14ac:dyDescent="0.25">
      <c r="A61" s="72" t="s">
        <v>225</v>
      </c>
      <c r="B61" s="57"/>
      <c r="C61" s="57"/>
      <c r="D61" s="57"/>
      <c r="E61" s="57"/>
      <c r="F61" s="57"/>
      <c r="G61" s="57"/>
    </row>
    <row r="62" spans="1:7" ht="23" x14ac:dyDescent="0.25">
      <c r="A62" s="72" t="s">
        <v>226</v>
      </c>
      <c r="B62" s="57"/>
      <c r="C62" s="57"/>
      <c r="D62" s="57"/>
      <c r="E62" s="57"/>
      <c r="F62" s="57"/>
      <c r="G62" s="57"/>
    </row>
    <row r="63" spans="1:7" ht="23" x14ac:dyDescent="0.25">
      <c r="A63" s="57"/>
      <c r="B63" s="57"/>
      <c r="C63" s="57"/>
      <c r="D63" s="57"/>
      <c r="E63" s="57"/>
      <c r="F63" s="57"/>
      <c r="G63" s="57"/>
    </row>
    <row r="64" spans="1:7" ht="23" x14ac:dyDescent="0.25">
      <c r="A64" s="59" t="s">
        <v>238</v>
      </c>
      <c r="B64" s="57"/>
      <c r="C64" s="57"/>
      <c r="D64" s="57"/>
      <c r="E64" s="57"/>
      <c r="F64" s="57"/>
      <c r="G64" s="57"/>
    </row>
    <row r="65" spans="1:7" ht="65" customHeight="1" x14ac:dyDescent="0.25">
      <c r="A65" s="103" t="s">
        <v>239</v>
      </c>
      <c r="B65" s="104"/>
      <c r="C65" s="104"/>
      <c r="D65" s="104"/>
      <c r="E65" s="105"/>
      <c r="F65" s="57"/>
      <c r="G65" s="57"/>
    </row>
    <row r="66" spans="1:7" ht="23" x14ac:dyDescent="0.25">
      <c r="A66" s="57"/>
      <c r="B66" s="57"/>
      <c r="C66" s="57"/>
      <c r="D66" s="57"/>
      <c r="E66" s="57"/>
      <c r="F66" s="57"/>
      <c r="G66" s="57"/>
    </row>
    <row r="67" spans="1:7" ht="23" x14ac:dyDescent="0.25">
      <c r="A67" s="57"/>
      <c r="B67" s="57"/>
      <c r="C67" s="57"/>
      <c r="D67" s="57"/>
      <c r="E67" s="57"/>
      <c r="F67" s="57"/>
      <c r="G67" s="57"/>
    </row>
    <row r="68" spans="1:7" ht="23" x14ac:dyDescent="0.25">
      <c r="A68" s="57"/>
      <c r="B68" s="57"/>
      <c r="C68" s="57"/>
      <c r="D68" s="57"/>
      <c r="E68" s="57"/>
      <c r="F68" s="57"/>
      <c r="G68" s="57"/>
    </row>
  </sheetData>
  <mergeCells count="3">
    <mergeCell ref="A1:D1"/>
    <mergeCell ref="A5:F5"/>
    <mergeCell ref="A65:E65"/>
  </mergeCells>
  <conditionalFormatting sqref="B22:B29">
    <cfRule type="colorScale" priority="6">
      <colorScale>
        <cfvo type="min"/>
        <cfvo type="percentile" val="50"/>
        <cfvo type="max"/>
        <color rgb="FFF8696B"/>
        <color rgb="FFFFEB84"/>
        <color rgb="FF63BE7B"/>
      </colorScale>
    </cfRule>
    <cfRule type="colorScale" priority="7">
      <colorScale>
        <cfvo type="min"/>
        <cfvo type="max"/>
        <color rgb="FFFFEF9C"/>
        <color rgb="FF63BE7B"/>
      </colorScale>
    </cfRule>
  </conditionalFormatting>
  <conditionalFormatting sqref="C22:C29">
    <cfRule type="colorScale" priority="5">
      <colorScale>
        <cfvo type="min"/>
        <cfvo type="percentile" val="50"/>
        <cfvo type="max"/>
        <color rgb="FFF8696B"/>
        <color rgb="FFFFEB84"/>
        <color rgb="FF63BE7B"/>
      </colorScale>
    </cfRule>
  </conditionalFormatting>
  <conditionalFormatting sqref="D22:D29">
    <cfRule type="colorScale" priority="4">
      <colorScale>
        <cfvo type="min"/>
        <cfvo type="percentile" val="50"/>
        <cfvo type="max"/>
        <color rgb="FFF8696B"/>
        <color rgb="FFFFEB84"/>
        <color rgb="FF63BE7B"/>
      </colorScale>
    </cfRule>
  </conditionalFormatting>
  <conditionalFormatting sqref="E22:E29">
    <cfRule type="colorScale" priority="3">
      <colorScale>
        <cfvo type="min"/>
        <cfvo type="percentile" val="50"/>
        <cfvo type="max"/>
        <color rgb="FFF8696B"/>
        <color rgb="FFFFEB84"/>
        <color rgb="FF63BE7B"/>
      </colorScale>
    </cfRule>
  </conditionalFormatting>
  <conditionalFormatting sqref="F22:F29">
    <cfRule type="colorScale" priority="2">
      <colorScale>
        <cfvo type="min"/>
        <cfvo type="percentile" val="50"/>
        <cfvo type="max"/>
        <color rgb="FFF8696B"/>
        <color rgb="FFFFEB84"/>
        <color rgb="FF63BE7B"/>
      </colorScale>
    </cfRule>
  </conditionalFormatting>
  <conditionalFormatting sqref="G22:G29">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2CC7E-29DE-C247-8487-B82FF6CD549F}">
  <dimension ref="A1:M28"/>
  <sheetViews>
    <sheetView workbookViewId="0">
      <selection activeCell="D16" sqref="D16"/>
    </sheetView>
  </sheetViews>
  <sheetFormatPr baseColWidth="10" defaultRowHeight="16" x14ac:dyDescent="0.2"/>
  <cols>
    <col min="1" max="1" width="26" bestFit="1" customWidth="1"/>
    <col min="2" max="2" width="22.83203125" bestFit="1" customWidth="1"/>
    <col min="3" max="3" width="16.83203125" bestFit="1" customWidth="1"/>
    <col min="4" max="4" width="17.33203125" bestFit="1" customWidth="1"/>
    <col min="5" max="5" width="26" bestFit="1" customWidth="1"/>
    <col min="7" max="7" width="18.1640625" bestFit="1" customWidth="1"/>
    <col min="8" max="8" width="26.83203125" bestFit="1" customWidth="1"/>
    <col min="9" max="9" width="17.83203125" bestFit="1" customWidth="1"/>
    <col min="10" max="10" width="18.5" bestFit="1" customWidth="1"/>
    <col min="11" max="11" width="26.83203125" bestFit="1" customWidth="1"/>
    <col min="12" max="12" width="19.5" bestFit="1" customWidth="1"/>
    <col min="13" max="13" width="20.1640625" bestFit="1" customWidth="1"/>
  </cols>
  <sheetData>
    <row r="1" spans="1:13" x14ac:dyDescent="0.2">
      <c r="A1" s="29" t="s">
        <v>192</v>
      </c>
      <c r="B1" s="20" t="s">
        <v>197</v>
      </c>
      <c r="C1" s="20" t="s">
        <v>198</v>
      </c>
      <c r="D1" s="20" t="s">
        <v>199</v>
      </c>
      <c r="E1" s="20" t="s">
        <v>200</v>
      </c>
      <c r="G1" s="20" t="s">
        <v>188</v>
      </c>
      <c r="H1" s="20" t="s">
        <v>201</v>
      </c>
      <c r="I1" s="20" t="s">
        <v>195</v>
      </c>
      <c r="J1" s="20" t="s">
        <v>196</v>
      </c>
      <c r="K1" s="20" t="s">
        <v>202</v>
      </c>
      <c r="L1" s="20" t="s">
        <v>203</v>
      </c>
      <c r="M1" s="20" t="s">
        <v>204</v>
      </c>
    </row>
    <row r="2" spans="1:13" x14ac:dyDescent="0.2">
      <c r="A2" s="24" t="s">
        <v>3</v>
      </c>
      <c r="B2" s="30" cm="1">
        <f t="array" ref="B2">IFERROR(
  _xlfn.XLOOKUP(
    1,
    (All_India_Index_Upto_April23__1___1[Sector]="Rural+Urban") *
    (All_India_Index_Upto_April23__1___1[Date]=DATE(2023,5,1)),
    INDEX(All_India_Index_Upto_April23__1___1[],0,
          MATCH($A2, All_India_Index_Upto_April23__1___1[#Headers],0)
    )
  ),
"")</f>
        <v>173.7</v>
      </c>
      <c r="C2" s="24" cm="1">
        <f t="array" ref="C2">IFERROR(
  _xlfn.XLOOKUP(
    1,
    (All_India_Index_Upto_April23__1___1[Sector]="Rural") *
    (All_India_Index_Upto_April23__1___1[Date]=DATE(2023,5,1)),
    INDEX(All_India_Index_Upto_April23__1___1[],0,
          MATCH($A2, All_India_Index_Upto_April23__1___1[#Headers],0)
    )
  ),
"")</f>
        <v>173.2</v>
      </c>
      <c r="D2" s="30" cm="1">
        <f t="array" ref="D2">IFERROR(
  _xlfn.XLOOKUP(
    1,
    (All_India_Index_Upto_April23__1___1[Sector]="Urban") *
    (All_India_Index_Upto_April23__1___1[Date]=DATE(2023,5,1)),
    INDEX(All_India_Index_Upto_April23__1___1[],0,
          MATCH($A2, All_India_Index_Upto_April23__1___1[#Headers],0)
    )
  ),
"")</f>
        <v>174.7</v>
      </c>
      <c r="E2" s="24" t="s">
        <v>189</v>
      </c>
      <c r="G2" s="24" t="s">
        <v>189</v>
      </c>
      <c r="H2" s="27">
        <f>AVERAGEIF($E$2:$E$27, G2, $B$2:$B$27)</f>
        <v>177.45384615384617</v>
      </c>
      <c r="I2" s="27">
        <f>IF(G2="Housing","",AVERAGEIF($E:$E, G2, $C:$C))</f>
        <v>176.20769230769235</v>
      </c>
      <c r="J2" s="27">
        <f>AVERAGEIF($E:$E, G2, $D:$D)</f>
        <v>179.62307692307692</v>
      </c>
      <c r="K2" s="28">
        <f>H2 / SUM($H$2:$H$9)</f>
        <v>0.12413580087474602</v>
      </c>
      <c r="L2" s="28">
        <f>IF(I2="","", I2 / SUM($I$2:$I$9))</f>
        <v>0.13874027600676092</v>
      </c>
      <c r="M2" s="28">
        <f>J2 / SUM($J$2:$J$9)</f>
        <v>0.12717610694753018</v>
      </c>
    </row>
    <row r="3" spans="1:13" x14ac:dyDescent="0.2">
      <c r="A3" s="24" t="s">
        <v>4</v>
      </c>
      <c r="B3" s="30" cm="1">
        <f t="array" ref="B3">IFERROR(
  _xlfn.XLOOKUP(
    1,
    (All_India_Index_Upto_April23__1___1[Sector]="Rural+Urban") *
    (All_India_Index_Upto_April23__1___1[Date]=DATE(2023,5,1)),
    INDEX(All_India_Index_Upto_April23__1___1[],0,
          MATCH($A3, All_India_Index_Upto_April23__1___1[#Headers],0)
    )
  ),
"")</f>
        <v>214.3</v>
      </c>
      <c r="C3" s="24" cm="1">
        <f t="array" ref="C3">IFERROR(
  _xlfn.XLOOKUP(
    1,
    (All_India_Index_Upto_April23__1___1[Sector]="Rural") *
    (All_India_Index_Upto_April23__1___1[Date]=DATE(2023,5,1)),
    INDEX(All_India_Index_Upto_April23__1___1[],0,
          MATCH($A3, All_India_Index_Upto_April23__1___1[#Headers],0)
    )
  ),
"")</f>
        <v>211.5</v>
      </c>
      <c r="D3" s="30" cm="1">
        <f t="array" ref="D3">IFERROR(
  _xlfn.XLOOKUP(
    1,
    (All_India_Index_Upto_April23__1___1[Sector]="Urban") *
    (All_India_Index_Upto_April23__1___1[Date]=DATE(2023,5,1)),
    INDEX(All_India_Index_Upto_April23__1___1[],0,
          MATCH($A3, All_India_Index_Upto_April23__1___1[#Headers],0)
    )
  ),
"")</f>
        <v>219.4</v>
      </c>
      <c r="E3" s="24" t="s">
        <v>189</v>
      </c>
      <c r="G3" s="24" t="s">
        <v>190</v>
      </c>
      <c r="H3" s="24">
        <f t="shared" ref="H3:H9" si="0">AVERAGEIF($E$2:$E$27, G3, $B$2:$B$27)</f>
        <v>182.8</v>
      </c>
      <c r="I3" s="27">
        <f t="shared" ref="I3:I9" si="1">IF(G3="Housing","",AVERAGEIF($E:$E, G3, $C:$C))</f>
        <v>182.5</v>
      </c>
      <c r="J3" s="27">
        <f t="shared" ref="J3:J9" si="2">AVERAGEIF($E:$E, G3, $D:$D)</f>
        <v>183.4</v>
      </c>
      <c r="K3" s="28">
        <f t="shared" ref="K3:K10" si="3">H3 / SUM($H$2:$H$9)</f>
        <v>0.12787564142301203</v>
      </c>
      <c r="L3" s="28">
        <f t="shared" ref="L3:L10" si="4">IF(I3="","", I3 / SUM($I$2:$I$9))</f>
        <v>0.14369463693457904</v>
      </c>
      <c r="M3" s="28">
        <f t="shared" ref="M3:M10" si="5">J3 / SUM($J$2:$J$9)</f>
        <v>0.1298502309041589</v>
      </c>
    </row>
    <row r="4" spans="1:13" x14ac:dyDescent="0.2">
      <c r="A4" s="24" t="s">
        <v>5</v>
      </c>
      <c r="B4" s="30" cm="1">
        <f t="array" ref="B4">IFERROR(
  _xlfn.XLOOKUP(
    1,
    (All_India_Index_Upto_April23__1___1[Sector]="Rural+Urban") *
    (All_India_Index_Upto_April23__1___1[Date]=DATE(2023,5,1)),
    INDEX(All_India_Index_Upto_April23__1___1[],0,
          MATCH($A4, All_India_Index_Upto_April23__1___1[#Headers],0)
    )
  ),
"")</f>
        <v>173.2</v>
      </c>
      <c r="C4" s="24" cm="1">
        <f t="array" ref="C4">IFERROR(
  _xlfn.XLOOKUP(
    1,
    (All_India_Index_Upto_April23__1___1[Sector]="Rural") *
    (All_India_Index_Upto_April23__1___1[Date]=DATE(2023,5,1)),
    INDEX(All_India_Index_Upto_April23__1___1[],0,
          MATCH($A4, All_India_Index_Upto_April23__1___1[#Headers],0)
    )
  ),
"")</f>
        <v>171</v>
      </c>
      <c r="D4" s="30" cm="1">
        <f t="array" ref="D4">IFERROR(
  _xlfn.XLOOKUP(
    1,
    (All_India_Index_Upto_April23__1___1[Sector]="Urban") *
    (All_India_Index_Upto_April23__1___1[Date]=DATE(2023,5,1)),
    INDEX(All_India_Index_Upto_April23__1___1[],0,
          MATCH($A4, All_India_Index_Upto_April23__1___1[#Headers],0)
    )
  ),
"")</f>
        <v>176.7</v>
      </c>
      <c r="E4" s="24" t="s">
        <v>189</v>
      </c>
      <c r="G4" s="24" t="s">
        <v>191</v>
      </c>
      <c r="H4" s="24">
        <f t="shared" si="0"/>
        <v>164.8</v>
      </c>
      <c r="I4" s="27">
        <f t="shared" si="1"/>
        <v>169.7</v>
      </c>
      <c r="J4" s="27">
        <f t="shared" si="2"/>
        <v>160.4</v>
      </c>
      <c r="K4" s="28">
        <f t="shared" si="3"/>
        <v>0.11528394806626029</v>
      </c>
      <c r="L4" s="28">
        <f t="shared" si="4"/>
        <v>0.13361632815231814</v>
      </c>
      <c r="M4" s="28">
        <f t="shared" si="5"/>
        <v>0.1135658508016744</v>
      </c>
    </row>
    <row r="5" spans="1:13" x14ac:dyDescent="0.2">
      <c r="A5" s="24" t="s">
        <v>6</v>
      </c>
      <c r="B5" s="30" cm="1">
        <f t="array" ref="B5">IFERROR(
  _xlfn.XLOOKUP(
    1,
    (All_India_Index_Upto_April23__1___1[Sector]="Rural+Urban") *
    (All_India_Index_Upto_April23__1___1[Date]=DATE(2023,5,1)),
    INDEX(All_India_Index_Upto_April23__1___1[],0,
          MATCH($A5, All_India_Index_Upto_April23__1___1[#Headers],0)
    )
  ),
"")</f>
        <v>179.5</v>
      </c>
      <c r="C5" s="24" cm="1">
        <f t="array" ref="C5">IFERROR(
  _xlfn.XLOOKUP(
    1,
    (All_India_Index_Upto_April23__1___1[Sector]="Rural") *
    (All_India_Index_Upto_April23__1___1[Date]=DATE(2023,5,1)),
    INDEX(All_India_Index_Upto_April23__1___1[],0,
          MATCH($A5, All_India_Index_Upto_April23__1___1[#Headers],0)
    )
  ),
"")</f>
        <v>179.6</v>
      </c>
      <c r="D5" s="30" cm="1">
        <f t="array" ref="D5">IFERROR(
  _xlfn.XLOOKUP(
    1,
    (All_India_Index_Upto_April23__1___1[Sector]="Urban") *
    (All_India_Index_Upto_April23__1___1[Date]=DATE(2023,5,1)),
    INDEX(All_India_Index_Upto_April23__1___1[],0,
          MATCH($A5, All_India_Index_Upto_April23__1___1[#Headers],0)
    )
  ),
"")</f>
        <v>179.4</v>
      </c>
      <c r="E5" s="24" t="s">
        <v>189</v>
      </c>
      <c r="G5" s="24" t="s">
        <v>20</v>
      </c>
      <c r="H5" s="24">
        <v>175.6</v>
      </c>
      <c r="I5" s="27" t="str">
        <f t="shared" si="1"/>
        <v/>
      </c>
      <c r="J5" s="27">
        <v>175.6</v>
      </c>
      <c r="K5" s="28">
        <f t="shared" si="3"/>
        <v>0.12283896408031131</v>
      </c>
      <c r="L5" s="28" t="str">
        <f t="shared" si="4"/>
        <v/>
      </c>
      <c r="M5" s="28">
        <f t="shared" si="5"/>
        <v>0.12432770199983806</v>
      </c>
    </row>
    <row r="6" spans="1:13" x14ac:dyDescent="0.2">
      <c r="A6" s="24" t="s">
        <v>7</v>
      </c>
      <c r="B6" s="30" cm="1">
        <f t="array" ref="B6">IFERROR(
  _xlfn.XLOOKUP(
    1,
    (All_India_Index_Upto_April23__1___1[Sector]="Rural+Urban") *
    (All_India_Index_Upto_April23__1___1[Date]=DATE(2023,5,1)),
    INDEX(All_India_Index_Upto_April23__1___1[],0,
          MATCH($A6, All_India_Index_Upto_April23__1___1[#Headers],0)
    )
  ),
"")</f>
        <v>170</v>
      </c>
      <c r="C6" s="24" cm="1">
        <f t="array" ref="C6">IFERROR(
  _xlfn.XLOOKUP(
    1,
    (All_India_Index_Upto_April23__1___1[Sector]="Rural") *
    (All_India_Index_Upto_April23__1___1[Date]=DATE(2023,5,1)),
    INDEX(All_India_Index_Upto_April23__1___1[],0,
          MATCH($A6, All_India_Index_Upto_April23__1___1[#Headers],0)
    )
  ),
"")</f>
        <v>173.3</v>
      </c>
      <c r="D6" s="30" cm="1">
        <f t="array" ref="D6">IFERROR(
  _xlfn.XLOOKUP(
    1,
    (All_India_Index_Upto_April23__1___1[Sector]="Urban") *
    (All_India_Index_Upto_April23__1___1[Date]=DATE(2023,5,1)),
    INDEX(All_India_Index_Upto_April23__1___1[],0,
          MATCH($A6, All_India_Index_Upto_April23__1___1[#Headers],0)
    )
  ),
"")</f>
        <v>164.4</v>
      </c>
      <c r="E6" s="24" t="s">
        <v>189</v>
      </c>
      <c r="G6" s="24" t="s">
        <v>23</v>
      </c>
      <c r="H6" s="24">
        <f t="shared" si="0"/>
        <v>185.7</v>
      </c>
      <c r="I6" s="27">
        <f t="shared" si="1"/>
        <v>187.8</v>
      </c>
      <c r="J6" s="27">
        <f t="shared" si="2"/>
        <v>182.2</v>
      </c>
      <c r="K6" s="28">
        <f t="shared" si="3"/>
        <v>0.12990430313048867</v>
      </c>
      <c r="L6" s="28">
        <f t="shared" si="4"/>
        <v>0.14786768666473393</v>
      </c>
      <c r="M6" s="28">
        <f t="shared" si="5"/>
        <v>0.1290006110727249</v>
      </c>
    </row>
    <row r="7" spans="1:13" x14ac:dyDescent="0.2">
      <c r="A7" s="24" t="s">
        <v>8</v>
      </c>
      <c r="B7" s="30" cm="1">
        <f t="array" ref="B7">IFERROR(
  _xlfn.XLOOKUP(
    1,
    (All_India_Index_Upto_April23__1___1[Sector]="Rural+Urban") *
    (All_India_Index_Upto_April23__1___1[Date]=DATE(2023,5,1)),
    INDEX(All_India_Index_Upto_April23__1___1[],0,
          MATCH($A7, All_India_Index_Upto_April23__1___1[#Headers],0)
    )
  ),
"")</f>
        <v>172.2</v>
      </c>
      <c r="C7" s="24" cm="1">
        <f t="array" ref="C7">IFERROR(
  _xlfn.XLOOKUP(
    1,
    (All_India_Index_Upto_April23__1___1[Sector]="Rural") *
    (All_India_Index_Upto_April23__1___1[Date]=DATE(2023,5,1)),
    INDEX(All_India_Index_Upto_April23__1___1[],0,
          MATCH($A7, All_India_Index_Upto_April23__1___1[#Headers],0)
    )
  ),
"")</f>
        <v>169</v>
      </c>
      <c r="D7" s="30" cm="1">
        <f t="array" ref="D7">IFERROR(
  _xlfn.XLOOKUP(
    1,
    (All_India_Index_Upto_April23__1___1[Sector]="Urban") *
    (All_India_Index_Upto_April23__1___1[Date]=DATE(2023,5,1)),
    INDEX(All_India_Index_Upto_April23__1___1[],0,
          MATCH($A7, All_India_Index_Upto_April23__1___1[#Headers],0)
    )
  ),
"")</f>
        <v>175.8</v>
      </c>
      <c r="E7" s="24" t="s">
        <v>189</v>
      </c>
      <c r="G7" s="24" t="s">
        <v>26</v>
      </c>
      <c r="H7" s="24">
        <f t="shared" si="0"/>
        <v>177.1</v>
      </c>
      <c r="I7" s="27">
        <f t="shared" si="1"/>
        <v>180.3</v>
      </c>
      <c r="J7" s="27">
        <f t="shared" si="2"/>
        <v>174.8</v>
      </c>
      <c r="K7" s="28">
        <f t="shared" si="3"/>
        <v>0.12388827186004062</v>
      </c>
      <c r="L7" s="28">
        <f t="shared" si="4"/>
        <v>0.14196242761262795</v>
      </c>
      <c r="M7" s="28">
        <f t="shared" si="5"/>
        <v>0.12376128877888209</v>
      </c>
    </row>
    <row r="8" spans="1:13" x14ac:dyDescent="0.2">
      <c r="A8" s="24" t="s">
        <v>9</v>
      </c>
      <c r="B8" s="30" cm="1">
        <f t="array" ref="B8">IFERROR(
  _xlfn.XLOOKUP(
    1,
    (All_India_Index_Upto_April23__1___1[Sector]="Rural+Urban") *
    (All_India_Index_Upto_April23__1___1[Date]=DATE(2023,5,1)),
    INDEX(All_India_Index_Upto_April23__1___1[],0,
          MATCH($A8, All_India_Index_Upto_April23__1___1[#Headers],0)
    )
  ),
"")</f>
        <v>161</v>
      </c>
      <c r="C8" s="24" cm="1">
        <f t="array" ref="C8">IFERROR(
  _xlfn.XLOOKUP(
    1,
    (All_India_Index_Upto_April23__1___1[Sector]="Rural") *
    (All_India_Index_Upto_April23__1___1[Date]=DATE(2023,5,1)),
    INDEX(All_India_Index_Upto_April23__1___1[],0,
          MATCH($A8, All_India_Index_Upto_April23__1___1[#Headers],0)
    )
  ),
"")</f>
        <v>148.69999999999999</v>
      </c>
      <c r="D8" s="30" cm="1">
        <f t="array" ref="D8">IFERROR(
  _xlfn.XLOOKUP(
    1,
    (All_India_Index_Upto_April23__1___1[Sector]="Urban") *
    (All_India_Index_Upto_April23__1___1[Date]=DATE(2023,5,1)),
    INDEX(All_India_Index_Upto_April23__1___1[],0,
          MATCH($A8, All_India_Index_Upto_April23__1___1[#Headers],0)
    )
  ),
"")</f>
        <v>185</v>
      </c>
      <c r="E8" s="24" t="s">
        <v>189</v>
      </c>
      <c r="G8" s="24" t="s">
        <v>193</v>
      </c>
      <c r="H8" s="24">
        <f t="shared" si="0"/>
        <v>184.4</v>
      </c>
      <c r="I8" s="27">
        <f t="shared" si="1"/>
        <v>189.9666666666667</v>
      </c>
      <c r="J8" s="27">
        <f t="shared" si="2"/>
        <v>176.23333333333335</v>
      </c>
      <c r="K8" s="28">
        <f t="shared" si="3"/>
        <v>0.12899490305472328</v>
      </c>
      <c r="L8" s="28">
        <f t="shared" si="4"/>
        <v>0.1495736503908979</v>
      </c>
      <c r="M8" s="28">
        <f t="shared" si="5"/>
        <v>0.12477611246642822</v>
      </c>
    </row>
    <row r="9" spans="1:13" x14ac:dyDescent="0.2">
      <c r="A9" s="24" t="s">
        <v>10</v>
      </c>
      <c r="B9" s="30" cm="1">
        <f t="array" ref="B9">IFERROR(
  _xlfn.XLOOKUP(
    1,
    (All_India_Index_Upto_April23__1___1[Sector]="Rural+Urban") *
    (All_India_Index_Upto_April23__1___1[Date]=DATE(2023,5,1)),
    INDEX(All_India_Index_Upto_April23__1___1[],0,
          MATCH($A9, All_India_Index_Upto_April23__1___1[#Headers],0)
    )
  ),
"")</f>
        <v>175.6</v>
      </c>
      <c r="C9" s="24" cm="1">
        <f t="array" ref="C9">IFERROR(
  _xlfn.XLOOKUP(
    1,
    (All_India_Index_Upto_April23__1___1[Sector]="Rural") *
    (All_India_Index_Upto_April23__1___1[Date]=DATE(2023,5,1)),
    INDEX(All_India_Index_Upto_April23__1___1[],0,
          MATCH($A9, All_India_Index_Upto_April23__1___1[#Headers],0)
    )
  ),
"")</f>
        <v>174.9</v>
      </c>
      <c r="D9" s="30" cm="1">
        <f t="array" ref="D9">IFERROR(
  _xlfn.XLOOKUP(
    1,
    (All_India_Index_Upto_April23__1___1[Sector]="Urban") *
    (All_India_Index_Upto_April23__1___1[Date]=DATE(2023,5,1)),
    INDEX(All_India_Index_Upto_April23__1___1[],0,
          MATCH($A9, All_India_Index_Upto_April23__1___1[#Headers],0)
    )
  ),
"")</f>
        <v>176.9</v>
      </c>
      <c r="E9" s="24" t="s">
        <v>189</v>
      </c>
      <c r="G9" s="24" t="s">
        <v>194</v>
      </c>
      <c r="H9" s="24">
        <f t="shared" si="0"/>
        <v>181.66</v>
      </c>
      <c r="I9" s="27">
        <f t="shared" si="1"/>
        <v>183.57999999999998</v>
      </c>
      <c r="J9" s="27">
        <f t="shared" si="2"/>
        <v>180.14000000000001</v>
      </c>
      <c r="K9" s="28">
        <f t="shared" si="3"/>
        <v>0.12707816751041773</v>
      </c>
      <c r="L9" s="28">
        <f t="shared" si="4"/>
        <v>0.14454499423808229</v>
      </c>
      <c r="M9" s="28">
        <f t="shared" si="5"/>
        <v>0.12754209702876326</v>
      </c>
    </row>
    <row r="10" spans="1:13" x14ac:dyDescent="0.2">
      <c r="A10" s="24" t="s">
        <v>11</v>
      </c>
      <c r="B10" s="30" cm="1">
        <f t="array" ref="B10">IFERROR(
  _xlfn.XLOOKUP(
    1,
    (All_India_Index_Upto_April23__1___1[Sector]="Rural+Urban") *
    (All_India_Index_Upto_April23__1___1[Date]=DATE(2023,5,1)),
    INDEX(All_India_Index_Upto_April23__1___1[],0,
          MATCH($A10, All_India_Index_Upto_April23__1___1[#Headers],0)
    )
  ),
"")</f>
        <v>122.7</v>
      </c>
      <c r="C10" s="24" cm="1">
        <f t="array" ref="C10">IFERROR(
  _xlfn.XLOOKUP(
    1,
    (All_India_Index_Upto_April23__1___1[Sector]="Rural") *
    (All_India_Index_Upto_April23__1___1[Date]=DATE(2023,5,1)),
    INDEX(All_India_Index_Upto_April23__1___1[],0,
          MATCH($A10, All_India_Index_Upto_April23__1___1[#Headers],0)
    )
  ),
"")</f>
        <v>121.9</v>
      </c>
      <c r="D10" s="30" cm="1">
        <f t="array" ref="D10">IFERROR(
  _xlfn.XLOOKUP(
    1,
    (All_India_Index_Upto_April23__1___1[Sector]="Urban") *
    (All_India_Index_Upto_April23__1___1[Date]=DATE(2023,5,1)),
    INDEX(All_India_Index_Upto_April23__1___1[],0,
          MATCH($A10, All_India_Index_Upto_April23__1___1[#Headers],0)
    )
  ),
"")</f>
        <v>124.2</v>
      </c>
      <c r="E10" s="24" t="s">
        <v>189</v>
      </c>
      <c r="G10" s="20" t="s">
        <v>205</v>
      </c>
      <c r="H10" s="27">
        <f>SUM(H2:H9)</f>
        <v>1429.5138461538463</v>
      </c>
      <c r="I10" s="27">
        <f>SUM(I2:I9)</f>
        <v>1270.0543589743588</v>
      </c>
      <c r="J10" s="27">
        <f>SUM(J2:J9)</f>
        <v>1412.3964102564103</v>
      </c>
      <c r="K10" s="31">
        <f t="shared" si="3"/>
        <v>1</v>
      </c>
      <c r="L10" s="31">
        <f t="shared" si="4"/>
        <v>1</v>
      </c>
      <c r="M10" s="31">
        <f t="shared" si="5"/>
        <v>1</v>
      </c>
    </row>
    <row r="11" spans="1:13" x14ac:dyDescent="0.2">
      <c r="A11" s="24" t="s">
        <v>12</v>
      </c>
      <c r="B11" s="30" cm="1">
        <f t="array" ref="B11">IFERROR(
  _xlfn.XLOOKUP(
    1,
    (All_India_Index_Upto_April23__1___1[Sector]="Rural+Urban") *
    (All_India_Index_Upto_April23__1___1[Date]=DATE(2023,5,1)),
    INDEX(All_India_Index_Upto_April23__1___1[],0,
          MATCH($A11, All_India_Index_Upto_April23__1___1[#Headers],0)
    )
  ),
"")</f>
        <v>218</v>
      </c>
      <c r="C11" s="24" cm="1">
        <f t="array" ref="C11">IFERROR(
  _xlfn.XLOOKUP(
    1,
    (All_India_Index_Upto_April23__1___1[Sector]="Rural") *
    (All_India_Index_Upto_April23__1___1[Date]=DATE(2023,5,1)),
    INDEX(All_India_Index_Upto_April23__1___1[],0,
          MATCH($A11, All_India_Index_Upto_April23__1___1[#Headers],0)
    )
  ),
"")</f>
        <v>221</v>
      </c>
      <c r="D11" s="30" cm="1">
        <f t="array" ref="D11">IFERROR(
  _xlfn.XLOOKUP(
    1,
    (All_India_Index_Upto_April23__1___1[Sector]="Urban") *
    (All_India_Index_Upto_April23__1___1[Date]=DATE(2023,5,1)),
    INDEX(All_India_Index_Upto_April23__1___1[],0,
          MATCH($A11, All_India_Index_Upto_April23__1___1[#Headers],0)
    )
  ),
"")</f>
        <v>211.9</v>
      </c>
      <c r="E11" s="24" t="s">
        <v>189</v>
      </c>
    </row>
    <row r="12" spans="1:13" x14ac:dyDescent="0.2">
      <c r="A12" s="24" t="s">
        <v>13</v>
      </c>
      <c r="B12" s="30" cm="1">
        <f t="array" ref="B12">IFERROR(
  _xlfn.XLOOKUP(
    1,
    (All_India_Index_Upto_April23__1___1[Sector]="Rural+Urban") *
    (All_India_Index_Upto_April23__1___1[Date]=DATE(2023,5,1)),
    INDEX(All_India_Index_Upto_April23__1___1[],0,
          MATCH($A12, All_India_Index_Upto_April23__1___1[#Headers],0)
    )
  ),
"")</f>
        <v>173.4</v>
      </c>
      <c r="C12" s="24" cm="1">
        <f t="array" ref="C12">IFERROR(
  _xlfn.XLOOKUP(
    1,
    (All_India_Index_Upto_April23__1___1[Sector]="Rural") *
    (All_India_Index_Upto_April23__1___1[Date]=DATE(2023,5,1)),
    INDEX(All_India_Index_Upto_April23__1___1[],0,
          MATCH($A12, All_India_Index_Upto_April23__1___1[#Headers],0)
    )
  ),
"")</f>
        <v>178.7</v>
      </c>
      <c r="D12" s="30" cm="1">
        <f t="array" ref="D12">IFERROR(
  _xlfn.XLOOKUP(
    1,
    (All_India_Index_Upto_April23__1___1[Sector]="Urban") *
    (All_India_Index_Upto_April23__1___1[Date]=DATE(2023,5,1)),
    INDEX(All_India_Index_Upto_April23__1___1[],0,
          MATCH($A12, All_India_Index_Upto_April23__1___1[#Headers],0)
    )
  ),
"")</f>
        <v>165.9</v>
      </c>
      <c r="E12" s="24" t="s">
        <v>189</v>
      </c>
    </row>
    <row r="13" spans="1:13" x14ac:dyDescent="0.2">
      <c r="A13" s="24" t="s">
        <v>14</v>
      </c>
      <c r="B13" s="30" cm="1">
        <f t="array" ref="B13">IFERROR(
  _xlfn.XLOOKUP(
    1,
    (All_India_Index_Upto_April23__1___1[Sector]="Rural+Urban") *
    (All_India_Index_Upto_April23__1___1[Date]=DATE(2023,5,1)),
    INDEX(All_India_Index_Upto_April23__1___1[],0,
          MATCH($A13, All_India_Index_Upto_April23__1___1[#Headers],0)
    )
  ),
"")</f>
        <v>194.2</v>
      </c>
      <c r="C13" s="24" cm="1">
        <f t="array" ref="C13">IFERROR(
  _xlfn.XLOOKUP(
    1,
    (All_India_Index_Upto_April23__1___1[Sector]="Rural") *
    (All_India_Index_Upto_April23__1___1[Date]=DATE(2023,5,1)),
    INDEX(All_India_Index_Upto_April23__1___1[],0,
          MATCH($A13, All_India_Index_Upto_April23__1___1[#Headers],0)
    )
  ),
"")</f>
        <v>191.1</v>
      </c>
      <c r="D13" s="30" cm="1">
        <f t="array" ref="D13">IFERROR(
  _xlfn.XLOOKUP(
    1,
    (All_India_Index_Upto_April23__1___1[Sector]="Urban") *
    (All_India_Index_Upto_April23__1___1[Date]=DATE(2023,5,1)),
    INDEX(All_India_Index_Upto_April23__1___1[],0,
          MATCH($A13, All_India_Index_Upto_April23__1___1[#Headers],0)
    )
  ),
"")</f>
        <v>197.7</v>
      </c>
      <c r="E13" s="24" t="s">
        <v>189</v>
      </c>
    </row>
    <row r="14" spans="1:13" x14ac:dyDescent="0.2">
      <c r="A14" s="24" t="s">
        <v>15</v>
      </c>
      <c r="B14" s="30" cm="1">
        <f t="array" ref="B14">IFERROR(
  _xlfn.XLOOKUP(
    1,
    (All_India_Index_Upto_April23__1___1[Sector]="Rural+Urban") *
    (All_India_Index_Upto_April23__1___1[Date]=DATE(2023,5,1)),
    INDEX(All_India_Index_Upto_April23__1___1[],0,
          MATCH($A14, All_India_Index_Upto_April23__1___1[#Headers],0)
    )
  ),
"")</f>
        <v>179.1</v>
      </c>
      <c r="C14" s="24" cm="1">
        <f t="array" ref="C14">IFERROR(
  _xlfn.XLOOKUP(
    1,
    (All_India_Index_Upto_April23__1___1[Sector]="Rural") *
    (All_India_Index_Upto_April23__1___1[Date]=DATE(2023,5,1)),
    INDEX(All_India_Index_Upto_April23__1___1[],0,
          MATCH($A14, All_India_Index_Upto_April23__1___1[#Headers],0)
    )
  ),
"")</f>
        <v>176.8</v>
      </c>
      <c r="D14" s="30" cm="1">
        <f t="array" ref="D14">IFERROR(
  _xlfn.XLOOKUP(
    1,
    (All_India_Index_Upto_April23__1___1[Sector]="Urban") *
    (All_India_Index_Upto_April23__1___1[Date]=DATE(2023,5,1)),
    INDEX(All_India_Index_Upto_April23__1___1[],0,
          MATCH($A14, All_India_Index_Upto_April23__1___1[#Headers],0)
    )
  ),
"")</f>
        <v>183.1</v>
      </c>
      <c r="E14" s="24" t="s">
        <v>189</v>
      </c>
    </row>
    <row r="15" spans="1:13" x14ac:dyDescent="0.2">
      <c r="A15" s="24" t="s">
        <v>16</v>
      </c>
      <c r="B15" s="30" cm="1">
        <f t="array" ref="B15">IFERROR(
  _xlfn.XLOOKUP(
    1,
    (All_India_Index_Upto_April23__1___1[Sector]="Rural+Urban") *
    (All_India_Index_Upto_April23__1___1[Date]=DATE(2023,5,1)),
    INDEX(All_India_Index_Upto_April23__1___1[],0,
          MATCH($A15, All_India_Index_Upto_April23__1___1[#Headers],0)
    )
  ),
"")</f>
        <v>201</v>
      </c>
      <c r="C15" s="24" cm="1">
        <f t="array" ref="C15">IFERROR(
  _xlfn.XLOOKUP(
    1,
    (All_India_Index_Upto_April23__1___1[Sector]="Rural") *
    (All_India_Index_Upto_April23__1___1[Date]=DATE(2023,5,1)),
    INDEX(All_India_Index_Upto_April23__1___1[],0,
          MATCH($A15, All_India_Index_Upto_April23__1___1[#Headers],0)
    )
  ),
"")</f>
        <v>199.9</v>
      </c>
      <c r="D15" s="30" cm="1">
        <f t="array" ref="D15">IFERROR(
  _xlfn.XLOOKUP(
    1,
    (All_India_Index_Upto_April23__1___1[Sector]="Urban") *
    (All_India_Index_Upto_April23__1___1[Date]=DATE(2023,5,1)),
    INDEX(All_India_Index_Upto_April23__1___1[],0,
          MATCH($A15, All_India_Index_Upto_April23__1___1[#Headers],0)
    )
  ),
"")</f>
        <v>204.2</v>
      </c>
      <c r="E15" s="24" t="s">
        <v>194</v>
      </c>
      <c r="G15" s="4"/>
      <c r="H15" s="4"/>
    </row>
    <row r="16" spans="1:13" x14ac:dyDescent="0.2">
      <c r="A16" s="24" t="s">
        <v>17</v>
      </c>
      <c r="B16" s="30" cm="1">
        <f t="array" ref="B16">IFERROR(
  _xlfn.XLOOKUP(
    1,
    (All_India_Index_Upto_April23__1___1[Sector]="Rural+Urban") *
    (All_India_Index_Upto_April23__1___1[Date]=DATE(2023,5,1)),
    INDEX(All_India_Index_Upto_April23__1___1[],0,
          MATCH($A16, All_India_Index_Upto_April23__1___1[#Headers],0)
    )
  ),
"")</f>
        <v>187.3</v>
      </c>
      <c r="C16" s="24" cm="1">
        <f t="array" ref="C16">IFERROR(
  _xlfn.XLOOKUP(
    1,
    (All_India_Index_Upto_April23__1___1[Sector]="Rural") *
    (All_India_Index_Upto_April23__1___1[Date]=DATE(2023,5,1)),
    INDEX(All_India_Index_Upto_April23__1___1[],0,
          MATCH($A16, All_India_Index_Upto_April23__1___1[#Headers],0)
    )
  ),
"")</f>
        <v>191.2</v>
      </c>
      <c r="D16" s="30" cm="1">
        <f t="array" ref="D16">IFERROR(
  _xlfn.XLOOKUP(
    1,
    (All_India_Index_Upto_April23__1___1[Sector]="Urban") *
    (All_India_Index_Upto_April23__1___1[Date]=DATE(2023,5,1)),
    INDEX(All_India_Index_Upto_April23__1___1[],0,
          MATCH($A16, All_India_Index_Upto_April23__1___1[#Headers],0)
    )
  ),
"")</f>
        <v>181.3</v>
      </c>
      <c r="E16" s="24" t="s">
        <v>193</v>
      </c>
      <c r="H16" s="4"/>
    </row>
    <row r="17" spans="1:8" x14ac:dyDescent="0.2">
      <c r="A17" s="24" t="s">
        <v>18</v>
      </c>
      <c r="B17" s="30" cm="1">
        <f t="array" ref="B17">IFERROR(
  _xlfn.XLOOKUP(
    1,
    (All_India_Index_Upto_April23__1___1[Sector]="Rural+Urban") *
    (All_India_Index_Upto_April23__1___1[Date]=DATE(2023,5,1)),
    INDEX(All_India_Index_Upto_April23__1___1[],0,
          MATCH($A17, All_India_Index_Upto_April23__1___1[#Headers],0)
    )
  ),
"")</f>
        <v>179.7</v>
      </c>
      <c r="C17" s="24" cm="1">
        <f t="array" ref="C17">IFERROR(
  _xlfn.XLOOKUP(
    1,
    (All_India_Index_Upto_April23__1___1[Sector]="Rural") *
    (All_India_Index_Upto_April23__1___1[Date]=DATE(2023,5,1)),
    INDEX(All_India_Index_Upto_April23__1___1[],0,
          MATCH($A17, All_India_Index_Upto_April23__1___1[#Headers],0)
    )
  ),
"")</f>
        <v>187.9</v>
      </c>
      <c r="D17" s="30" cm="1">
        <f t="array" ref="D17">IFERROR(
  _xlfn.XLOOKUP(
    1,
    (All_India_Index_Upto_April23__1___1[Sector]="Urban") *
    (All_India_Index_Upto_April23__1___1[Date]=DATE(2023,5,1)),
    INDEX(All_India_Index_Upto_April23__1___1[],0,
          MATCH($A17, All_India_Index_Upto_April23__1___1[#Headers],0)
    )
  ),
"")</f>
        <v>168.1</v>
      </c>
      <c r="E17" s="24" t="s">
        <v>193</v>
      </c>
      <c r="H17" s="4"/>
    </row>
    <row r="18" spans="1:8" x14ac:dyDescent="0.2">
      <c r="A18" s="24" t="s">
        <v>19</v>
      </c>
      <c r="B18" s="30" cm="1">
        <f t="array" ref="B18">IFERROR(
  _xlfn.XLOOKUP(
    1,
    (All_India_Index_Upto_April23__1___1[Sector]="Rural+Urban") *
    (All_India_Index_Upto_April23__1___1[Date]=DATE(2023,5,1)),
    INDEX(All_India_Index_Upto_April23__1___1[],0,
          MATCH($A18, All_India_Index_Upto_April23__1___1[#Headers],0)
    )
  ),
"")</f>
        <v>186.2</v>
      </c>
      <c r="C18" s="24" cm="1">
        <f t="array" ref="C18">IFERROR(
  _xlfn.XLOOKUP(
    1,
    (All_India_Index_Upto_April23__1___1[Sector]="Rural") *
    (All_India_Index_Upto_April23__1___1[Date]=DATE(2023,5,1)),
    INDEX(All_India_Index_Upto_April23__1___1[],0,
          MATCH($A18, All_India_Index_Upto_April23__1___1[#Headers],0)
    )
  ),
"")</f>
        <v>190.8</v>
      </c>
      <c r="D18" s="30" cm="1">
        <f t="array" ref="D18">IFERROR(
  _xlfn.XLOOKUP(
    1,
    (All_India_Index_Upto_April23__1___1[Sector]="Urban") *
    (All_India_Index_Upto_April23__1___1[Date]=DATE(2023,5,1)),
    INDEX(All_India_Index_Upto_April23__1___1[],0,
          MATCH($A18, All_India_Index_Upto_April23__1___1[#Headers],0)
    )
  ),
"")</f>
        <v>179.3</v>
      </c>
      <c r="E18" s="24" t="s">
        <v>193</v>
      </c>
      <c r="H18" s="4"/>
    </row>
    <row r="19" spans="1:8" x14ac:dyDescent="0.2">
      <c r="A19" s="24" t="s">
        <v>20</v>
      </c>
      <c r="B19" s="30" t="str" cm="1">
        <f t="array" ref="B19">IFERROR(
  _xlfn.XLOOKUP(
    1,
    (All_India_Index_Upto_April23__1___1[Sector]="Rural+Urban") *
    (All_India_Index_Upto_April23__1___1[Date]=DATE(2023,5,1)),
    INDEX(All_India_Index_Upto_April23__1___1[],0,
          MATCH($A19, All_India_Index_Upto_April23__1___1[#Headers],0)
    )
  ),
"")</f>
        <v>175.6</v>
      </c>
      <c r="C19" s="24"/>
      <c r="D19" s="30" t="str" cm="1">
        <f t="array" ref="D19">IFERROR(
  _xlfn.XLOOKUP(
    1,
    (All_India_Index_Upto_April23__1___1[Sector]="Urban") *
    (All_India_Index_Upto_April23__1___1[Date]=DATE(2023,5,1)),
    INDEX(All_India_Index_Upto_April23__1___1[],0,
          MATCH($A19, All_India_Index_Upto_April23__1___1[#Headers],0)
    )
  ),
"")</f>
        <v>175.6</v>
      </c>
      <c r="E19" t="s">
        <v>20</v>
      </c>
      <c r="H19" s="4"/>
    </row>
    <row r="20" spans="1:8" x14ac:dyDescent="0.2">
      <c r="A20" s="24" t="s">
        <v>21</v>
      </c>
      <c r="B20" s="30" cm="1">
        <f t="array" ref="B20">IFERROR(
  _xlfn.XLOOKUP(
    1,
    (All_India_Index_Upto_April23__1___1[Sector]="Rural+Urban") *
    (All_India_Index_Upto_April23__1___1[Date]=DATE(2023,5,1)),
    INDEX(All_India_Index_Upto_April23__1___1[],0,
          MATCH($A20, All_India_Index_Upto_April23__1___1[#Headers],0)
    )
  ),
"")</f>
        <v>182.8</v>
      </c>
      <c r="C20" s="24" cm="1">
        <f t="array" ref="C20">IFERROR(
  _xlfn.XLOOKUP(
    1,
    (All_India_Index_Upto_April23__1___1[Sector]="Rural") *
    (All_India_Index_Upto_April23__1___1[Date]=DATE(2023,5,1)),
    INDEX(All_India_Index_Upto_April23__1___1[],0,
          MATCH($A20, All_India_Index_Upto_April23__1___1[#Headers],0)
    )
  ),
"")</f>
        <v>182.5</v>
      </c>
      <c r="D20" s="30" cm="1">
        <f t="array" ref="D20">IFERROR(
  _xlfn.XLOOKUP(
    1,
    (All_India_Index_Upto_April23__1___1[Sector]="Urban") *
    (All_India_Index_Upto_April23__1___1[Date]=DATE(2023,5,1)),
    INDEX(All_India_Index_Upto_April23__1___1[],0,
          MATCH($A20, All_India_Index_Upto_April23__1___1[#Headers],0)
    )
  ),
"")</f>
        <v>183.4</v>
      </c>
      <c r="E20" s="24" t="s">
        <v>190</v>
      </c>
      <c r="H20" s="4"/>
    </row>
    <row r="21" spans="1:8" x14ac:dyDescent="0.2">
      <c r="A21" s="24" t="s">
        <v>22</v>
      </c>
      <c r="B21" s="30" cm="1">
        <f t="array" ref="B21">IFERROR(
  _xlfn.XLOOKUP(
    1,
    (All_India_Index_Upto_April23__1___1[Sector]="Rural+Urban") *
    (All_India_Index_Upto_April23__1___1[Date]=DATE(2023,5,1)),
    INDEX(All_India_Index_Upto_April23__1___1[],0,
          MATCH($A21, All_India_Index_Upto_April23__1___1[#Headers],0)
    )
  ),
"")</f>
        <v>175.2</v>
      </c>
      <c r="C21" s="24" cm="1">
        <f t="array" ref="C21">IFERROR(
  _xlfn.XLOOKUP(
    1,
    (All_India_Index_Upto_April23__1___1[Sector]="Rural") *
    (All_India_Index_Upto_April23__1___1[Date]=DATE(2023,5,1)),
    INDEX(All_India_Index_Upto_April23__1___1[],0,
          MATCH($A21, All_India_Index_Upto_April23__1___1[#Headers],0)
    )
  ),
"")</f>
        <v>179.8</v>
      </c>
      <c r="D21" s="30" cm="1">
        <f t="array" ref="D21">IFERROR(
  _xlfn.XLOOKUP(
    1,
    (All_India_Index_Upto_April23__1___1[Sector]="Urban") *
    (All_India_Index_Upto_April23__1___1[Date]=DATE(2023,5,1)),
    INDEX(All_India_Index_Upto_April23__1___1[],0,
          MATCH($A21, All_India_Index_Upto_April23__1___1[#Headers],0)
    )
  ),
"")</f>
        <v>170.1</v>
      </c>
      <c r="E21" s="24" t="s">
        <v>194</v>
      </c>
      <c r="H21" s="4"/>
    </row>
    <row r="22" spans="1:8" x14ac:dyDescent="0.2">
      <c r="A22" s="24" t="s">
        <v>23</v>
      </c>
      <c r="B22" s="30" cm="1">
        <f t="array" ref="B22">IFERROR(
  _xlfn.XLOOKUP(
    1,
    (All_India_Index_Upto_April23__1___1[Sector]="Rural+Urban") *
    (All_India_Index_Upto_April23__1___1[Date]=DATE(2023,5,1)),
    INDEX(All_India_Index_Upto_April23__1___1[],0,
          MATCH($A22, All_India_Index_Upto_April23__1___1[#Headers],0)
    )
  ),
"")</f>
        <v>185.7</v>
      </c>
      <c r="C22" s="24" cm="1">
        <f t="array" ref="C22">IFERROR(
  _xlfn.XLOOKUP(
    1,
    (All_India_Index_Upto_April23__1___1[Sector]="Rural") *
    (All_India_Index_Upto_April23__1___1[Date]=DATE(2023,5,1)),
    INDEX(All_India_Index_Upto_April23__1___1[],0,
          MATCH($A22, All_India_Index_Upto_April23__1___1[#Headers],0)
    )
  ),
"")</f>
        <v>187.8</v>
      </c>
      <c r="D22" s="30" cm="1">
        <f t="array" ref="D22">IFERROR(
  _xlfn.XLOOKUP(
    1,
    (All_India_Index_Upto_April23__1___1[Sector]="Urban") *
    (All_India_Index_Upto_April23__1___1[Date]=DATE(2023,5,1)),
    INDEX(All_India_Index_Upto_April23__1___1[],0,
          MATCH($A22, All_India_Index_Upto_April23__1___1[#Headers],0)
    )
  ),
"")</f>
        <v>182.2</v>
      </c>
      <c r="E22" s="24" t="s">
        <v>23</v>
      </c>
      <c r="H22" s="4"/>
    </row>
    <row r="23" spans="1:8" x14ac:dyDescent="0.2">
      <c r="A23" s="24" t="s">
        <v>24</v>
      </c>
      <c r="B23" s="30" cm="1">
        <f t="array" ref="B23">IFERROR(
  _xlfn.XLOOKUP(
    1,
    (All_India_Index_Upto_April23__1___1[Sector]="Rural+Urban") *
    (All_India_Index_Upto_April23__1___1[Date]=DATE(2023,5,1)),
    INDEX(All_India_Index_Upto_April23__1___1[],0,
          MATCH($A23, All_India_Index_Upto_April23__1___1[#Headers],0)
    )
  ),
"")</f>
        <v>164.8</v>
      </c>
      <c r="C23" s="24" cm="1">
        <f t="array" ref="C23">IFERROR(
  _xlfn.XLOOKUP(
    1,
    (All_India_Index_Upto_April23__1___1[Sector]="Rural") *
    (All_India_Index_Upto_April23__1___1[Date]=DATE(2023,5,1)),
    INDEX(All_India_Index_Upto_April23__1___1[],0,
          MATCH($A23, All_India_Index_Upto_April23__1___1[#Headers],0)
    )
  ),
"")</f>
        <v>169.7</v>
      </c>
      <c r="D23" s="30" cm="1">
        <f t="array" ref="D23">IFERROR(
  _xlfn.XLOOKUP(
    1,
    (All_India_Index_Upto_April23__1___1[Sector]="Urban") *
    (All_India_Index_Upto_April23__1___1[Date]=DATE(2023,5,1)),
    INDEX(All_India_Index_Upto_April23__1___1[],0,
          MATCH($A23, All_India_Index_Upto_April23__1___1[#Headers],0)
    )
  ),
"")</f>
        <v>160.4</v>
      </c>
      <c r="E23" s="24" t="s">
        <v>191</v>
      </c>
    </row>
    <row r="24" spans="1:8" x14ac:dyDescent="0.2">
      <c r="A24" s="24" t="s">
        <v>25</v>
      </c>
      <c r="B24" s="30" cm="1">
        <f t="array" ref="B24">IFERROR(
  _xlfn.XLOOKUP(
    1,
    (All_India_Index_Upto_April23__1___1[Sector]="Rural+Urban") *
    (All_India_Index_Upto_April23__1___1[Date]=DATE(2023,5,1)),
    INDEX(All_India_Index_Upto_April23__1___1[],0,
          MATCH($A24, All_India_Index_Upto_April23__1___1[#Headers],0)
    )
  ),
"")</f>
        <v>171.2</v>
      </c>
      <c r="C24" s="24" cm="1">
        <f t="array" ref="C24">IFERROR(
  _xlfn.XLOOKUP(
    1,
    (All_India_Index_Upto_April23__1___1[Sector]="Rural") *
    (All_India_Index_Upto_April23__1___1[Date]=DATE(2023,5,1)),
    INDEX(All_India_Index_Upto_April23__1___1[],0,
          MATCH($A24, All_India_Index_Upto_April23__1___1[#Headers],0)
    )
  ),
"")</f>
        <v>173.8</v>
      </c>
      <c r="D24" s="30" cm="1">
        <f t="array" ref="D24">IFERROR(
  _xlfn.XLOOKUP(
    1,
    (All_India_Index_Upto_April23__1___1[Sector]="Urban") *
    (All_India_Index_Upto_April23__1___1[Date]=DATE(2023,5,1)),
    INDEX(All_India_Index_Upto_April23__1___1[],0,
          MATCH($A24, All_India_Index_Upto_April23__1___1[#Headers],0)
    )
  ),
"")</f>
        <v>169.2</v>
      </c>
      <c r="E24" s="24" t="s">
        <v>194</v>
      </c>
    </row>
    <row r="25" spans="1:8" x14ac:dyDescent="0.2">
      <c r="A25" s="24" t="s">
        <v>26</v>
      </c>
      <c r="B25" s="30" cm="1">
        <f t="array" ref="B25">IFERROR(
  _xlfn.XLOOKUP(
    1,
    (All_India_Index_Upto_April23__1___1[Sector]="Rural+Urban") *
    (All_India_Index_Upto_April23__1___1[Date]=DATE(2023,5,1)),
    INDEX(All_India_Index_Upto_April23__1___1[],0,
          MATCH($A25, All_India_Index_Upto_April23__1___1[#Headers],0)
    )
  ),
"")</f>
        <v>177.1</v>
      </c>
      <c r="C25" s="24" cm="1">
        <f t="array" ref="C25">IFERROR(
  _xlfn.XLOOKUP(
    1,
    (All_India_Index_Upto_April23__1___1[Sector]="Rural") *
    (All_India_Index_Upto_April23__1___1[Date]=DATE(2023,5,1)),
    INDEX(All_India_Index_Upto_April23__1___1[],0,
          MATCH($A25, All_India_Index_Upto_April23__1___1[#Headers],0)
    )
  ),
"")</f>
        <v>180.3</v>
      </c>
      <c r="D25" s="30" cm="1">
        <f t="array" ref="D25">IFERROR(
  _xlfn.XLOOKUP(
    1,
    (All_India_Index_Upto_April23__1___1[Sector]="Urban") *
    (All_India_Index_Upto_April23__1___1[Date]=DATE(2023,5,1)),
    INDEX(All_India_Index_Upto_April23__1___1[],0,
          MATCH($A25, All_India_Index_Upto_April23__1___1[#Headers],0)
    )
  ),
"")</f>
        <v>174.8</v>
      </c>
      <c r="E25" s="24" t="s">
        <v>26</v>
      </c>
    </row>
    <row r="26" spans="1:8" x14ac:dyDescent="0.2">
      <c r="A26" s="24" t="s">
        <v>27</v>
      </c>
      <c r="B26" s="30" cm="1">
        <f t="array" ref="B26">IFERROR(
  _xlfn.XLOOKUP(
    1,
    (All_India_Index_Upto_April23__1___1[Sector]="Rural+Urban") *
    (All_India_Index_Upto_April23__1___1[Date]=DATE(2023,5,1)),
    INDEX(All_India_Index_Upto_April23__1___1[],0,
          MATCH($A26, All_India_Index_Upto_April23__1___1[#Headers],0)
    )
  ),
"")</f>
        <v>185.2</v>
      </c>
      <c r="C26" s="24" cm="1">
        <f t="array" ref="C26">IFERROR(
  _xlfn.XLOOKUP(
    1,
    (All_India_Index_Upto_April23__1___1[Sector]="Rural") *
    (All_India_Index_Upto_April23__1___1[Date]=DATE(2023,5,1)),
    INDEX(All_India_Index_Upto_April23__1___1[],0,
          MATCH($A26, All_India_Index_Upto_April23__1___1[#Headers],0)
    )
  ),
"")</f>
        <v>184.9</v>
      </c>
      <c r="D26" s="30" cm="1">
        <f t="array" ref="D26">IFERROR(
  _xlfn.XLOOKUP(
    1,
    (All_India_Index_Upto_April23__1___1[Sector]="Urban") *
    (All_India_Index_Upto_April23__1___1[Date]=DATE(2023,5,1)),
    INDEX(All_India_Index_Upto_April23__1___1[],0,
          MATCH($A26, All_India_Index_Upto_April23__1___1[#Headers],0)
    )
  ),
"")</f>
        <v>185.6</v>
      </c>
      <c r="E26" s="24" t="s">
        <v>194</v>
      </c>
    </row>
    <row r="27" spans="1:8" x14ac:dyDescent="0.2">
      <c r="A27" s="24" t="s">
        <v>28</v>
      </c>
      <c r="B27" s="30" cm="1">
        <f t="array" ref="B27">IFERROR(
  _xlfn.XLOOKUP(
    1,
    (All_India_Index_Upto_April23__1___1[Sector]="Rural+Urban") *
    (All_India_Index_Upto_April23__1___1[Date]=DATE(2023,5,1)),
    INDEX(All_India_Index_Upto_April23__1___1[],0,
          MATCH($A27, All_India_Index_Upto_April23__1___1[#Headers],0)
    )
  ),
"")</f>
        <v>175.7</v>
      </c>
      <c r="C27" s="24" cm="1">
        <f t="array" ref="C27">IFERROR(
  _xlfn.XLOOKUP(
    1,
    (All_India_Index_Upto_April23__1___1[Sector]="Rural") *
    (All_India_Index_Upto_April23__1___1[Date]=DATE(2023,5,1)),
    INDEX(All_India_Index_Upto_April23__1___1[],0,
          MATCH($A27, All_India_Index_Upto_April23__1___1[#Headers],0)
    )
  ),
"")</f>
        <v>179.5</v>
      </c>
      <c r="D27" s="30" cm="1">
        <f t="array" ref="D27">IFERROR(
  _xlfn.XLOOKUP(
    1,
    (All_India_Index_Upto_April23__1___1[Sector]="Urban") *
    (All_India_Index_Upto_April23__1___1[Date]=DATE(2023,5,1)),
    INDEX(All_India_Index_Upto_April23__1___1[],0,
          MATCH($A27, All_India_Index_Upto_April23__1___1[#Headers],0)
    )
  ),
"")</f>
        <v>171.6</v>
      </c>
      <c r="E27" s="24" t="s">
        <v>194</v>
      </c>
    </row>
    <row r="28" spans="1:8" x14ac:dyDescent="0.2">
      <c r="A28" s="24"/>
      <c r="B28" s="24"/>
      <c r="C28" s="24"/>
      <c r="D28" s="24"/>
      <c r="E28" s="2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23090-707D-7E46-BB87-50CA19790D99}">
  <dimension ref="A1:I225"/>
  <sheetViews>
    <sheetView workbookViewId="0">
      <selection activeCell="H18" sqref="H18"/>
    </sheetView>
  </sheetViews>
  <sheetFormatPr baseColWidth="10" defaultRowHeight="16" x14ac:dyDescent="0.2"/>
  <cols>
    <col min="1" max="1" width="20.33203125" bestFit="1" customWidth="1"/>
    <col min="4" max="4" width="26.1640625" bestFit="1" customWidth="1"/>
    <col min="5" max="5" width="14" bestFit="1" customWidth="1"/>
    <col min="6" max="6" width="14.83203125" bestFit="1" customWidth="1"/>
    <col min="9" max="9" width="17.33203125" bestFit="1" customWidth="1"/>
  </cols>
  <sheetData>
    <row r="1" spans="1:9" x14ac:dyDescent="0.2">
      <c r="A1" s="4" t="s">
        <v>161</v>
      </c>
      <c r="B1" s="4" t="s">
        <v>1</v>
      </c>
      <c r="C1" s="4" t="s">
        <v>2</v>
      </c>
      <c r="D1" s="4" t="s">
        <v>241</v>
      </c>
      <c r="E1" s="4" t="s">
        <v>170</v>
      </c>
      <c r="F1" s="4" t="s">
        <v>242</v>
      </c>
      <c r="H1" s="4" t="s">
        <v>1</v>
      </c>
      <c r="I1" s="4" t="s">
        <v>243</v>
      </c>
    </row>
    <row r="2" spans="1:9" x14ac:dyDescent="0.2">
      <c r="A2" s="22">
        <v>42736</v>
      </c>
      <c r="B2">
        <f>YEAR(A2)</f>
        <v>2017</v>
      </c>
      <c r="C2">
        <f>MONTH(A2)</f>
        <v>1</v>
      </c>
      <c r="D2" cm="1">
        <f t="array" ref="D2">IFERROR(
  INDEX(
    All_India_Index_Upto_April23__1___1[General index],
    MATCH(
      1,
      (All_India_Index_Upto_April23__1___1[Sector]="Rural+Urban") *
      (All_India_Index_Upto_April23__1___1[Date]=A2),
      0
    )
  ),
"")</f>
        <v>130.30000000000001</v>
      </c>
      <c r="E2" cm="1">
        <f t="array" ref="E2">IFERROR(
  INDEX(
    All_India_Index_Upto_April23__1___1[General index],
    MATCH(
      1,
      (All_India_Index_Upto_April23__1___1[Sector]="Rural+Urban") *
      (All_India_Index_Upto_April23__1___1[Date]=DATE(YEAR(A2)-1, MONTH(A2), 1)),
      0
    )
  ),
"")</f>
        <v>126.3</v>
      </c>
      <c r="F2" s="8">
        <f>IFERROR(
  (D2-E2)/E2,
"")</f>
        <v>3.1670625494853638E-2</v>
      </c>
      <c r="H2">
        <v>2017</v>
      </c>
      <c r="I2" s="8">
        <f>AVERAGEIFS($F:$F, $B:$B, H2)</f>
        <v>3.327388537536536E-2</v>
      </c>
    </row>
    <row r="3" spans="1:9" x14ac:dyDescent="0.2">
      <c r="A3" s="22">
        <v>42767</v>
      </c>
      <c r="B3">
        <f t="shared" ref="B3:B66" si="0">YEAR(A3)</f>
        <v>2017</v>
      </c>
      <c r="C3">
        <f t="shared" ref="C3:C66" si="1">MONTH(A3)</f>
        <v>2</v>
      </c>
      <c r="D3" cm="1">
        <f t="array" ref="D3">IFERROR(
  INDEX(
    All_India_Index_Upto_April23__1___1[General index],
    MATCH(
      1,
      (All_India_Index_Upto_April23__1___1[Sector]="Rural+Urban") *
      (All_India_Index_Upto_April23__1___1[Date]=A3),
      0
    )
  ),
"")</f>
        <v>130.6</v>
      </c>
      <c r="E3" cm="1">
        <f t="array" ref="E3">IFERROR(
  INDEX(
    All_India_Index_Upto_April23__1___1[General index],
    MATCH(
      1,
      (All_India_Index_Upto_April23__1___1[Sector]="Rural+Urban") *
      (All_India_Index_Upto_April23__1___1[Date]=DATE(YEAR(A3)-1, MONTH(A3), 1)),
      0
    )
  ),
"")</f>
        <v>126</v>
      </c>
      <c r="F3" s="8">
        <f>IFERROR(
  (D3-E3)/E3,
"")</f>
        <v>3.6507936507936462E-2</v>
      </c>
      <c r="H3">
        <v>2018</v>
      </c>
      <c r="I3" s="8">
        <f>AVERAGEIFS($F:$F, $B:$B, H3)</f>
        <v>3.9676971910429099E-2</v>
      </c>
    </row>
    <row r="4" spans="1:9" x14ac:dyDescent="0.2">
      <c r="A4" s="22">
        <v>42795</v>
      </c>
      <c r="B4">
        <f t="shared" si="0"/>
        <v>2017</v>
      </c>
      <c r="C4">
        <f t="shared" si="1"/>
        <v>3</v>
      </c>
      <c r="D4" cm="1">
        <f t="array" ref="D4">IFERROR(
  INDEX(
    All_India_Index_Upto_April23__1___1[General index],
    MATCH(
      1,
      (All_India_Index_Upto_April23__1___1[Sector]="Rural+Urban") *
      (All_India_Index_Upto_April23__1___1[Date]=A4),
      0
    )
  ),
"")</f>
        <v>130.9</v>
      </c>
      <c r="E4" cm="1">
        <f t="array" ref="E4">IFERROR(
  INDEX(
    All_India_Index_Upto_April23__1___1[General index],
    MATCH(
      1,
      (All_India_Index_Upto_April23__1___1[Sector]="Rural+Urban") *
      (All_India_Index_Upto_April23__1___1[Date]=DATE(YEAR(A4)-1, MONTH(A4), 1)),
      0
    )
  ),
"")</f>
        <v>126</v>
      </c>
      <c r="F4" s="8">
        <f t="shared" ref="F4:F66" si="2">IFERROR(
  (D4-E4)/E4,
"")</f>
        <v>3.8888888888888931E-2</v>
      </c>
      <c r="H4">
        <v>2019</v>
      </c>
      <c r="I4" s="8">
        <f t="shared" ref="I4:I8" si="3">AVERAGEIFS($F:$F, $B:$B, H4)</f>
        <v>3.7704798059274527E-2</v>
      </c>
    </row>
    <row r="5" spans="1:9" x14ac:dyDescent="0.2">
      <c r="A5" s="22">
        <v>42826</v>
      </c>
      <c r="B5">
        <f t="shared" si="0"/>
        <v>2017</v>
      </c>
      <c r="C5">
        <f t="shared" si="1"/>
        <v>4</v>
      </c>
      <c r="D5" cm="1">
        <f t="array" ref="D5">IFERROR(
  INDEX(
    All_India_Index_Upto_April23__1___1[General index],
    MATCH(
      1,
      (All_India_Index_Upto_April23__1___1[Sector]="Rural+Urban") *
      (All_India_Index_Upto_April23__1___1[Date]=A5),
      0
    )
  ),
"")</f>
        <v>131.1</v>
      </c>
      <c r="E5" cm="1">
        <f t="array" ref="E5">IFERROR(
  INDEX(
    All_India_Index_Upto_April23__1___1[General index],
    MATCH(
      1,
      (All_India_Index_Upto_April23__1___1[Sector]="Rural+Urban") *
      (All_India_Index_Upto_April23__1___1[Date]=DATE(YEAR(A5)-1, MONTH(A5), 1)),
      0
    )
  ),
"")</f>
        <v>127.3</v>
      </c>
      <c r="F5" s="8">
        <f t="shared" si="2"/>
        <v>2.9850746268656695E-2</v>
      </c>
      <c r="H5">
        <v>2020</v>
      </c>
      <c r="I5" s="8">
        <f t="shared" si="3"/>
        <v>6.2670090668773396E-2</v>
      </c>
    </row>
    <row r="6" spans="1:9" x14ac:dyDescent="0.2">
      <c r="A6" s="22">
        <v>42856</v>
      </c>
      <c r="B6">
        <f t="shared" si="0"/>
        <v>2017</v>
      </c>
      <c r="C6">
        <f t="shared" si="1"/>
        <v>5</v>
      </c>
      <c r="D6" cm="1">
        <f t="array" ref="D6">IFERROR(
  INDEX(
    All_India_Index_Upto_April23__1___1[General index],
    MATCH(
      1,
      (All_India_Index_Upto_April23__1___1[Sector]="Rural+Urban") *
      (All_India_Index_Upto_April23__1___1[Date]=A6),
      0
    )
  ),
"")</f>
        <v>131.4</v>
      </c>
      <c r="E6" cm="1">
        <f t="array" ref="E6">IFERROR(
  INDEX(
    All_India_Index_Upto_April23__1___1[General index],
    MATCH(
      1,
      (All_India_Index_Upto_April23__1___1[Sector]="Rural+Urban") *
      (All_India_Index_Upto_April23__1___1[Date]=DATE(YEAR(A6)-1, MONTH(A6), 1)),
      0
    )
  ),
"")</f>
        <v>128.6</v>
      </c>
      <c r="F6" s="8">
        <f t="shared" si="2"/>
        <v>2.1772939346811911E-2</v>
      </c>
      <c r="H6">
        <v>2021</v>
      </c>
      <c r="I6" s="8">
        <f t="shared" si="3"/>
        <v>5.3818467080321342E-2</v>
      </c>
    </row>
    <row r="7" spans="1:9" x14ac:dyDescent="0.2">
      <c r="A7" s="22">
        <v>42887</v>
      </c>
      <c r="B7">
        <f t="shared" si="0"/>
        <v>2017</v>
      </c>
      <c r="C7">
        <f t="shared" si="1"/>
        <v>6</v>
      </c>
      <c r="D7" cm="1">
        <f t="array" ref="D7">IFERROR(
  INDEX(
    All_India_Index_Upto_April23__1___1[General index],
    MATCH(
      1,
      (All_India_Index_Upto_April23__1___1[Sector]="Rural+Urban") *
      (All_India_Index_Upto_April23__1___1[Date]=A7),
      0
    )
  ),
"")</f>
        <v>132</v>
      </c>
      <c r="E7" cm="1">
        <f t="array" ref="E7">IFERROR(
  INDEX(
    All_India_Index_Upto_April23__1___1[General index],
    MATCH(
      1,
      (All_India_Index_Upto_April23__1___1[Sector]="Rural+Urban") *
      (All_India_Index_Upto_April23__1___1[Date]=DATE(YEAR(A7)-1, MONTH(A7), 1)),
      0
    )
  ),
"")</f>
        <v>130.1</v>
      </c>
      <c r="F7" s="8">
        <f t="shared" si="2"/>
        <v>1.4604150653343625E-2</v>
      </c>
      <c r="H7">
        <v>2022</v>
      </c>
      <c r="I7" s="8">
        <f>AVERAGEIFS($F:$F, $B:$B, H7)</f>
        <v>6.6240649804989227E-2</v>
      </c>
    </row>
    <row r="8" spans="1:9" x14ac:dyDescent="0.2">
      <c r="A8" s="22">
        <v>42917</v>
      </c>
      <c r="B8">
        <f t="shared" si="0"/>
        <v>2017</v>
      </c>
      <c r="C8">
        <f t="shared" si="1"/>
        <v>7</v>
      </c>
      <c r="D8" cm="1">
        <f t="array" ref="D8">IFERROR(
  INDEX(
    All_India_Index_Upto_April23__1___1[General index],
    MATCH(
      1,
      (All_India_Index_Upto_April23__1___1[Sector]="Rural+Urban") *
      (All_India_Index_Upto_April23__1___1[Date]=A8),
      0
    )
  ),
"")</f>
        <v>134.19999999999999</v>
      </c>
      <c r="E8" cm="1">
        <f t="array" ref="E8">IFERROR(
  INDEX(
    All_India_Index_Upto_April23__1___1[General index],
    MATCH(
      1,
      (All_India_Index_Upto_April23__1___1[Sector]="Rural+Urban") *
      (All_India_Index_Upto_April23__1___1[Date]=DATE(YEAR(A8)-1, MONTH(A8), 1)),
      0
    )
  ),
"")</f>
        <v>131.1</v>
      </c>
      <c r="F8" s="8">
        <f t="shared" si="2"/>
        <v>2.3646071700991568E-2</v>
      </c>
      <c r="H8">
        <v>2023</v>
      </c>
      <c r="I8" s="8">
        <f t="shared" si="3"/>
        <v>5.5756721664536081E-2</v>
      </c>
    </row>
    <row r="9" spans="1:9" x14ac:dyDescent="0.2">
      <c r="A9" s="22">
        <v>42948</v>
      </c>
      <c r="B9">
        <f t="shared" si="0"/>
        <v>2017</v>
      </c>
      <c r="C9">
        <f t="shared" si="1"/>
        <v>8</v>
      </c>
      <c r="D9" cm="1">
        <f t="array" ref="D9">IFERROR(
  INDEX(
    All_India_Index_Upto_April23__1___1[General index],
    MATCH(
      1,
      (All_India_Index_Upto_April23__1___1[Sector]="Rural+Urban") *
      (All_India_Index_Upto_April23__1___1[Date]=A9),
      0
    )
  ),
"")</f>
        <v>135.4</v>
      </c>
      <c r="E9" cm="1">
        <f t="array" ref="E9">IFERROR(
  INDEX(
    All_India_Index_Upto_April23__1___1[General index],
    MATCH(
      1,
      (All_India_Index_Upto_April23__1___1[Sector]="Rural+Urban") *
      (All_India_Index_Upto_April23__1___1[Date]=DATE(YEAR(A9)-1, MONTH(A9), 1)),
      0
    )
  ),
"")</f>
        <v>131.1</v>
      </c>
      <c r="F9" s="8">
        <f t="shared" si="2"/>
        <v>3.2799389778794902E-2</v>
      </c>
    </row>
    <row r="10" spans="1:9" x14ac:dyDescent="0.2">
      <c r="A10" s="22">
        <v>42979</v>
      </c>
      <c r="B10">
        <f t="shared" si="0"/>
        <v>2017</v>
      </c>
      <c r="C10">
        <f t="shared" si="1"/>
        <v>9</v>
      </c>
      <c r="D10" cm="1">
        <f t="array" ref="D10">IFERROR(
  INDEX(
    All_India_Index_Upto_April23__1___1[General index],
    MATCH(
      1,
      (All_India_Index_Upto_April23__1___1[Sector]="Rural+Urban") *
      (All_India_Index_Upto_April23__1___1[Date]=A10),
      0
    )
  ),
"")</f>
        <v>135.19999999999999</v>
      </c>
      <c r="E10" cm="1">
        <f t="array" ref="E10">IFERROR(
  INDEX(
    All_India_Index_Upto_April23__1___1[General index],
    MATCH(
      1,
      (All_India_Index_Upto_April23__1___1[Sector]="Rural+Urban") *
      (All_India_Index_Upto_April23__1___1[Date]=DATE(YEAR(A10)-1, MONTH(A10), 1)),
      0
    )
  ),
"")</f>
        <v>130.9</v>
      </c>
      <c r="F10" s="8">
        <f t="shared" si="2"/>
        <v>3.2849503437738597E-2</v>
      </c>
    </row>
    <row r="11" spans="1:9" x14ac:dyDescent="0.2">
      <c r="A11" s="22">
        <v>43009</v>
      </c>
      <c r="B11">
        <f t="shared" si="0"/>
        <v>2017</v>
      </c>
      <c r="C11">
        <f t="shared" si="1"/>
        <v>10</v>
      </c>
      <c r="D11" cm="1">
        <f t="array" ref="D11">IFERROR(
  INDEX(
    All_India_Index_Upto_April23__1___1[General index],
    MATCH(
      1,
      (All_India_Index_Upto_April23__1___1[Sector]="Rural+Urban") *
      (All_India_Index_Upto_April23__1___1[Date]=A11),
      0
    )
  ),
"")</f>
        <v>136.1</v>
      </c>
      <c r="E11" cm="1">
        <f t="array" ref="E11">IFERROR(
  INDEX(
    All_India_Index_Upto_April23__1___1[General index],
    MATCH(
      1,
      (All_India_Index_Upto_April23__1___1[Sector]="Rural+Urban") *
      (All_India_Index_Upto_April23__1___1[Date]=DATE(YEAR(A11)-1, MONTH(A11), 1)),
      0
    )
  ),
"")</f>
        <v>131.4</v>
      </c>
      <c r="F11" s="8">
        <f t="shared" si="2"/>
        <v>3.5768645357686368E-2</v>
      </c>
    </row>
    <row r="12" spans="1:9" x14ac:dyDescent="0.2">
      <c r="A12" s="22">
        <v>43040</v>
      </c>
      <c r="B12">
        <f t="shared" si="0"/>
        <v>2017</v>
      </c>
      <c r="C12">
        <f t="shared" si="1"/>
        <v>11</v>
      </c>
      <c r="D12" cm="1">
        <f t="array" ref="D12">IFERROR(
  INDEX(
    All_India_Index_Upto_April23__1___1[General index],
    MATCH(
      1,
      (All_India_Index_Upto_April23__1___1[Sector]="Rural+Urban") *
      (All_India_Index_Upto_April23__1___1[Date]=A12),
      0
    )
  ),
"")</f>
        <v>137.6</v>
      </c>
      <c r="E12" cm="1">
        <f t="array" ref="E12">IFERROR(
  INDEX(
    All_India_Index_Upto_April23__1___1[General index],
    MATCH(
      1,
      (All_India_Index_Upto_April23__1___1[Sector]="Rural+Urban") *
      (All_India_Index_Upto_April23__1___1[Date]=DATE(YEAR(A12)-1, MONTH(A12), 1)),
      0
    )
  ),
"")</f>
        <v>131.19999999999999</v>
      </c>
      <c r="F12" s="8">
        <f t="shared" si="2"/>
        <v>4.8780487804878099E-2</v>
      </c>
    </row>
    <row r="13" spans="1:9" x14ac:dyDescent="0.2">
      <c r="A13" s="22">
        <v>43070</v>
      </c>
      <c r="B13">
        <f t="shared" si="0"/>
        <v>2017</v>
      </c>
      <c r="C13">
        <f t="shared" si="1"/>
        <v>12</v>
      </c>
      <c r="D13" cm="1">
        <f t="array" ref="D13">IFERROR(
  INDEX(
    All_India_Index_Upto_April23__1___1[General index],
    MATCH(
      1,
      (All_India_Index_Upto_April23__1___1[Sector]="Rural+Urban") *
      (All_India_Index_Upto_April23__1___1[Date]=A13),
      0
    )
  ),
"")</f>
        <v>137.19999999999999</v>
      </c>
      <c r="E13" cm="1">
        <f t="array" ref="E13">IFERROR(
  INDEX(
    All_India_Index_Upto_April23__1___1[General index],
    MATCH(
      1,
      (All_India_Index_Upto_April23__1___1[Sector]="Rural+Urban") *
      (All_India_Index_Upto_April23__1___1[Date]=DATE(YEAR(A13)-1, MONTH(A13), 1)),
      0
    )
  ),
"")</f>
        <v>130.4</v>
      </c>
      <c r="F13" s="8">
        <f t="shared" si="2"/>
        <v>5.2147239263803546E-2</v>
      </c>
    </row>
    <row r="14" spans="1:9" x14ac:dyDescent="0.2">
      <c r="A14" s="22">
        <v>43101</v>
      </c>
      <c r="B14">
        <f t="shared" si="0"/>
        <v>2018</v>
      </c>
      <c r="C14">
        <f t="shared" si="1"/>
        <v>1</v>
      </c>
      <c r="D14" cm="1">
        <f t="array" ref="D14">IFERROR(
  INDEX(
    All_India_Index_Upto_April23__1___1[General index],
    MATCH(
      1,
      (All_India_Index_Upto_April23__1___1[Sector]="Rural+Urban") *
      (All_India_Index_Upto_April23__1___1[Date]=A14),
      0
    )
  ),
"")</f>
        <v>136.9</v>
      </c>
      <c r="E14" cm="1">
        <f t="array" ref="E14">IFERROR(
  INDEX(
    All_India_Index_Upto_April23__1___1[General index],
    MATCH(
      1,
      (All_India_Index_Upto_April23__1___1[Sector]="Rural+Urban") *
      (All_India_Index_Upto_April23__1___1[Date]=DATE(YEAR(A14)-1, MONTH(A14), 1)),
      0
    )
  ),
"")</f>
        <v>130.30000000000001</v>
      </c>
      <c r="F14" s="8">
        <f t="shared" si="2"/>
        <v>5.0652340752110468E-2</v>
      </c>
    </row>
    <row r="15" spans="1:9" x14ac:dyDescent="0.2">
      <c r="A15" s="22">
        <v>43132</v>
      </c>
      <c r="B15">
        <f t="shared" si="0"/>
        <v>2018</v>
      </c>
      <c r="C15">
        <f t="shared" si="1"/>
        <v>2</v>
      </c>
      <c r="D15" cm="1">
        <f t="array" ref="D15">IFERROR(
  INDEX(
    All_India_Index_Upto_April23__1___1[General index],
    MATCH(
      1,
      (All_India_Index_Upto_April23__1___1[Sector]="Rural+Urban") *
      (All_India_Index_Upto_April23__1___1[Date]=A15),
      0
    )
  ),
"")</f>
        <v>136.4</v>
      </c>
      <c r="E15" cm="1">
        <f t="array" ref="E15">IFERROR(
  INDEX(
    All_India_Index_Upto_April23__1___1[General index],
    MATCH(
      1,
      (All_India_Index_Upto_April23__1___1[Sector]="Rural+Urban") *
      (All_India_Index_Upto_April23__1___1[Date]=DATE(YEAR(A15)-1, MONTH(A15), 1)),
      0
    )
  ),
"")</f>
        <v>130.6</v>
      </c>
      <c r="F15" s="8">
        <f t="shared" si="2"/>
        <v>4.441041347626349E-2</v>
      </c>
    </row>
    <row r="16" spans="1:9" x14ac:dyDescent="0.2">
      <c r="A16" s="22">
        <v>43160</v>
      </c>
      <c r="B16">
        <f t="shared" si="0"/>
        <v>2018</v>
      </c>
      <c r="C16">
        <f t="shared" si="1"/>
        <v>3</v>
      </c>
      <c r="D16" cm="1">
        <f t="array" ref="D16">IFERROR(
  INDEX(
    All_India_Index_Upto_April23__1___1[General index],
    MATCH(
      1,
      (All_India_Index_Upto_April23__1___1[Sector]="Rural+Urban") *
      (All_India_Index_Upto_April23__1___1[Date]=A16),
      0
    )
  ),
"")</f>
        <v>136.5</v>
      </c>
      <c r="E16" cm="1">
        <f t="array" ref="E16">IFERROR(
  INDEX(
    All_India_Index_Upto_April23__1___1[General index],
    MATCH(
      1,
      (All_India_Index_Upto_April23__1___1[Sector]="Rural+Urban") *
      (All_India_Index_Upto_April23__1___1[Date]=DATE(YEAR(A16)-1, MONTH(A16), 1)),
      0
    )
  ),
"")</f>
        <v>130.9</v>
      </c>
      <c r="F16" s="8">
        <f t="shared" si="2"/>
        <v>4.278074866310156E-2</v>
      </c>
    </row>
    <row r="17" spans="1:6" x14ac:dyDescent="0.2">
      <c r="A17" s="22">
        <v>43191</v>
      </c>
      <c r="B17">
        <f t="shared" si="0"/>
        <v>2018</v>
      </c>
      <c r="C17">
        <f t="shared" si="1"/>
        <v>4</v>
      </c>
      <c r="D17" cm="1">
        <f t="array" ref="D17">IFERROR(
  INDEX(
    All_India_Index_Upto_April23__1___1[General index],
    MATCH(
      1,
      (All_India_Index_Upto_April23__1___1[Sector]="Rural+Urban") *
      (All_India_Index_Upto_April23__1___1[Date]=A17),
      0
    )
  ),
"")</f>
        <v>137.1</v>
      </c>
      <c r="E17" cm="1">
        <f t="array" ref="E17">IFERROR(
  INDEX(
    All_India_Index_Upto_April23__1___1[General index],
    MATCH(
      1,
      (All_India_Index_Upto_April23__1___1[Sector]="Rural+Urban") *
      (All_India_Index_Upto_April23__1___1[Date]=DATE(YEAR(A17)-1, MONTH(A17), 1)),
      0
    )
  ),
"")</f>
        <v>131.1</v>
      </c>
      <c r="F17" s="8">
        <f t="shared" si="2"/>
        <v>4.5766590389016024E-2</v>
      </c>
    </row>
    <row r="18" spans="1:6" x14ac:dyDescent="0.2">
      <c r="A18" s="22">
        <v>43221</v>
      </c>
      <c r="B18">
        <f t="shared" si="0"/>
        <v>2018</v>
      </c>
      <c r="C18">
        <f t="shared" si="1"/>
        <v>5</v>
      </c>
      <c r="D18" cm="1">
        <f t="array" ref="D18">IFERROR(
  INDEX(
    All_India_Index_Upto_April23__1___1[General index],
    MATCH(
      1,
      (All_India_Index_Upto_April23__1___1[Sector]="Rural+Urban") *
      (All_India_Index_Upto_April23__1___1[Date]=A18),
      0
    )
  ),
"")</f>
        <v>137.80000000000001</v>
      </c>
      <c r="E18" cm="1">
        <f t="array" ref="E18">IFERROR(
  INDEX(
    All_India_Index_Upto_April23__1___1[General index],
    MATCH(
      1,
      (All_India_Index_Upto_April23__1___1[Sector]="Rural+Urban") *
      (All_India_Index_Upto_April23__1___1[Date]=DATE(YEAR(A18)-1, MONTH(A18), 1)),
      0
    )
  ),
"")</f>
        <v>131.4</v>
      </c>
      <c r="F18" s="8">
        <f t="shared" si="2"/>
        <v>4.8706240487062444E-2</v>
      </c>
    </row>
    <row r="19" spans="1:6" x14ac:dyDescent="0.2">
      <c r="A19" s="22">
        <v>43252</v>
      </c>
      <c r="B19">
        <f t="shared" si="0"/>
        <v>2018</v>
      </c>
      <c r="C19">
        <f t="shared" si="1"/>
        <v>6</v>
      </c>
      <c r="D19" cm="1">
        <f t="array" ref="D19">IFERROR(
  INDEX(
    All_India_Index_Upto_April23__1___1[General index],
    MATCH(
      1,
      (All_India_Index_Upto_April23__1___1[Sector]="Rural+Urban") *
      (All_India_Index_Upto_April23__1___1[Date]=A19),
      0
    )
  ),
"")</f>
        <v>138.5</v>
      </c>
      <c r="E19" cm="1">
        <f t="array" ref="E19">IFERROR(
  INDEX(
    All_India_Index_Upto_April23__1___1[General index],
    MATCH(
      1,
      (All_India_Index_Upto_April23__1___1[Sector]="Rural+Urban") *
      (All_India_Index_Upto_April23__1___1[Date]=DATE(YEAR(A19)-1, MONTH(A19), 1)),
      0
    )
  ),
"")</f>
        <v>132</v>
      </c>
      <c r="F19" s="8">
        <f t="shared" si="2"/>
        <v>4.924242424242424E-2</v>
      </c>
    </row>
    <row r="20" spans="1:6" x14ac:dyDescent="0.2">
      <c r="A20" s="22">
        <v>43282</v>
      </c>
      <c r="B20">
        <f t="shared" si="0"/>
        <v>2018</v>
      </c>
      <c r="C20">
        <f t="shared" si="1"/>
        <v>7</v>
      </c>
      <c r="D20" cm="1">
        <f t="array" ref="D20">IFERROR(
  INDEX(
    All_India_Index_Upto_April23__1___1[General index],
    MATCH(
      1,
      (All_India_Index_Upto_April23__1___1[Sector]="Rural+Urban") *
      (All_India_Index_Upto_April23__1___1[Date]=A20),
      0
    )
  ),
"")</f>
        <v>139.80000000000001</v>
      </c>
      <c r="E20" cm="1">
        <f t="array" ref="E20">IFERROR(
  INDEX(
    All_India_Index_Upto_April23__1___1[General index],
    MATCH(
      1,
      (All_India_Index_Upto_April23__1___1[Sector]="Rural+Urban") *
      (All_India_Index_Upto_April23__1___1[Date]=DATE(YEAR(A20)-1, MONTH(A20), 1)),
      0
    )
  ),
"")</f>
        <v>134.19999999999999</v>
      </c>
      <c r="F20" s="8">
        <f t="shared" si="2"/>
        <v>4.172876304023862E-2</v>
      </c>
    </row>
    <row r="21" spans="1:6" x14ac:dyDescent="0.2">
      <c r="A21" s="22">
        <v>43313</v>
      </c>
      <c r="B21">
        <f t="shared" si="0"/>
        <v>2018</v>
      </c>
      <c r="C21">
        <f t="shared" si="1"/>
        <v>8</v>
      </c>
      <c r="D21" cm="1">
        <f t="array" ref="D21">IFERROR(
  INDEX(
    All_India_Index_Upto_April23__1___1[General index],
    MATCH(
      1,
      (All_India_Index_Upto_April23__1___1[Sector]="Rural+Urban") *
      (All_India_Index_Upto_April23__1___1[Date]=A21),
      0
    )
  ),
"")</f>
        <v>140.4</v>
      </c>
      <c r="E21" cm="1">
        <f t="array" ref="E21">IFERROR(
  INDEX(
    All_India_Index_Upto_April23__1___1[General index],
    MATCH(
      1,
      (All_India_Index_Upto_April23__1___1[Sector]="Rural+Urban") *
      (All_India_Index_Upto_April23__1___1[Date]=DATE(YEAR(A21)-1, MONTH(A21), 1)),
      0
    )
  ),
"")</f>
        <v>135.4</v>
      </c>
      <c r="F21" s="8">
        <f t="shared" si="2"/>
        <v>3.6927621861152143E-2</v>
      </c>
    </row>
    <row r="22" spans="1:6" x14ac:dyDescent="0.2">
      <c r="A22" s="22">
        <v>43344</v>
      </c>
      <c r="B22">
        <f t="shared" si="0"/>
        <v>2018</v>
      </c>
      <c r="C22">
        <f t="shared" si="1"/>
        <v>9</v>
      </c>
      <c r="D22" cm="1">
        <f t="array" ref="D22">IFERROR(
  INDEX(
    All_India_Index_Upto_April23__1___1[General index],
    MATCH(
      1,
      (All_India_Index_Upto_April23__1___1[Sector]="Rural+Urban") *
      (All_India_Index_Upto_April23__1___1[Date]=A22),
      0
    )
  ),
"")</f>
        <v>140.19999999999999</v>
      </c>
      <c r="E22" cm="1">
        <f t="array" ref="E22">IFERROR(
  INDEX(
    All_India_Index_Upto_April23__1___1[General index],
    MATCH(
      1,
      (All_India_Index_Upto_April23__1___1[Sector]="Rural+Urban") *
      (All_India_Index_Upto_April23__1___1[Date]=DATE(YEAR(A22)-1, MONTH(A22), 1)),
      0
    )
  ),
"")</f>
        <v>135.19999999999999</v>
      </c>
      <c r="F22" s="8">
        <f t="shared" si="2"/>
        <v>3.6982248520710061E-2</v>
      </c>
    </row>
    <row r="23" spans="1:6" x14ac:dyDescent="0.2">
      <c r="A23" s="22">
        <v>43374</v>
      </c>
      <c r="B23">
        <f t="shared" si="0"/>
        <v>2018</v>
      </c>
      <c r="C23">
        <f t="shared" si="1"/>
        <v>10</v>
      </c>
      <c r="D23" cm="1">
        <f t="array" ref="D23">IFERROR(
  INDEX(
    All_India_Index_Upto_April23__1___1[General index],
    MATCH(
      1,
      (All_India_Index_Upto_April23__1___1[Sector]="Rural+Urban") *
      (All_India_Index_Upto_April23__1___1[Date]=A23),
      0
    )
  ),
"")</f>
        <v>140.80000000000001</v>
      </c>
      <c r="E23" cm="1">
        <f t="array" ref="E23">IFERROR(
  INDEX(
    All_India_Index_Upto_April23__1___1[General index],
    MATCH(
      1,
      (All_India_Index_Upto_April23__1___1[Sector]="Rural+Urban") *
      (All_India_Index_Upto_April23__1___1[Date]=DATE(YEAR(A23)-1, MONTH(A23), 1)),
      0
    )
  ),
"")</f>
        <v>136.1</v>
      </c>
      <c r="F23" s="8">
        <f t="shared" si="2"/>
        <v>3.4533431300514457E-2</v>
      </c>
    </row>
    <row r="24" spans="1:6" x14ac:dyDescent="0.2">
      <c r="A24" s="22">
        <v>43405</v>
      </c>
      <c r="B24">
        <f t="shared" si="0"/>
        <v>2018</v>
      </c>
      <c r="C24">
        <f t="shared" si="1"/>
        <v>11</v>
      </c>
      <c r="D24" cm="1">
        <f t="array" ref="D24">IFERROR(
  INDEX(
    All_India_Index_Upto_April23__1___1[General index],
    MATCH(
      1,
      (All_India_Index_Upto_April23__1___1[Sector]="Rural+Urban") *
      (All_India_Index_Upto_April23__1___1[Date]=A24),
      0
    )
  ),
"")</f>
        <v>140.80000000000001</v>
      </c>
      <c r="E24" cm="1">
        <f t="array" ref="E24">IFERROR(
  INDEX(
    All_India_Index_Upto_April23__1___1[General index],
    MATCH(
      1,
      (All_India_Index_Upto_April23__1___1[Sector]="Rural+Urban") *
      (All_India_Index_Upto_April23__1___1[Date]=DATE(YEAR(A24)-1, MONTH(A24), 1)),
      0
    )
  ),
"")</f>
        <v>137.6</v>
      </c>
      <c r="F24" s="8">
        <f t="shared" si="2"/>
        <v>2.3255813953488497E-2</v>
      </c>
    </row>
    <row r="25" spans="1:6" x14ac:dyDescent="0.2">
      <c r="A25" s="22">
        <v>43435</v>
      </c>
      <c r="B25">
        <f t="shared" si="0"/>
        <v>2018</v>
      </c>
      <c r="C25">
        <f t="shared" si="1"/>
        <v>12</v>
      </c>
      <c r="D25" cm="1">
        <f t="array" ref="D25">IFERROR(
  INDEX(
    All_India_Index_Upto_April23__1___1[General index],
    MATCH(
      1,
      (All_India_Index_Upto_April23__1___1[Sector]="Rural+Urban") *
      (All_India_Index_Upto_April23__1___1[Date]=A25),
      0
    )
  ),
"")</f>
        <v>140.1</v>
      </c>
      <c r="E25" cm="1">
        <f t="array" ref="E25">IFERROR(
  INDEX(
    All_India_Index_Upto_April23__1___1[General index],
    MATCH(
      1,
      (All_India_Index_Upto_April23__1___1[Sector]="Rural+Urban") *
      (All_India_Index_Upto_April23__1___1[Date]=DATE(YEAR(A25)-1, MONTH(A25), 1)),
      0
    )
  ),
"")</f>
        <v>137.19999999999999</v>
      </c>
      <c r="F25" s="8">
        <f t="shared" si="2"/>
        <v>2.1137026239067099E-2</v>
      </c>
    </row>
    <row r="26" spans="1:6" x14ac:dyDescent="0.2">
      <c r="A26" s="22">
        <v>43466</v>
      </c>
      <c r="B26">
        <f t="shared" si="0"/>
        <v>2019</v>
      </c>
      <c r="C26">
        <f t="shared" si="1"/>
        <v>1</v>
      </c>
      <c r="D26" cm="1">
        <f t="array" ref="D26">IFERROR(
  INDEX(
    All_India_Index_Upto_April23__1___1[General index],
    MATCH(
      1,
      (All_India_Index_Upto_April23__1___1[Sector]="Rural+Urban") *
      (All_India_Index_Upto_April23__1___1[Date]=A26),
      0
    )
  ),
"")</f>
        <v>139.6</v>
      </c>
      <c r="E26" cm="1">
        <f t="array" ref="E26">IFERROR(
  INDEX(
    All_India_Index_Upto_April23__1___1[General index],
    MATCH(
      1,
      (All_India_Index_Upto_April23__1___1[Sector]="Rural+Urban") *
      (All_India_Index_Upto_April23__1___1[Date]=DATE(YEAR(A26)-1, MONTH(A26), 1)),
      0
    )
  ),
"")</f>
        <v>136.9</v>
      </c>
      <c r="F26" s="8">
        <f t="shared" si="2"/>
        <v>1.9722425127830449E-2</v>
      </c>
    </row>
    <row r="27" spans="1:6" x14ac:dyDescent="0.2">
      <c r="A27" s="22">
        <v>43497</v>
      </c>
      <c r="B27">
        <f t="shared" si="0"/>
        <v>2019</v>
      </c>
      <c r="C27">
        <f t="shared" si="1"/>
        <v>2</v>
      </c>
      <c r="D27" cm="1">
        <f t="array" ref="D27">IFERROR(
  INDEX(
    All_India_Index_Upto_April23__1___1[General index],
    MATCH(
      1,
      (All_India_Index_Upto_April23__1___1[Sector]="Rural+Urban") *
      (All_India_Index_Upto_April23__1___1[Date]=A27),
      0
    )
  ),
"")</f>
        <v>139.9</v>
      </c>
      <c r="E27" cm="1">
        <f t="array" ref="E27">IFERROR(
  INDEX(
    All_India_Index_Upto_April23__1___1[General index],
    MATCH(
      1,
      (All_India_Index_Upto_April23__1___1[Sector]="Rural+Urban") *
      (All_India_Index_Upto_April23__1___1[Date]=DATE(YEAR(A27)-1, MONTH(A27), 1)),
      0
    )
  ),
"")</f>
        <v>136.4</v>
      </c>
      <c r="F27" s="8">
        <f t="shared" si="2"/>
        <v>2.5659824046920819E-2</v>
      </c>
    </row>
    <row r="28" spans="1:6" x14ac:dyDescent="0.2">
      <c r="A28" s="22">
        <v>43525</v>
      </c>
      <c r="B28">
        <f t="shared" si="0"/>
        <v>2019</v>
      </c>
      <c r="C28">
        <f t="shared" si="1"/>
        <v>3</v>
      </c>
      <c r="D28" cm="1">
        <f t="array" ref="D28">IFERROR(
  INDEX(
    All_India_Index_Upto_April23__1___1[General index],
    MATCH(
      1,
      (All_India_Index_Upto_April23__1___1[Sector]="Rural+Urban") *
      (All_India_Index_Upto_April23__1___1[Date]=A28),
      0
    )
  ),
"")</f>
        <v>140.4</v>
      </c>
      <c r="E28" cm="1">
        <f t="array" ref="E28">IFERROR(
  INDEX(
    All_India_Index_Upto_April23__1___1[General index],
    MATCH(
      1,
      (All_India_Index_Upto_April23__1___1[Sector]="Rural+Urban") *
      (All_India_Index_Upto_April23__1___1[Date]=DATE(YEAR(A28)-1, MONTH(A28), 1)),
      0
    )
  ),
"")</f>
        <v>136.5</v>
      </c>
      <c r="F28" s="8">
        <f t="shared" si="2"/>
        <v>2.8571428571428612E-2</v>
      </c>
    </row>
    <row r="29" spans="1:6" x14ac:dyDescent="0.2">
      <c r="A29" s="22">
        <v>43556</v>
      </c>
      <c r="B29">
        <f t="shared" si="0"/>
        <v>2019</v>
      </c>
      <c r="C29">
        <f t="shared" si="1"/>
        <v>4</v>
      </c>
      <c r="D29" t="str" cm="1">
        <f t="array" ref="D29">IFERROR(
  INDEX(
    All_India_Index_Upto_April23__1___1[General index],
    MATCH(
      1,
      (All_India_Index_Upto_April23__1___1[Sector]="Rural+Urban") *
      (All_India_Index_Upto_April23__1___1[Date]=A29),
      0
    )
  ),
"")</f>
        <v/>
      </c>
      <c r="E29" cm="1">
        <f t="array" ref="E29">IFERROR(
  INDEX(
    All_India_Index_Upto_April23__1___1[General index],
    MATCH(
      1,
      (All_India_Index_Upto_April23__1___1[Sector]="Rural+Urban") *
      (All_India_Index_Upto_April23__1___1[Date]=DATE(YEAR(A29)-1, MONTH(A29), 1)),
      0
    )
  ),
"")</f>
        <v>137.1</v>
      </c>
      <c r="F29" s="8" t="str">
        <f t="shared" si="2"/>
        <v/>
      </c>
    </row>
    <row r="30" spans="1:6" x14ac:dyDescent="0.2">
      <c r="A30" s="22">
        <v>43586</v>
      </c>
      <c r="B30">
        <f t="shared" si="0"/>
        <v>2019</v>
      </c>
      <c r="C30">
        <f t="shared" si="1"/>
        <v>5</v>
      </c>
      <c r="D30" cm="1">
        <f t="array" ref="D30">IFERROR(
  INDEX(
    All_India_Index_Upto_April23__1___1[General index],
    MATCH(
      1,
      (All_India_Index_Upto_April23__1___1[Sector]="Rural+Urban") *
      (All_India_Index_Upto_April23__1___1[Date]=A30),
      0
    )
  ),
"")</f>
        <v>142</v>
      </c>
      <c r="E30" cm="1">
        <f t="array" ref="E30">IFERROR(
  INDEX(
    All_India_Index_Upto_April23__1___1[General index],
    MATCH(
      1,
      (All_India_Index_Upto_April23__1___1[Sector]="Rural+Urban") *
      (All_India_Index_Upto_April23__1___1[Date]=DATE(YEAR(A30)-1, MONTH(A30), 1)),
      0
    )
  ),
"")</f>
        <v>137.80000000000001</v>
      </c>
      <c r="F30" s="8">
        <f t="shared" si="2"/>
        <v>3.0478955007256808E-2</v>
      </c>
    </row>
    <row r="31" spans="1:6" x14ac:dyDescent="0.2">
      <c r="A31" s="22">
        <v>43617</v>
      </c>
      <c r="B31">
        <f t="shared" si="0"/>
        <v>2019</v>
      </c>
      <c r="C31">
        <f t="shared" si="1"/>
        <v>6</v>
      </c>
      <c r="D31" cm="1">
        <f t="array" ref="D31">IFERROR(
  INDEX(
    All_India_Index_Upto_April23__1___1[General index],
    MATCH(
      1,
      (All_India_Index_Upto_April23__1___1[Sector]="Rural+Urban") *
      (All_India_Index_Upto_April23__1___1[Date]=A31),
      0
    )
  ),
"")</f>
        <v>142.9</v>
      </c>
      <c r="E31" cm="1">
        <f t="array" ref="E31">IFERROR(
  INDEX(
    All_India_Index_Upto_April23__1___1[General index],
    MATCH(
      1,
      (All_India_Index_Upto_April23__1___1[Sector]="Rural+Urban") *
      (All_India_Index_Upto_April23__1___1[Date]=DATE(YEAR(A31)-1, MONTH(A31), 1)),
      0
    )
  ),
"")</f>
        <v>138.5</v>
      </c>
      <c r="F31" s="8">
        <f t="shared" si="2"/>
        <v>3.17689530685921E-2</v>
      </c>
    </row>
    <row r="32" spans="1:6" x14ac:dyDescent="0.2">
      <c r="A32" s="22">
        <v>43647</v>
      </c>
      <c r="B32">
        <f t="shared" si="0"/>
        <v>2019</v>
      </c>
      <c r="C32">
        <f t="shared" si="1"/>
        <v>7</v>
      </c>
      <c r="D32" cm="1">
        <f t="array" ref="D32">IFERROR(
  INDEX(
    All_India_Index_Upto_April23__1___1[General index],
    MATCH(
      1,
      (All_India_Index_Upto_April23__1___1[Sector]="Rural+Urban") *
      (All_India_Index_Upto_April23__1___1[Date]=A32),
      0
    )
  ),
"")</f>
        <v>144.19999999999999</v>
      </c>
      <c r="E32" cm="1">
        <f t="array" ref="E32">IFERROR(
  INDEX(
    All_India_Index_Upto_April23__1___1[General index],
    MATCH(
      1,
      (All_India_Index_Upto_April23__1___1[Sector]="Rural+Urban") *
      (All_India_Index_Upto_April23__1___1[Date]=DATE(YEAR(A32)-1, MONTH(A32), 1)),
      0
    )
  ),
"")</f>
        <v>139.80000000000001</v>
      </c>
      <c r="F32" s="8">
        <f t="shared" si="2"/>
        <v>3.14735336194562E-2</v>
      </c>
    </row>
    <row r="33" spans="1:6" x14ac:dyDescent="0.2">
      <c r="A33" s="22">
        <v>43678</v>
      </c>
      <c r="B33">
        <f t="shared" si="0"/>
        <v>2019</v>
      </c>
      <c r="C33">
        <f t="shared" si="1"/>
        <v>8</v>
      </c>
      <c r="D33" cm="1">
        <f t="array" ref="D33">IFERROR(
  INDEX(
    All_India_Index_Upto_April23__1___1[General index],
    MATCH(
      1,
      (All_India_Index_Upto_April23__1___1[Sector]="Rural+Urban") *
      (All_India_Index_Upto_April23__1___1[Date]=A33),
      0
    )
  ),
"")</f>
        <v>145</v>
      </c>
      <c r="E33" cm="1">
        <f t="array" ref="E33">IFERROR(
  INDEX(
    All_India_Index_Upto_April23__1___1[General index],
    MATCH(
      1,
      (All_India_Index_Upto_April23__1___1[Sector]="Rural+Urban") *
      (All_India_Index_Upto_April23__1___1[Date]=DATE(YEAR(A33)-1, MONTH(A33), 1)),
      0
    )
  ),
"")</f>
        <v>140.4</v>
      </c>
      <c r="F33" s="8">
        <f t="shared" si="2"/>
        <v>3.2763532763532721E-2</v>
      </c>
    </row>
    <row r="34" spans="1:6" x14ac:dyDescent="0.2">
      <c r="A34" s="22">
        <v>43709</v>
      </c>
      <c r="B34">
        <f t="shared" si="0"/>
        <v>2019</v>
      </c>
      <c r="C34">
        <f t="shared" si="1"/>
        <v>9</v>
      </c>
      <c r="D34" cm="1">
        <f t="array" ref="D34">IFERROR(
  INDEX(
    All_India_Index_Upto_April23__1___1[General index],
    MATCH(
      1,
      (All_India_Index_Upto_April23__1___1[Sector]="Rural+Urban") *
      (All_India_Index_Upto_April23__1___1[Date]=A34),
      0
    )
  ),
"")</f>
        <v>145.80000000000001</v>
      </c>
      <c r="E34" cm="1">
        <f t="array" ref="E34">IFERROR(
  INDEX(
    All_India_Index_Upto_April23__1___1[General index],
    MATCH(
      1,
      (All_India_Index_Upto_April23__1___1[Sector]="Rural+Urban") *
      (All_India_Index_Upto_April23__1___1[Date]=DATE(YEAR(A34)-1, MONTH(A34), 1)),
      0
    )
  ),
"")</f>
        <v>140.19999999999999</v>
      </c>
      <c r="F34" s="8">
        <f t="shared" si="2"/>
        <v>3.9942938659058652E-2</v>
      </c>
    </row>
    <row r="35" spans="1:6" x14ac:dyDescent="0.2">
      <c r="A35" s="22">
        <v>43739</v>
      </c>
      <c r="B35">
        <f t="shared" si="0"/>
        <v>2019</v>
      </c>
      <c r="C35">
        <f t="shared" si="1"/>
        <v>10</v>
      </c>
      <c r="D35" cm="1">
        <f t="array" ref="D35">IFERROR(
  INDEX(
    All_India_Index_Upto_April23__1___1[General index],
    MATCH(
      1,
      (All_India_Index_Upto_April23__1___1[Sector]="Rural+Urban") *
      (All_India_Index_Upto_April23__1___1[Date]=A35),
      0
    )
  ),
"")</f>
        <v>147.19999999999999</v>
      </c>
      <c r="E35" cm="1">
        <f t="array" ref="E35">IFERROR(
  INDEX(
    All_India_Index_Upto_April23__1___1[General index],
    MATCH(
      1,
      (All_India_Index_Upto_April23__1___1[Sector]="Rural+Urban") *
      (All_India_Index_Upto_April23__1___1[Date]=DATE(YEAR(A35)-1, MONTH(A35), 1)),
      0
    )
  ),
"")</f>
        <v>140.80000000000001</v>
      </c>
      <c r="F35" s="8">
        <f t="shared" si="2"/>
        <v>4.5454545454545289E-2</v>
      </c>
    </row>
    <row r="36" spans="1:6" x14ac:dyDescent="0.2">
      <c r="A36" s="22">
        <v>43770</v>
      </c>
      <c r="B36">
        <f t="shared" si="0"/>
        <v>2019</v>
      </c>
      <c r="C36">
        <f t="shared" si="1"/>
        <v>11</v>
      </c>
      <c r="D36" cm="1">
        <f t="array" ref="D36">IFERROR(
  INDEX(
    All_India_Index_Upto_April23__1___1[General index],
    MATCH(
      1,
      (All_India_Index_Upto_April23__1___1[Sector]="Rural+Urban") *
      (All_India_Index_Upto_April23__1___1[Date]=A36),
      0
    )
  ),
"")</f>
        <v>148.6</v>
      </c>
      <c r="E36" cm="1">
        <f t="array" ref="E36">IFERROR(
  INDEX(
    All_India_Index_Upto_April23__1___1[General index],
    MATCH(
      1,
      (All_India_Index_Upto_April23__1___1[Sector]="Rural+Urban") *
      (All_India_Index_Upto_April23__1___1[Date]=DATE(YEAR(A36)-1, MONTH(A36), 1)),
      0
    )
  ),
"")</f>
        <v>140.80000000000001</v>
      </c>
      <c r="F36" s="8">
        <f t="shared" si="2"/>
        <v>5.5397727272727147E-2</v>
      </c>
    </row>
    <row r="37" spans="1:6" x14ac:dyDescent="0.2">
      <c r="A37" s="22">
        <v>43800</v>
      </c>
      <c r="B37">
        <f t="shared" si="0"/>
        <v>2019</v>
      </c>
      <c r="C37">
        <f t="shared" si="1"/>
        <v>12</v>
      </c>
      <c r="D37" cm="1">
        <f t="array" ref="D37">IFERROR(
  INDEX(
    All_India_Index_Upto_April23__1___1[General index],
    MATCH(
      1,
      (All_India_Index_Upto_April23__1___1[Sector]="Rural+Urban") *
      (All_India_Index_Upto_April23__1___1[Date]=A37),
      0
    )
  ),
"")</f>
        <v>150.4</v>
      </c>
      <c r="E37" cm="1">
        <f t="array" ref="E37">IFERROR(
  INDEX(
    All_India_Index_Upto_April23__1___1[General index],
    MATCH(
      1,
      (All_India_Index_Upto_April23__1___1[Sector]="Rural+Urban") *
      (All_India_Index_Upto_April23__1___1[Date]=DATE(YEAR(A37)-1, MONTH(A37), 1)),
      0
    )
  ),
"")</f>
        <v>140.1</v>
      </c>
      <c r="F37" s="8">
        <f t="shared" si="2"/>
        <v>7.3518915060671028E-2</v>
      </c>
    </row>
    <row r="38" spans="1:6" x14ac:dyDescent="0.2">
      <c r="A38" s="22">
        <v>43831</v>
      </c>
      <c r="B38">
        <f t="shared" si="0"/>
        <v>2020</v>
      </c>
      <c r="C38">
        <f t="shared" si="1"/>
        <v>1</v>
      </c>
      <c r="D38" cm="1">
        <f t="array" ref="D38">IFERROR(
  INDEX(
    All_India_Index_Upto_April23__1___1[General index],
    MATCH(
      1,
      (All_India_Index_Upto_April23__1___1[Sector]="Rural+Urban") *
      (All_India_Index_Upto_April23__1___1[Date]=A38),
      0
    )
  ),
"")</f>
        <v>150.19999999999999</v>
      </c>
      <c r="E38" cm="1">
        <f t="array" ref="E38">IFERROR(
  INDEX(
    All_India_Index_Upto_April23__1___1[General index],
    MATCH(
      1,
      (All_India_Index_Upto_April23__1___1[Sector]="Rural+Urban") *
      (All_India_Index_Upto_April23__1___1[Date]=DATE(YEAR(A38)-1, MONTH(A38), 1)),
      0
    )
  ),
"")</f>
        <v>139.6</v>
      </c>
      <c r="F38" s="8">
        <f t="shared" si="2"/>
        <v>7.5931232091690504E-2</v>
      </c>
    </row>
    <row r="39" spans="1:6" x14ac:dyDescent="0.2">
      <c r="A39" s="22">
        <v>43862</v>
      </c>
      <c r="B39">
        <f t="shared" si="0"/>
        <v>2020</v>
      </c>
      <c r="C39">
        <f t="shared" si="1"/>
        <v>2</v>
      </c>
      <c r="D39" cm="1">
        <f t="array" ref="D39">IFERROR(
  INDEX(
    All_India_Index_Upto_April23__1___1[General index],
    MATCH(
      1,
      (All_India_Index_Upto_April23__1___1[Sector]="Rural+Urban") *
      (All_India_Index_Upto_April23__1___1[Date]=A39),
      0
    )
  ),
"")</f>
        <v>149.1</v>
      </c>
      <c r="E39" cm="1">
        <f t="array" ref="E39">IFERROR(
  INDEX(
    All_India_Index_Upto_April23__1___1[General index],
    MATCH(
      1,
      (All_India_Index_Upto_April23__1___1[Sector]="Rural+Urban") *
      (All_India_Index_Upto_April23__1___1[Date]=DATE(YEAR(A39)-1, MONTH(A39), 1)),
      0
    )
  ),
"")</f>
        <v>139.9</v>
      </c>
      <c r="F39" s="8">
        <f t="shared" si="2"/>
        <v>6.5761258041458104E-2</v>
      </c>
    </row>
    <row r="40" spans="1:6" x14ac:dyDescent="0.2">
      <c r="A40" s="22">
        <v>43891</v>
      </c>
      <c r="B40">
        <f t="shared" si="0"/>
        <v>2020</v>
      </c>
      <c r="C40">
        <f t="shared" si="1"/>
        <v>3</v>
      </c>
      <c r="D40" cm="1">
        <f t="array" ref="D40">IFERROR(
  INDEX(
    All_India_Index_Upto_April23__1___1[General index],
    MATCH(
      1,
      (All_India_Index_Upto_April23__1___1[Sector]="Rural+Urban") *
      (All_India_Index_Upto_April23__1___1[Date]=A40),
      0
    )
  ),
"")</f>
        <v>148.6</v>
      </c>
      <c r="E40" cm="1">
        <f t="array" ref="E40">IFERROR(
  INDEX(
    All_India_Index_Upto_April23__1___1[General index],
    MATCH(
      1,
      (All_India_Index_Upto_April23__1___1[Sector]="Rural+Urban") *
      (All_India_Index_Upto_April23__1___1[Date]=DATE(YEAR(A40)-1, MONTH(A40), 1)),
      0
    )
  ),
"")</f>
        <v>140.4</v>
      </c>
      <c r="F40" s="8">
        <f t="shared" si="2"/>
        <v>5.840455840455832E-2</v>
      </c>
    </row>
    <row r="41" spans="1:6" x14ac:dyDescent="0.2">
      <c r="A41" s="22">
        <v>43922</v>
      </c>
      <c r="B41">
        <f t="shared" si="0"/>
        <v>2020</v>
      </c>
      <c r="C41">
        <f t="shared" si="1"/>
        <v>4</v>
      </c>
      <c r="D41" cm="1">
        <f t="array" ref="D41">IFERROR(
  INDEX(
    All_India_Index_Upto_April23__1___1[General index],
    MATCH(
      1,
      (All_India_Index_Upto_April23__1___1[Sector]="Rural+Urban") *
      (All_India_Index_Upto_April23__1___1[Date]=A41),
      0
    )
  ),
"")</f>
        <v>153.30000000000001</v>
      </c>
      <c r="E41" t="str" cm="1">
        <f t="array" ref="E41">IFERROR(
  INDEX(
    All_India_Index_Upto_April23__1___1[General index],
    MATCH(
      1,
      (All_India_Index_Upto_April23__1___1[Sector]="Rural+Urban") *
      (All_India_Index_Upto_April23__1___1[Date]=DATE(YEAR(A41)-1, MONTH(A41), 1)),
      0
    )
  ),
"")</f>
        <v/>
      </c>
      <c r="F41" s="8" t="str">
        <f t="shared" si="2"/>
        <v/>
      </c>
    </row>
    <row r="42" spans="1:6" x14ac:dyDescent="0.2">
      <c r="A42" s="22">
        <v>43952</v>
      </c>
      <c r="B42">
        <f t="shared" si="0"/>
        <v>2020</v>
      </c>
      <c r="C42">
        <f t="shared" si="1"/>
        <v>5</v>
      </c>
      <c r="D42" cm="1">
        <f t="array" ref="D42">IFERROR(
  INDEX(
    All_India_Index_Upto_April23__1___1[General index],
    MATCH(
      1,
      (All_India_Index_Upto_April23__1___1[Sector]="Rural+Urban") *
      (All_India_Index_Upto_April23__1___1[Date]=A42),
      0
    )
  ),
"")</f>
        <v>151.5</v>
      </c>
      <c r="E42" cm="1">
        <f t="array" ref="E42">IFERROR(
  INDEX(
    All_India_Index_Upto_April23__1___1[General index],
    MATCH(
      1,
      (All_India_Index_Upto_April23__1___1[Sector]="Rural+Urban") *
      (All_India_Index_Upto_April23__1___1[Date]=DATE(YEAR(A42)-1, MONTH(A42), 1)),
      0
    )
  ),
"")</f>
        <v>142</v>
      </c>
      <c r="F42" s="8">
        <f t="shared" si="2"/>
        <v>6.6901408450704219E-2</v>
      </c>
    </row>
    <row r="43" spans="1:6" x14ac:dyDescent="0.2">
      <c r="A43" s="22">
        <v>43983</v>
      </c>
      <c r="B43">
        <f t="shared" si="0"/>
        <v>2020</v>
      </c>
      <c r="C43">
        <f t="shared" si="1"/>
        <v>6</v>
      </c>
      <c r="D43" cm="1">
        <f t="array" ref="D43">IFERROR(
  INDEX(
    All_India_Index_Upto_April23__1___1[General index],
    MATCH(
      1,
      (All_India_Index_Upto_April23__1___1[Sector]="Rural+Urban") *
      (All_India_Index_Upto_April23__1___1[Date]=A43),
      0
    )
  ),
"")</f>
        <v>151.80000000000001</v>
      </c>
      <c r="E43" cm="1">
        <f t="array" ref="E43">IFERROR(
  INDEX(
    All_India_Index_Upto_April23__1___1[General index],
    MATCH(
      1,
      (All_India_Index_Upto_April23__1___1[Sector]="Rural+Urban") *
      (All_India_Index_Upto_April23__1___1[Date]=DATE(YEAR(A43)-1, MONTH(A43), 1)),
      0
    )
  ),
"")</f>
        <v>142.9</v>
      </c>
      <c r="F43" s="8">
        <f t="shared" si="2"/>
        <v>6.2281315605318445E-2</v>
      </c>
    </row>
    <row r="44" spans="1:6" x14ac:dyDescent="0.2">
      <c r="A44" s="22">
        <v>44013</v>
      </c>
      <c r="B44">
        <f t="shared" si="0"/>
        <v>2020</v>
      </c>
      <c r="C44">
        <f t="shared" si="1"/>
        <v>7</v>
      </c>
      <c r="D44" cm="1">
        <f t="array" ref="D44">IFERROR(
  INDEX(
    All_India_Index_Upto_April23__1___1[General index],
    MATCH(
      1,
      (All_India_Index_Upto_April23__1___1[Sector]="Rural+Urban") *
      (All_India_Index_Upto_April23__1___1[Date]=A44),
      0
    )
  ),
"")</f>
        <v>151.80000000000001</v>
      </c>
      <c r="E44" cm="1">
        <f t="array" ref="E44">IFERROR(
  INDEX(
    All_India_Index_Upto_April23__1___1[General index],
    MATCH(
      1,
      (All_India_Index_Upto_April23__1___1[Sector]="Rural+Urban") *
      (All_India_Index_Upto_April23__1___1[Date]=DATE(YEAR(A44)-1, MONTH(A44), 1)),
      0
    )
  ),
"")</f>
        <v>144.19999999999999</v>
      </c>
      <c r="F44" s="8">
        <f t="shared" si="2"/>
        <v>5.2704576976421801E-2</v>
      </c>
    </row>
    <row r="45" spans="1:6" x14ac:dyDescent="0.2">
      <c r="A45" s="22">
        <v>44044</v>
      </c>
      <c r="B45">
        <f t="shared" si="0"/>
        <v>2020</v>
      </c>
      <c r="C45">
        <f t="shared" si="1"/>
        <v>8</v>
      </c>
      <c r="D45" cm="1">
        <f t="array" ref="D45">IFERROR(
  INDEX(
    All_India_Index_Upto_April23__1___1[General index],
    MATCH(
      1,
      (All_India_Index_Upto_April23__1___1[Sector]="Rural+Urban") *
      (All_India_Index_Upto_April23__1___1[Date]=A45),
      0
    )
  ),
"")</f>
        <v>153.9</v>
      </c>
      <c r="E45" cm="1">
        <f t="array" ref="E45">IFERROR(
  INDEX(
    All_India_Index_Upto_April23__1___1[General index],
    MATCH(
      1,
      (All_India_Index_Upto_April23__1___1[Sector]="Rural+Urban") *
      (All_India_Index_Upto_April23__1___1[Date]=DATE(YEAR(A45)-1, MONTH(A45), 1)),
      0
    )
  ),
"")</f>
        <v>145</v>
      </c>
      <c r="F45" s="8">
        <f t="shared" si="2"/>
        <v>6.1379310344827624E-2</v>
      </c>
    </row>
    <row r="46" spans="1:6" x14ac:dyDescent="0.2">
      <c r="A46" s="22">
        <v>44075</v>
      </c>
      <c r="B46">
        <f t="shared" si="0"/>
        <v>2020</v>
      </c>
      <c r="C46">
        <f t="shared" si="1"/>
        <v>9</v>
      </c>
      <c r="D46" cm="1">
        <f t="array" ref="D46">IFERROR(
  INDEX(
    All_India_Index_Upto_April23__1___1[General index],
    MATCH(
      1,
      (All_India_Index_Upto_April23__1___1[Sector]="Rural+Urban") *
      (All_India_Index_Upto_April23__1___1[Date]=A46),
      0
    )
  ),
"")</f>
        <v>154.69999999999999</v>
      </c>
      <c r="E46" cm="1">
        <f t="array" ref="E46">IFERROR(
  INDEX(
    All_India_Index_Upto_April23__1___1[General index],
    MATCH(
      1,
      (All_India_Index_Upto_April23__1___1[Sector]="Rural+Urban") *
      (All_India_Index_Upto_April23__1___1[Date]=DATE(YEAR(A46)-1, MONTH(A46), 1)),
      0
    )
  ),
"")</f>
        <v>145.80000000000001</v>
      </c>
      <c r="F46" s="8">
        <f t="shared" si="2"/>
        <v>6.1042524005486806E-2</v>
      </c>
    </row>
    <row r="47" spans="1:6" x14ac:dyDescent="0.2">
      <c r="A47" s="22">
        <v>44105</v>
      </c>
      <c r="B47">
        <f t="shared" si="0"/>
        <v>2020</v>
      </c>
      <c r="C47">
        <f t="shared" si="1"/>
        <v>10</v>
      </c>
      <c r="D47" cm="1">
        <f t="array" ref="D47">IFERROR(
  INDEX(
    All_India_Index_Upto_April23__1___1[General index],
    MATCH(
      1,
      (All_India_Index_Upto_April23__1___1[Sector]="Rural+Urban") *
      (All_India_Index_Upto_April23__1___1[Date]=A47),
      0
    )
  ),
"")</f>
        <v>156.4</v>
      </c>
      <c r="E47" cm="1">
        <f t="array" ref="E47">IFERROR(
  INDEX(
    All_India_Index_Upto_April23__1___1[General index],
    MATCH(
      1,
      (All_India_Index_Upto_April23__1___1[Sector]="Rural+Urban") *
      (All_India_Index_Upto_April23__1___1[Date]=DATE(YEAR(A47)-1, MONTH(A47), 1)),
      0
    )
  ),
"")</f>
        <v>147.19999999999999</v>
      </c>
      <c r="F47" s="8">
        <f t="shared" si="2"/>
        <v>6.2500000000000125E-2</v>
      </c>
    </row>
    <row r="48" spans="1:6" x14ac:dyDescent="0.2">
      <c r="A48" s="22">
        <v>44136</v>
      </c>
      <c r="B48">
        <f t="shared" si="0"/>
        <v>2020</v>
      </c>
      <c r="C48">
        <f t="shared" si="1"/>
        <v>11</v>
      </c>
      <c r="D48" cm="1">
        <f t="array" ref="D48">IFERROR(
  INDEX(
    All_India_Index_Upto_April23__1___1[General index],
    MATCH(
      1,
      (All_India_Index_Upto_April23__1___1[Sector]="Rural+Urban") *
      (All_India_Index_Upto_April23__1___1[Date]=A48),
      0
    )
  ),
"")</f>
        <v>158.4</v>
      </c>
      <c r="E48" cm="1">
        <f t="array" ref="E48">IFERROR(
  INDEX(
    All_India_Index_Upto_April23__1___1[General index],
    MATCH(
      1,
      (All_India_Index_Upto_April23__1___1[Sector]="Rural+Urban") *
      (All_India_Index_Upto_April23__1___1[Date]=DATE(YEAR(A48)-1, MONTH(A48), 1)),
      0
    )
  ),
"")</f>
        <v>148.6</v>
      </c>
      <c r="F48" s="8">
        <f t="shared" si="2"/>
        <v>6.5948855989232918E-2</v>
      </c>
    </row>
    <row r="49" spans="1:6" x14ac:dyDescent="0.2">
      <c r="A49" s="22">
        <v>44166</v>
      </c>
      <c r="B49">
        <f t="shared" si="0"/>
        <v>2020</v>
      </c>
      <c r="C49">
        <f t="shared" si="1"/>
        <v>12</v>
      </c>
      <c r="D49" cm="1">
        <f t="array" ref="D49">IFERROR(
  INDEX(
    All_India_Index_Upto_April23__1___1[General index],
    MATCH(
      1,
      (All_India_Index_Upto_April23__1___1[Sector]="Rural+Urban") *
      (All_India_Index_Upto_April23__1___1[Date]=A49),
      0
    )
  ),
"")</f>
        <v>158.9</v>
      </c>
      <c r="E49" cm="1">
        <f t="array" ref="E49">IFERROR(
  INDEX(
    All_India_Index_Upto_April23__1___1[General index],
    MATCH(
      1,
      (All_India_Index_Upto_April23__1___1[Sector]="Rural+Urban") *
      (All_India_Index_Upto_April23__1___1[Date]=DATE(YEAR(A49)-1, MONTH(A49), 1)),
      0
    )
  ),
"")</f>
        <v>150.4</v>
      </c>
      <c r="F49" s="8">
        <f t="shared" si="2"/>
        <v>5.6515957446808505E-2</v>
      </c>
    </row>
    <row r="50" spans="1:6" x14ac:dyDescent="0.2">
      <c r="A50" s="22">
        <v>44197</v>
      </c>
      <c r="B50">
        <f t="shared" si="0"/>
        <v>2021</v>
      </c>
      <c r="C50">
        <f t="shared" si="1"/>
        <v>1</v>
      </c>
      <c r="D50" cm="1">
        <f t="array" ref="D50">IFERROR(
  INDEX(
    All_India_Index_Upto_April23__1___1[General index],
    MATCH(
      1,
      (All_India_Index_Upto_April23__1___1[Sector]="Rural+Urban") *
      (All_India_Index_Upto_April23__1___1[Date]=A50),
      0
    )
  ),
"")</f>
        <v>157.30000000000001</v>
      </c>
      <c r="E50" cm="1">
        <f t="array" ref="E50">IFERROR(
  INDEX(
    All_India_Index_Upto_April23__1___1[General index],
    MATCH(
      1,
      (All_India_Index_Upto_April23__1___1[Sector]="Rural+Urban") *
      (All_India_Index_Upto_April23__1___1[Date]=DATE(YEAR(A50)-1, MONTH(A50), 1)),
      0
    )
  ),
"")</f>
        <v>150.19999999999999</v>
      </c>
      <c r="F50" s="8">
        <f t="shared" si="2"/>
        <v>4.7270306258322389E-2</v>
      </c>
    </row>
    <row r="51" spans="1:6" x14ac:dyDescent="0.2">
      <c r="A51" s="22">
        <v>44228</v>
      </c>
      <c r="B51">
        <f t="shared" si="0"/>
        <v>2021</v>
      </c>
      <c r="C51">
        <f t="shared" si="1"/>
        <v>2</v>
      </c>
      <c r="D51" cm="1">
        <f t="array" ref="D51">IFERROR(
  INDEX(
    All_India_Index_Upto_April23__1___1[General index],
    MATCH(
      1,
      (All_India_Index_Upto_April23__1___1[Sector]="Rural+Urban") *
      (All_India_Index_Upto_April23__1___1[Date]=A51),
      0
    )
  ),
"")</f>
        <v>156.6</v>
      </c>
      <c r="E51" cm="1">
        <f t="array" ref="E51">IFERROR(
  INDEX(
    All_India_Index_Upto_April23__1___1[General index],
    MATCH(
      1,
      (All_India_Index_Upto_April23__1___1[Sector]="Rural+Urban") *
      (All_India_Index_Upto_April23__1___1[Date]=DATE(YEAR(A51)-1, MONTH(A51), 1)),
      0
    )
  ),
"")</f>
        <v>149.1</v>
      </c>
      <c r="F51" s="8">
        <f t="shared" si="2"/>
        <v>5.030181086519115E-2</v>
      </c>
    </row>
    <row r="52" spans="1:6" x14ac:dyDescent="0.2">
      <c r="A52" s="22">
        <v>44256</v>
      </c>
      <c r="B52">
        <f t="shared" si="0"/>
        <v>2021</v>
      </c>
      <c r="C52">
        <f t="shared" si="1"/>
        <v>3</v>
      </c>
      <c r="D52" cm="1">
        <f t="array" ref="D52">IFERROR(
  INDEX(
    All_India_Index_Upto_April23__1___1[General index],
    MATCH(
      1,
      (All_India_Index_Upto_April23__1___1[Sector]="Rural+Urban") *
      (All_India_Index_Upto_April23__1___1[Date]=A52),
      0
    )
  ),
"")</f>
        <v>156.80000000000001</v>
      </c>
      <c r="E52" cm="1">
        <f t="array" ref="E52">IFERROR(
  INDEX(
    All_India_Index_Upto_April23__1___1[General index],
    MATCH(
      1,
      (All_India_Index_Upto_April23__1___1[Sector]="Rural+Urban") *
      (All_India_Index_Upto_April23__1___1[Date]=DATE(YEAR(A52)-1, MONTH(A52), 1)),
      0
    )
  ),
"")</f>
        <v>148.6</v>
      </c>
      <c r="F52" s="8">
        <f t="shared" si="2"/>
        <v>5.5181695827725558E-2</v>
      </c>
    </row>
    <row r="53" spans="1:6" x14ac:dyDescent="0.2">
      <c r="A53" s="22">
        <v>44287</v>
      </c>
      <c r="B53">
        <f t="shared" si="0"/>
        <v>2021</v>
      </c>
      <c r="C53">
        <f t="shared" si="1"/>
        <v>4</v>
      </c>
      <c r="D53" cm="1">
        <f t="array" ref="D53">IFERROR(
  INDEX(
    All_India_Index_Upto_April23__1___1[General index],
    MATCH(
      1,
      (All_India_Index_Upto_April23__1___1[Sector]="Rural+Urban") *
      (All_India_Index_Upto_April23__1___1[Date]=A53),
      0
    )
  ),
"")</f>
        <v>157.80000000000001</v>
      </c>
      <c r="E53" cm="1">
        <f t="array" ref="E53">IFERROR(
  INDEX(
    All_India_Index_Upto_April23__1___1[General index],
    MATCH(
      1,
      (All_India_Index_Upto_April23__1___1[Sector]="Rural+Urban") *
      (All_India_Index_Upto_April23__1___1[Date]=DATE(YEAR(A53)-1, MONTH(A53), 1)),
      0
    )
  ),
"")</f>
        <v>153.30000000000001</v>
      </c>
      <c r="F53" s="8">
        <f t="shared" si="2"/>
        <v>2.9354207436399216E-2</v>
      </c>
    </row>
    <row r="54" spans="1:6" x14ac:dyDescent="0.2">
      <c r="A54" s="22">
        <v>44317</v>
      </c>
      <c r="B54">
        <f t="shared" si="0"/>
        <v>2021</v>
      </c>
      <c r="C54">
        <f t="shared" si="1"/>
        <v>5</v>
      </c>
      <c r="D54" cm="1">
        <f t="array" ref="D54">IFERROR(
  INDEX(
    All_India_Index_Upto_April23__1___1[General index],
    MATCH(
      1,
      (All_India_Index_Upto_April23__1___1[Sector]="Rural+Urban") *
      (All_India_Index_Upto_April23__1___1[Date]=A54),
      0
    )
  ),
"")</f>
        <v>160.4</v>
      </c>
      <c r="E54" cm="1">
        <f t="array" ref="E54">IFERROR(
  INDEX(
    All_India_Index_Upto_April23__1___1[General index],
    MATCH(
      1,
      (All_India_Index_Upto_April23__1___1[Sector]="Rural+Urban") *
      (All_India_Index_Upto_April23__1___1[Date]=DATE(YEAR(A54)-1, MONTH(A54), 1)),
      0
    )
  ),
"")</f>
        <v>151.5</v>
      </c>
      <c r="F54" s="8">
        <f t="shared" si="2"/>
        <v>5.8745874587458786E-2</v>
      </c>
    </row>
    <row r="55" spans="1:6" x14ac:dyDescent="0.2">
      <c r="A55" s="22">
        <v>44348</v>
      </c>
      <c r="B55">
        <f t="shared" si="0"/>
        <v>2021</v>
      </c>
      <c r="C55">
        <f t="shared" si="1"/>
        <v>6</v>
      </c>
      <c r="D55" cm="1">
        <f t="array" ref="D55">IFERROR(
  INDEX(
    All_India_Index_Upto_April23__1___1[General index],
    MATCH(
      1,
      (All_India_Index_Upto_April23__1___1[Sector]="Rural+Urban") *
      (All_India_Index_Upto_April23__1___1[Date]=A55),
      0
    )
  ),
"")</f>
        <v>161.30000000000001</v>
      </c>
      <c r="E55" cm="1">
        <f t="array" ref="E55">IFERROR(
  INDEX(
    All_India_Index_Upto_April23__1___1[General index],
    MATCH(
      1,
      (All_India_Index_Upto_April23__1___1[Sector]="Rural+Urban") *
      (All_India_Index_Upto_April23__1___1[Date]=DATE(YEAR(A55)-1, MONTH(A55), 1)),
      0
    )
  ),
"")</f>
        <v>151.80000000000001</v>
      </c>
      <c r="F55" s="8">
        <f t="shared" si="2"/>
        <v>6.2582345191040833E-2</v>
      </c>
    </row>
    <row r="56" spans="1:6" x14ac:dyDescent="0.2">
      <c r="A56" s="22">
        <v>44378</v>
      </c>
      <c r="B56">
        <f t="shared" si="0"/>
        <v>2021</v>
      </c>
      <c r="C56">
        <f t="shared" si="1"/>
        <v>7</v>
      </c>
      <c r="D56" cm="1">
        <f t="array" ref="D56">IFERROR(
  INDEX(
    All_India_Index_Upto_April23__1___1[General index],
    MATCH(
      1,
      (All_India_Index_Upto_April23__1___1[Sector]="Rural+Urban") *
      (All_India_Index_Upto_April23__1___1[Date]=A56),
      0
    )
  ),
"")</f>
        <v>162.5</v>
      </c>
      <c r="E56" cm="1">
        <f t="array" ref="E56">IFERROR(
  INDEX(
    All_India_Index_Upto_April23__1___1[General index],
    MATCH(
      1,
      (All_India_Index_Upto_April23__1___1[Sector]="Rural+Urban") *
      (All_India_Index_Upto_April23__1___1[Date]=DATE(YEAR(A56)-1, MONTH(A56), 1)),
      0
    )
  ),
"")</f>
        <v>151.80000000000001</v>
      </c>
      <c r="F56" s="8">
        <f t="shared" si="2"/>
        <v>7.0487483530961709E-2</v>
      </c>
    </row>
    <row r="57" spans="1:6" x14ac:dyDescent="0.2">
      <c r="A57" s="22">
        <v>44409</v>
      </c>
      <c r="B57">
        <f t="shared" si="0"/>
        <v>2021</v>
      </c>
      <c r="C57">
        <f t="shared" si="1"/>
        <v>8</v>
      </c>
      <c r="D57" cm="1">
        <f t="array" ref="D57">IFERROR(
  INDEX(
    All_India_Index_Upto_April23__1___1[General index],
    MATCH(
      1,
      (All_India_Index_Upto_April23__1___1[Sector]="Rural+Urban") *
      (All_India_Index_Upto_April23__1___1[Date]=A57),
      0
    )
  ),
"")</f>
        <v>163.19999999999999</v>
      </c>
      <c r="E57" cm="1">
        <f t="array" ref="E57">IFERROR(
  INDEX(
    All_India_Index_Upto_April23__1___1[General index],
    MATCH(
      1,
      (All_India_Index_Upto_April23__1___1[Sector]="Rural+Urban") *
      (All_India_Index_Upto_April23__1___1[Date]=DATE(YEAR(A57)-1, MONTH(A57), 1)),
      0
    )
  ),
"")</f>
        <v>153.9</v>
      </c>
      <c r="F57" s="8">
        <f t="shared" si="2"/>
        <v>6.0428849902533999E-2</v>
      </c>
    </row>
    <row r="58" spans="1:6" x14ac:dyDescent="0.2">
      <c r="A58" s="22">
        <v>44440</v>
      </c>
      <c r="B58">
        <f t="shared" si="0"/>
        <v>2021</v>
      </c>
      <c r="C58">
        <f t="shared" si="1"/>
        <v>9</v>
      </c>
      <c r="D58" cm="1">
        <f t="array" ref="D58">IFERROR(
  INDEX(
    All_India_Index_Upto_April23__1___1[General index],
    MATCH(
      1,
      (All_India_Index_Upto_April23__1___1[Sector]="Rural+Urban") *
      (All_India_Index_Upto_April23__1___1[Date]=A58),
      0
    )
  ),
"")</f>
        <v>163.19999999999999</v>
      </c>
      <c r="E58" cm="1">
        <f t="array" ref="E58">IFERROR(
  INDEX(
    All_India_Index_Upto_April23__1___1[General index],
    MATCH(
      1,
      (All_India_Index_Upto_April23__1___1[Sector]="Rural+Urban") *
      (All_India_Index_Upto_April23__1___1[Date]=DATE(YEAR(A58)-1, MONTH(A58), 1)),
      0
    )
  ),
"")</f>
        <v>154.69999999999999</v>
      </c>
      <c r="F58" s="8">
        <f t="shared" si="2"/>
        <v>5.4945054945054951E-2</v>
      </c>
    </row>
    <row r="59" spans="1:6" x14ac:dyDescent="0.2">
      <c r="A59" s="22">
        <v>44470</v>
      </c>
      <c r="B59">
        <f t="shared" si="0"/>
        <v>2021</v>
      </c>
      <c r="C59">
        <f t="shared" si="1"/>
        <v>10</v>
      </c>
      <c r="D59" cm="1">
        <f t="array" ref="D59">IFERROR(
  INDEX(
    All_India_Index_Upto_April23__1___1[General index],
    MATCH(
      1,
      (All_India_Index_Upto_April23__1___1[Sector]="Rural+Urban") *
      (All_India_Index_Upto_April23__1___1[Date]=A59),
      0
    )
  ),
"")</f>
        <v>165.5</v>
      </c>
      <c r="E59" cm="1">
        <f t="array" ref="E59">IFERROR(
  INDEX(
    All_India_Index_Upto_April23__1___1[General index],
    MATCH(
      1,
      (All_India_Index_Upto_April23__1___1[Sector]="Rural+Urban") *
      (All_India_Index_Upto_April23__1___1[Date]=DATE(YEAR(A59)-1, MONTH(A59), 1)),
      0
    )
  ),
"")</f>
        <v>156.4</v>
      </c>
      <c r="F59" s="8">
        <f t="shared" si="2"/>
        <v>5.8184143222506354E-2</v>
      </c>
    </row>
    <row r="60" spans="1:6" x14ac:dyDescent="0.2">
      <c r="A60" s="22">
        <v>44501</v>
      </c>
      <c r="B60">
        <f t="shared" si="0"/>
        <v>2021</v>
      </c>
      <c r="C60">
        <f t="shared" si="1"/>
        <v>11</v>
      </c>
      <c r="D60" cm="1">
        <f t="array" ref="D60">IFERROR(
  INDEX(
    All_India_Index_Upto_April23__1___1[General index],
    MATCH(
      1,
      (All_India_Index_Upto_April23__1___1[Sector]="Rural+Urban") *
      (All_India_Index_Upto_April23__1___1[Date]=A60),
      0
    )
  ),
"")</f>
        <v>166.7</v>
      </c>
      <c r="E60" cm="1">
        <f t="array" ref="E60">IFERROR(
  INDEX(
    All_India_Index_Upto_April23__1___1[General index],
    MATCH(
      1,
      (All_India_Index_Upto_April23__1___1[Sector]="Rural+Urban") *
      (All_India_Index_Upto_April23__1___1[Date]=DATE(YEAR(A60)-1, MONTH(A60), 1)),
      0
    )
  ),
"")</f>
        <v>158.4</v>
      </c>
      <c r="F60" s="8">
        <f t="shared" si="2"/>
        <v>5.2398989898989792E-2</v>
      </c>
    </row>
    <row r="61" spans="1:6" x14ac:dyDescent="0.2">
      <c r="A61" s="22">
        <v>44531</v>
      </c>
      <c r="B61">
        <f t="shared" si="0"/>
        <v>2021</v>
      </c>
      <c r="C61">
        <f t="shared" si="1"/>
        <v>12</v>
      </c>
      <c r="D61" cm="1">
        <f t="array" ref="D61">IFERROR(
  INDEX(
    All_India_Index_Upto_April23__1___1[General index],
    MATCH(
      1,
      (All_India_Index_Upto_April23__1___1[Sector]="Rural+Urban") *
      (All_India_Index_Upto_April23__1___1[Date]=A61),
      0
    )
  ),
"")</f>
        <v>166.2</v>
      </c>
      <c r="E61" cm="1">
        <f t="array" ref="E61">IFERROR(
  INDEX(
    All_India_Index_Upto_April23__1___1[General index],
    MATCH(
      1,
      (All_India_Index_Upto_April23__1___1[Sector]="Rural+Urban") *
      (All_India_Index_Upto_April23__1___1[Date]=DATE(YEAR(A61)-1, MONTH(A61), 1)),
      0
    )
  ),
"")</f>
        <v>158.9</v>
      </c>
      <c r="F61" s="8">
        <f t="shared" si="2"/>
        <v>4.5940843297671383E-2</v>
      </c>
    </row>
    <row r="62" spans="1:6" x14ac:dyDescent="0.2">
      <c r="A62" s="22">
        <v>44562</v>
      </c>
      <c r="B62">
        <f t="shared" si="0"/>
        <v>2022</v>
      </c>
      <c r="C62">
        <f t="shared" si="1"/>
        <v>1</v>
      </c>
      <c r="D62" cm="1">
        <f t="array" ref="D62">IFERROR(
  INDEX(
    All_India_Index_Upto_April23__1___1[General index],
    MATCH(
      1,
      (All_India_Index_Upto_April23__1___1[Sector]="Rural+Urban") *
      (All_India_Index_Upto_April23__1___1[Date]=A62),
      0
    )
  ),
"")</f>
        <v>165.7</v>
      </c>
      <c r="E62" cm="1">
        <f t="array" ref="E62">IFERROR(
  INDEX(
    All_India_Index_Upto_April23__1___1[General index],
    MATCH(
      1,
      (All_India_Index_Upto_April23__1___1[Sector]="Rural+Urban") *
      (All_India_Index_Upto_April23__1___1[Date]=DATE(YEAR(A62)-1, MONTH(A62), 1)),
      0
    )
  ),
"")</f>
        <v>157.30000000000001</v>
      </c>
      <c r="F62" s="8">
        <f t="shared" si="2"/>
        <v>5.3401144310235071E-2</v>
      </c>
    </row>
    <row r="63" spans="1:6" x14ac:dyDescent="0.2">
      <c r="A63" s="22">
        <v>44593</v>
      </c>
      <c r="B63">
        <f t="shared" si="0"/>
        <v>2022</v>
      </c>
      <c r="C63">
        <f t="shared" si="1"/>
        <v>2</v>
      </c>
      <c r="D63" cm="1">
        <f t="array" ref="D63">IFERROR(
  INDEX(
    All_India_Index_Upto_April23__1___1[General index],
    MATCH(
      1,
      (All_India_Index_Upto_April23__1___1[Sector]="Rural+Urban") *
      (All_India_Index_Upto_April23__1___1[Date]=A63),
      0
    )
  ),
"")</f>
        <v>166.1</v>
      </c>
      <c r="E63" cm="1">
        <f t="array" ref="E63">IFERROR(
  INDEX(
    All_India_Index_Upto_April23__1___1[General index],
    MATCH(
      1,
      (All_India_Index_Upto_April23__1___1[Sector]="Rural+Urban") *
      (All_India_Index_Upto_April23__1___1[Date]=DATE(YEAR(A63)-1, MONTH(A63), 1)),
      0
    )
  ),
"")</f>
        <v>156.6</v>
      </c>
      <c r="F63" s="8">
        <f t="shared" si="2"/>
        <v>6.066411238825032E-2</v>
      </c>
    </row>
    <row r="64" spans="1:6" x14ac:dyDescent="0.2">
      <c r="A64" s="22">
        <v>44621</v>
      </c>
      <c r="B64">
        <f t="shared" si="0"/>
        <v>2022</v>
      </c>
      <c r="C64">
        <f t="shared" si="1"/>
        <v>3</v>
      </c>
      <c r="D64" cm="1">
        <f t="array" ref="D64">IFERROR(
  INDEX(
    All_India_Index_Upto_April23__1___1[General index],
    MATCH(
      1,
      (All_India_Index_Upto_April23__1___1[Sector]="Rural+Urban") *
      (All_India_Index_Upto_April23__1___1[Date]=A64),
      0
    )
  ),
"")</f>
        <v>167.7</v>
      </c>
      <c r="E64" cm="1">
        <f t="array" ref="E64">IFERROR(
  INDEX(
    All_India_Index_Upto_April23__1___1[General index],
    MATCH(
      1,
      (All_India_Index_Upto_April23__1___1[Sector]="Rural+Urban") *
      (All_India_Index_Upto_April23__1___1[Date]=DATE(YEAR(A64)-1, MONTH(A64), 1)),
      0
    )
  ),
"")</f>
        <v>156.80000000000001</v>
      </c>
      <c r="F64" s="8">
        <f t="shared" si="2"/>
        <v>6.9515306122448828E-2</v>
      </c>
    </row>
    <row r="65" spans="1:6" x14ac:dyDescent="0.2">
      <c r="A65" s="22">
        <v>44652</v>
      </c>
      <c r="B65">
        <f t="shared" si="0"/>
        <v>2022</v>
      </c>
      <c r="C65">
        <f t="shared" si="1"/>
        <v>4</v>
      </c>
      <c r="D65" cm="1">
        <f t="array" ref="D65">IFERROR(
  INDEX(
    All_India_Index_Upto_April23__1___1[General index],
    MATCH(
      1,
      (All_India_Index_Upto_April23__1___1[Sector]="Rural+Urban") *
      (All_India_Index_Upto_April23__1___1[Date]=A65),
      0
    )
  ),
"")</f>
        <v>170.1</v>
      </c>
      <c r="E65" cm="1">
        <f t="array" ref="E65">IFERROR(
  INDEX(
    All_India_Index_Upto_April23__1___1[General index],
    MATCH(
      1,
      (All_India_Index_Upto_April23__1___1[Sector]="Rural+Urban") *
      (All_India_Index_Upto_April23__1___1[Date]=DATE(YEAR(A65)-1, MONTH(A65), 1)),
      0
    )
  ),
"")</f>
        <v>157.80000000000001</v>
      </c>
      <c r="F65" s="8">
        <f t="shared" si="2"/>
        <v>7.7946768060836391E-2</v>
      </c>
    </row>
    <row r="66" spans="1:6" x14ac:dyDescent="0.2">
      <c r="A66" s="22">
        <v>44682</v>
      </c>
      <c r="B66">
        <f t="shared" si="0"/>
        <v>2022</v>
      </c>
      <c r="C66">
        <f t="shared" si="1"/>
        <v>5</v>
      </c>
      <c r="D66" cm="1">
        <f t="array" ref="D66">IFERROR(
  INDEX(
    All_India_Index_Upto_April23__1___1[General index],
    MATCH(
      1,
      (All_India_Index_Upto_April23__1___1[Sector]="Rural+Urban") *
      (All_India_Index_Upto_April23__1___1[Date]=A66),
      0
    )
  ),
"")</f>
        <v>171.7</v>
      </c>
      <c r="E66" cm="1">
        <f t="array" ref="E66">IFERROR(
  INDEX(
    All_India_Index_Upto_April23__1___1[General index],
    MATCH(
      1,
      (All_India_Index_Upto_April23__1___1[Sector]="Rural+Urban") *
      (All_India_Index_Upto_April23__1___1[Date]=DATE(YEAR(A66)-1, MONTH(A66), 1)),
      0
    )
  ),
"")</f>
        <v>160.4</v>
      </c>
      <c r="F66" s="8">
        <f t="shared" si="2"/>
        <v>7.0448877805486171E-2</v>
      </c>
    </row>
    <row r="67" spans="1:6" x14ac:dyDescent="0.2">
      <c r="A67" s="22">
        <v>44713</v>
      </c>
      <c r="B67">
        <f t="shared" ref="B67:B85" si="4">YEAR(A67)</f>
        <v>2022</v>
      </c>
      <c r="C67">
        <f t="shared" ref="C67:C85" si="5">MONTH(A67)</f>
        <v>6</v>
      </c>
      <c r="D67" cm="1">
        <f t="array" ref="D67">IFERROR(
  INDEX(
    All_India_Index_Upto_April23__1___1[General index],
    MATCH(
      1,
      (All_India_Index_Upto_April23__1___1[Sector]="Rural+Urban") *
      (All_India_Index_Upto_April23__1___1[Date]=A67),
      0
    )
  ),
"")</f>
        <v>172.6</v>
      </c>
      <c r="E67" cm="1">
        <f t="array" ref="E67">IFERROR(
  INDEX(
    All_India_Index_Upto_April23__1___1[General index],
    MATCH(
      1,
      (All_India_Index_Upto_April23__1___1[Sector]="Rural+Urban") *
      (All_India_Index_Upto_April23__1___1[Date]=DATE(YEAR(A67)-1, MONTH(A67), 1)),
      0
    )
  ),
"")</f>
        <v>161.30000000000001</v>
      </c>
      <c r="F67" s="8">
        <f t="shared" ref="F67:F85" si="6">IFERROR(
  (D67-E67)/E67,
"")</f>
        <v>7.0055796652200755E-2</v>
      </c>
    </row>
    <row r="68" spans="1:6" x14ac:dyDescent="0.2">
      <c r="A68" s="22">
        <v>44743</v>
      </c>
      <c r="B68">
        <f t="shared" si="4"/>
        <v>2022</v>
      </c>
      <c r="C68">
        <f t="shared" si="5"/>
        <v>7</v>
      </c>
      <c r="D68" cm="1">
        <f t="array" ref="D68">IFERROR(
  INDEX(
    All_India_Index_Upto_April23__1___1[General index],
    MATCH(
      1,
      (All_India_Index_Upto_April23__1___1[Sector]="Rural+Urban") *
      (All_India_Index_Upto_April23__1___1[Date]=A68),
      0
    )
  ),
"")</f>
        <v>173.4</v>
      </c>
      <c r="E68" cm="1">
        <f t="array" ref="E68">IFERROR(
  INDEX(
    All_India_Index_Upto_April23__1___1[General index],
    MATCH(
      1,
      (All_India_Index_Upto_April23__1___1[Sector]="Rural+Urban") *
      (All_India_Index_Upto_April23__1___1[Date]=DATE(YEAR(A68)-1, MONTH(A68), 1)),
      0
    )
  ),
"")</f>
        <v>162.5</v>
      </c>
      <c r="F68" s="8">
        <f t="shared" si="6"/>
        <v>6.7076923076923117E-2</v>
      </c>
    </row>
    <row r="69" spans="1:6" x14ac:dyDescent="0.2">
      <c r="A69" s="22">
        <v>44774</v>
      </c>
      <c r="B69">
        <f t="shared" si="4"/>
        <v>2022</v>
      </c>
      <c r="C69">
        <f t="shared" si="5"/>
        <v>8</v>
      </c>
      <c r="D69" cm="1">
        <f t="array" ref="D69">IFERROR(
  INDEX(
    All_India_Index_Upto_April23__1___1[General index],
    MATCH(
      1,
      (All_India_Index_Upto_April23__1___1[Sector]="Rural+Urban") *
      (All_India_Index_Upto_April23__1___1[Date]=A69),
      0
    )
  ),
"")</f>
        <v>174.3</v>
      </c>
      <c r="E69" cm="1">
        <f t="array" ref="E69">IFERROR(
  INDEX(
    All_India_Index_Upto_April23__1___1[General index],
    MATCH(
      1,
      (All_India_Index_Upto_April23__1___1[Sector]="Rural+Urban") *
      (All_India_Index_Upto_April23__1___1[Date]=DATE(YEAR(A69)-1, MONTH(A69), 1)),
      0
    )
  ),
"")</f>
        <v>163.19999999999999</v>
      </c>
      <c r="F69" s="8">
        <f t="shared" si="6"/>
        <v>6.8014705882353088E-2</v>
      </c>
    </row>
    <row r="70" spans="1:6" x14ac:dyDescent="0.2">
      <c r="A70" s="22">
        <v>44805</v>
      </c>
      <c r="B70">
        <f t="shared" si="4"/>
        <v>2022</v>
      </c>
      <c r="C70">
        <f t="shared" si="5"/>
        <v>9</v>
      </c>
      <c r="D70" cm="1">
        <f t="array" ref="D70">IFERROR(
  INDEX(
    All_India_Index_Upto_April23__1___1[General index],
    MATCH(
      1,
      (All_India_Index_Upto_April23__1___1[Sector]="Rural+Urban") *
      (All_India_Index_Upto_April23__1___1[Date]=A70),
      0
    )
  ),
"")</f>
        <v>175.3</v>
      </c>
      <c r="E70" cm="1">
        <f t="array" ref="E70">IFERROR(
  INDEX(
    All_India_Index_Upto_April23__1___1[General index],
    MATCH(
      1,
      (All_India_Index_Upto_April23__1___1[Sector]="Rural+Urban") *
      (All_India_Index_Upto_April23__1___1[Date]=DATE(YEAR(A70)-1, MONTH(A70), 1)),
      0
    )
  ),
"")</f>
        <v>163.19999999999999</v>
      </c>
      <c r="F70" s="8">
        <f t="shared" si="6"/>
        <v>7.4142156862745237E-2</v>
      </c>
    </row>
    <row r="71" spans="1:6" x14ac:dyDescent="0.2">
      <c r="A71" s="22">
        <v>44835</v>
      </c>
      <c r="B71">
        <f t="shared" si="4"/>
        <v>2022</v>
      </c>
      <c r="C71">
        <f t="shared" si="5"/>
        <v>10</v>
      </c>
      <c r="D71" cm="1">
        <f t="array" ref="D71">IFERROR(
  INDEX(
    All_India_Index_Upto_April23__1___1[General index],
    MATCH(
      1,
      (All_India_Index_Upto_April23__1___1[Sector]="Rural+Urban") *
      (All_India_Index_Upto_April23__1___1[Date]=A71),
      0
    )
  ),
"")</f>
        <v>176.7</v>
      </c>
      <c r="E71" cm="1">
        <f t="array" ref="E71">IFERROR(
  INDEX(
    All_India_Index_Upto_April23__1___1[General index],
    MATCH(
      1,
      (All_India_Index_Upto_April23__1___1[Sector]="Rural+Urban") *
      (All_India_Index_Upto_April23__1___1[Date]=DATE(YEAR(A71)-1, MONTH(A71), 1)),
      0
    )
  ),
"")</f>
        <v>165.5</v>
      </c>
      <c r="F71" s="8">
        <f t="shared" si="6"/>
        <v>6.7673716012084523E-2</v>
      </c>
    </row>
    <row r="72" spans="1:6" x14ac:dyDescent="0.2">
      <c r="A72" s="22">
        <v>44866</v>
      </c>
      <c r="B72">
        <f t="shared" si="4"/>
        <v>2022</v>
      </c>
      <c r="C72">
        <f t="shared" si="5"/>
        <v>11</v>
      </c>
      <c r="D72" cm="1">
        <f t="array" ref="D72">IFERROR(
  INDEX(
    All_India_Index_Upto_April23__1___1[General index],
    MATCH(
      1,
      (All_India_Index_Upto_April23__1___1[Sector]="Rural+Urban") *
      (All_India_Index_Upto_April23__1___1[Date]=A72),
      0
    )
  ),
"")</f>
        <v>176.5</v>
      </c>
      <c r="E72" cm="1">
        <f t="array" ref="E72">IFERROR(
  INDEX(
    All_India_Index_Upto_April23__1___1[General index],
    MATCH(
      1,
      (All_India_Index_Upto_April23__1___1[Sector]="Rural+Urban") *
      (All_India_Index_Upto_April23__1___1[Date]=DATE(YEAR(A72)-1, MONTH(A72), 1)),
      0
    )
  ),
"")</f>
        <v>166.7</v>
      </c>
      <c r="F72" s="8">
        <f t="shared" si="6"/>
        <v>5.8788242351529768E-2</v>
      </c>
    </row>
    <row r="73" spans="1:6" x14ac:dyDescent="0.2">
      <c r="A73" s="22">
        <v>44896</v>
      </c>
      <c r="B73">
        <f t="shared" si="4"/>
        <v>2022</v>
      </c>
      <c r="C73">
        <f t="shared" si="5"/>
        <v>12</v>
      </c>
      <c r="D73" cm="1">
        <f t="array" ref="D73">IFERROR(
  INDEX(
    All_India_Index_Upto_April23__1___1[General index],
    MATCH(
      1,
      (All_India_Index_Upto_April23__1___1[Sector]="Rural+Urban") *
      (All_India_Index_Upto_April23__1___1[Date]=A73),
      0
    )
  ),
"")</f>
        <v>175.7</v>
      </c>
      <c r="E73" cm="1">
        <f t="array" ref="E73">IFERROR(
  INDEX(
    All_India_Index_Upto_April23__1___1[General index],
    MATCH(
      1,
      (All_India_Index_Upto_April23__1___1[Sector]="Rural+Urban") *
      (All_India_Index_Upto_April23__1___1[Date]=DATE(YEAR(A73)-1, MONTH(A73), 1)),
      0
    )
  ),
"")</f>
        <v>166.2</v>
      </c>
      <c r="F73" s="8">
        <f t="shared" si="6"/>
        <v>5.7160048134777382E-2</v>
      </c>
    </row>
    <row r="74" spans="1:6" x14ac:dyDescent="0.2">
      <c r="A74" s="22">
        <v>44927</v>
      </c>
      <c r="B74">
        <f t="shared" si="4"/>
        <v>2023</v>
      </c>
      <c r="C74">
        <f t="shared" si="5"/>
        <v>1</v>
      </c>
      <c r="D74" cm="1">
        <f t="array" ref="D74">IFERROR(
  INDEX(
    All_India_Index_Upto_April23__1___1[General index],
    MATCH(
      1,
      (All_India_Index_Upto_April23__1___1[Sector]="Rural+Urban") *
      (All_India_Index_Upto_April23__1___1[Date]=A74),
      0
    )
  ),
"")</f>
        <v>176.5</v>
      </c>
      <c r="E74" cm="1">
        <f t="array" ref="E74">IFERROR(
  INDEX(
    All_India_Index_Upto_April23__1___1[General index],
    MATCH(
      1,
      (All_India_Index_Upto_April23__1___1[Sector]="Rural+Urban") *
      (All_India_Index_Upto_April23__1___1[Date]=DATE(YEAR(A74)-1, MONTH(A74), 1)),
      0
    )
  ),
"")</f>
        <v>165.7</v>
      </c>
      <c r="F74" s="8">
        <f t="shared" si="6"/>
        <v>6.5178032589016374E-2</v>
      </c>
    </row>
    <row r="75" spans="1:6" x14ac:dyDescent="0.2">
      <c r="A75" s="22">
        <v>44958</v>
      </c>
      <c r="B75">
        <f t="shared" si="4"/>
        <v>2023</v>
      </c>
      <c r="C75">
        <f t="shared" si="5"/>
        <v>2</v>
      </c>
      <c r="D75" cm="1">
        <f t="array" ref="D75">IFERROR(
  INDEX(
    All_India_Index_Upto_April23__1___1[General index],
    MATCH(
      1,
      (All_India_Index_Upto_April23__1___1[Sector]="Rural+Urban") *
      (All_India_Index_Upto_April23__1___1[Date]=A75),
      0
    )
  ),
"")</f>
        <v>177.2</v>
      </c>
      <c r="E75" cm="1">
        <f t="array" ref="E75">IFERROR(
  INDEX(
    All_India_Index_Upto_April23__1___1[General index],
    MATCH(
      1,
      (All_India_Index_Upto_April23__1___1[Sector]="Rural+Urban") *
      (All_India_Index_Upto_April23__1___1[Date]=DATE(YEAR(A75)-1, MONTH(A75), 1)),
      0
    )
  ),
"")</f>
        <v>166.1</v>
      </c>
      <c r="F75" s="8">
        <f t="shared" si="6"/>
        <v>6.6827212522576729E-2</v>
      </c>
    </row>
    <row r="76" spans="1:6" x14ac:dyDescent="0.2">
      <c r="A76" s="22">
        <v>44986</v>
      </c>
      <c r="B76">
        <f t="shared" si="4"/>
        <v>2023</v>
      </c>
      <c r="C76">
        <f t="shared" si="5"/>
        <v>3</v>
      </c>
      <c r="D76" cm="1">
        <f t="array" ref="D76">IFERROR(
  INDEX(
    All_India_Index_Upto_April23__1___1[General index],
    MATCH(
      1,
      (All_India_Index_Upto_April23__1___1[Sector]="Rural+Urban") *
      (All_India_Index_Upto_April23__1___1[Date]=A76),
      0
    )
  ),
"")</f>
        <v>177.2</v>
      </c>
      <c r="E76" cm="1">
        <f t="array" ref="E76">IFERROR(
  INDEX(
    All_India_Index_Upto_April23__1___1[General index],
    MATCH(
      1,
      (All_India_Index_Upto_April23__1___1[Sector]="Rural+Urban") *
      (All_India_Index_Upto_April23__1___1[Date]=DATE(YEAR(A76)-1, MONTH(A76), 1)),
      0
    )
  ),
"")</f>
        <v>167.7</v>
      </c>
      <c r="F76" s="8">
        <f t="shared" si="6"/>
        <v>5.6648777579010143E-2</v>
      </c>
    </row>
    <row r="77" spans="1:6" x14ac:dyDescent="0.2">
      <c r="A77" s="22">
        <v>45017</v>
      </c>
      <c r="B77">
        <f t="shared" si="4"/>
        <v>2023</v>
      </c>
      <c r="C77">
        <f t="shared" si="5"/>
        <v>4</v>
      </c>
      <c r="D77" cm="1">
        <f t="array" ref="D77">IFERROR(
  INDEX(
    All_India_Index_Upto_April23__1___1[General index],
    MATCH(
      1,
      (All_India_Index_Upto_April23__1___1[Sector]="Rural+Urban") *
      (All_India_Index_Upto_April23__1___1[Date]=A77),
      0
    )
  ),
"")</f>
        <v>178.1</v>
      </c>
      <c r="E77" cm="1">
        <f t="array" ref="E77">IFERROR(
  INDEX(
    All_India_Index_Upto_April23__1___1[General index],
    MATCH(
      1,
      (All_India_Index_Upto_April23__1___1[Sector]="Rural+Urban") *
      (All_India_Index_Upto_April23__1___1[Date]=DATE(YEAR(A77)-1, MONTH(A77), 1)),
      0
    )
  ),
"")</f>
        <v>170.1</v>
      </c>
      <c r="F77" s="8">
        <f t="shared" si="6"/>
        <v>4.7031158142269255E-2</v>
      </c>
    </row>
    <row r="78" spans="1:6" x14ac:dyDescent="0.2">
      <c r="A78" s="22">
        <v>45047</v>
      </c>
      <c r="B78">
        <f t="shared" si="4"/>
        <v>2023</v>
      </c>
      <c r="C78">
        <f t="shared" si="5"/>
        <v>5</v>
      </c>
      <c r="D78" cm="1">
        <f t="array" ref="D78">IFERROR(
  INDEX(
    All_India_Index_Upto_April23__1___1[General index],
    MATCH(
      1,
      (All_India_Index_Upto_April23__1___1[Sector]="Rural+Urban") *
      (All_India_Index_Upto_April23__1___1[Date]=A78),
      0
    )
  ),
"")</f>
        <v>179.1</v>
      </c>
      <c r="E78" cm="1">
        <f t="array" ref="E78">IFERROR(
  INDEX(
    All_India_Index_Upto_April23__1___1[General index],
    MATCH(
      1,
      (All_India_Index_Upto_April23__1___1[Sector]="Rural+Urban") *
      (All_India_Index_Upto_April23__1___1[Date]=DATE(YEAR(A78)-1, MONTH(A78), 1)),
      0
    )
  ),
"")</f>
        <v>171.7</v>
      </c>
      <c r="F78" s="8">
        <f t="shared" si="6"/>
        <v>4.3098427489807842E-2</v>
      </c>
    </row>
    <row r="79" spans="1:6" x14ac:dyDescent="0.2">
      <c r="A79" s="22">
        <v>45078</v>
      </c>
      <c r="B79">
        <f t="shared" si="4"/>
        <v>2023</v>
      </c>
      <c r="C79">
        <f t="shared" si="5"/>
        <v>6</v>
      </c>
      <c r="D79" t="str" cm="1">
        <f t="array" ref="D79">IFERROR(
  INDEX(
    All_India_Index_Upto_April23__1___1[General index],
    MATCH(
      1,
      (All_India_Index_Upto_April23__1___1[Sector]="Rural+Urban") *
      (All_India_Index_Upto_April23__1___1[Date]=A79),
      0
    )
  ),
"")</f>
        <v/>
      </c>
      <c r="E79" cm="1">
        <f t="array" ref="E79">IFERROR(
  INDEX(
    All_India_Index_Upto_April23__1___1[General index],
    MATCH(
      1,
      (All_India_Index_Upto_April23__1___1[Sector]="Rural+Urban") *
      (All_India_Index_Upto_April23__1___1[Date]=DATE(YEAR(A79)-1, MONTH(A79), 1)),
      0
    )
  ),
"")</f>
        <v>172.6</v>
      </c>
      <c r="F79" s="8" t="str">
        <f t="shared" si="6"/>
        <v/>
      </c>
    </row>
    <row r="80" spans="1:6" x14ac:dyDescent="0.2">
      <c r="A80" s="22">
        <v>45108</v>
      </c>
      <c r="B80">
        <f t="shared" si="4"/>
        <v>2023</v>
      </c>
      <c r="C80">
        <f t="shared" si="5"/>
        <v>7</v>
      </c>
      <c r="D80" t="str" cm="1">
        <f t="array" ref="D80">IFERROR(
  INDEX(
    All_India_Index_Upto_April23__1___1[General index],
    MATCH(
      1,
      (All_India_Index_Upto_April23__1___1[Sector]="Rural+Urban") *
      (All_India_Index_Upto_April23__1___1[Date]=A80),
      0
    )
  ),
"")</f>
        <v/>
      </c>
      <c r="E80" cm="1">
        <f t="array" ref="E80">IFERROR(
  INDEX(
    All_India_Index_Upto_April23__1___1[General index],
    MATCH(
      1,
      (All_India_Index_Upto_April23__1___1[Sector]="Rural+Urban") *
      (All_India_Index_Upto_April23__1___1[Date]=DATE(YEAR(A80)-1, MONTH(A80), 1)),
      0
    )
  ),
"")</f>
        <v>173.4</v>
      </c>
      <c r="F80" s="8" t="str">
        <f t="shared" si="6"/>
        <v/>
      </c>
    </row>
    <row r="81" spans="1:6" x14ac:dyDescent="0.2">
      <c r="A81" s="22">
        <v>45139</v>
      </c>
      <c r="B81">
        <f t="shared" si="4"/>
        <v>2023</v>
      </c>
      <c r="C81">
        <f t="shared" si="5"/>
        <v>8</v>
      </c>
      <c r="D81" t="str" cm="1">
        <f t="array" ref="D81">IFERROR(
  INDEX(
    All_India_Index_Upto_April23__1___1[General index],
    MATCH(
      1,
      (All_India_Index_Upto_April23__1___1[Sector]="Rural+Urban") *
      (All_India_Index_Upto_April23__1___1[Date]=A81),
      0
    )
  ),
"")</f>
        <v/>
      </c>
      <c r="E81" cm="1">
        <f t="array" ref="E81">IFERROR(
  INDEX(
    All_India_Index_Upto_April23__1___1[General index],
    MATCH(
      1,
      (All_India_Index_Upto_April23__1___1[Sector]="Rural+Urban") *
      (All_India_Index_Upto_April23__1___1[Date]=DATE(YEAR(A81)-1, MONTH(A81), 1)),
      0
    )
  ),
"")</f>
        <v>174.3</v>
      </c>
      <c r="F81" s="8" t="str">
        <f t="shared" si="6"/>
        <v/>
      </c>
    </row>
    <row r="82" spans="1:6" x14ac:dyDescent="0.2">
      <c r="A82" s="22">
        <v>45170</v>
      </c>
      <c r="B82">
        <f t="shared" si="4"/>
        <v>2023</v>
      </c>
      <c r="C82">
        <f t="shared" si="5"/>
        <v>9</v>
      </c>
      <c r="D82" t="str" cm="1">
        <f t="array" ref="D82">IFERROR(
  INDEX(
    All_India_Index_Upto_April23__1___1[General index],
    MATCH(
      1,
      (All_India_Index_Upto_April23__1___1[Sector]="Rural+Urban") *
      (All_India_Index_Upto_April23__1___1[Date]=A82),
      0
    )
  ),
"")</f>
        <v/>
      </c>
      <c r="E82" cm="1">
        <f t="array" ref="E82">IFERROR(
  INDEX(
    All_India_Index_Upto_April23__1___1[General index],
    MATCH(
      1,
      (All_India_Index_Upto_April23__1___1[Sector]="Rural+Urban") *
      (All_India_Index_Upto_April23__1___1[Date]=DATE(YEAR(A82)-1, MONTH(A82), 1)),
      0
    )
  ),
"")</f>
        <v>175.3</v>
      </c>
      <c r="F82" s="8" t="str">
        <f t="shared" si="6"/>
        <v/>
      </c>
    </row>
    <row r="83" spans="1:6" x14ac:dyDescent="0.2">
      <c r="A83" s="22">
        <v>45200</v>
      </c>
      <c r="B83">
        <f t="shared" si="4"/>
        <v>2023</v>
      </c>
      <c r="C83">
        <f t="shared" si="5"/>
        <v>10</v>
      </c>
      <c r="D83" t="str" cm="1">
        <f t="array" ref="D83">IFERROR(
  INDEX(
    All_India_Index_Upto_April23__1___1[General index],
    MATCH(
      1,
      (All_India_Index_Upto_April23__1___1[Sector]="Rural+Urban") *
      (All_India_Index_Upto_April23__1___1[Date]=A83),
      0
    )
  ),
"")</f>
        <v/>
      </c>
      <c r="E83" cm="1">
        <f t="array" ref="E83">IFERROR(
  INDEX(
    All_India_Index_Upto_April23__1___1[General index],
    MATCH(
      1,
      (All_India_Index_Upto_April23__1___1[Sector]="Rural+Urban") *
      (All_India_Index_Upto_April23__1___1[Date]=DATE(YEAR(A83)-1, MONTH(A83), 1)),
      0
    )
  ),
"")</f>
        <v>176.7</v>
      </c>
      <c r="F83" s="8" t="str">
        <f t="shared" si="6"/>
        <v/>
      </c>
    </row>
    <row r="84" spans="1:6" x14ac:dyDescent="0.2">
      <c r="A84" s="22">
        <v>45231</v>
      </c>
      <c r="B84">
        <f t="shared" si="4"/>
        <v>2023</v>
      </c>
      <c r="C84">
        <f t="shared" si="5"/>
        <v>11</v>
      </c>
      <c r="D84" t="str" cm="1">
        <f t="array" ref="D84">IFERROR(
  INDEX(
    All_India_Index_Upto_April23__1___1[General index],
    MATCH(
      1,
      (All_India_Index_Upto_April23__1___1[Sector]="Rural+Urban") *
      (All_India_Index_Upto_April23__1___1[Date]=A84),
      0
    )
  ),
"")</f>
        <v/>
      </c>
      <c r="E84" cm="1">
        <f t="array" ref="E84">IFERROR(
  INDEX(
    All_India_Index_Upto_April23__1___1[General index],
    MATCH(
      1,
      (All_India_Index_Upto_April23__1___1[Sector]="Rural+Urban") *
      (All_India_Index_Upto_April23__1___1[Date]=DATE(YEAR(A84)-1, MONTH(A84), 1)),
      0
    )
  ),
"")</f>
        <v>176.5</v>
      </c>
      <c r="F84" s="8" t="str">
        <f t="shared" si="6"/>
        <v/>
      </c>
    </row>
    <row r="85" spans="1:6" x14ac:dyDescent="0.2">
      <c r="A85" s="22">
        <v>45261</v>
      </c>
      <c r="B85">
        <f t="shared" si="4"/>
        <v>2023</v>
      </c>
      <c r="C85">
        <f t="shared" si="5"/>
        <v>12</v>
      </c>
      <c r="D85" t="str" cm="1">
        <f t="array" ref="D85">IFERROR(
  INDEX(
    All_India_Index_Upto_April23__1___1[General index],
    MATCH(
      1,
      (All_India_Index_Upto_April23__1___1[Sector]="Rural+Urban") *
      (All_India_Index_Upto_April23__1___1[Date]=A85),
      0
    )
  ),
"")</f>
        <v/>
      </c>
      <c r="E85" cm="1">
        <f t="array" ref="E85">IFERROR(
  INDEX(
    All_India_Index_Upto_April23__1___1[General index],
    MATCH(
      1,
      (All_India_Index_Upto_April23__1___1[Sector]="Rural+Urban") *
      (All_India_Index_Upto_April23__1___1[Date]=DATE(YEAR(A85)-1, MONTH(A85), 1)),
      0
    )
  ),
"")</f>
        <v>175.7</v>
      </c>
      <c r="F85" s="8" t="str">
        <f t="shared" si="6"/>
        <v/>
      </c>
    </row>
    <row r="86" spans="1:6" x14ac:dyDescent="0.2">
      <c r="A86" s="26"/>
    </row>
    <row r="87" spans="1:6" x14ac:dyDescent="0.2">
      <c r="A87" s="26"/>
    </row>
    <row r="88" spans="1:6" x14ac:dyDescent="0.2">
      <c r="A88" s="26"/>
    </row>
    <row r="89" spans="1:6" x14ac:dyDescent="0.2">
      <c r="A89" s="26"/>
    </row>
    <row r="90" spans="1:6" x14ac:dyDescent="0.2">
      <c r="A90" s="26"/>
    </row>
    <row r="91" spans="1:6" x14ac:dyDescent="0.2">
      <c r="A91" s="26"/>
    </row>
    <row r="92" spans="1:6" x14ac:dyDescent="0.2">
      <c r="A92" s="26"/>
    </row>
    <row r="93" spans="1:6" x14ac:dyDescent="0.2">
      <c r="A93" s="26"/>
    </row>
    <row r="94" spans="1:6" x14ac:dyDescent="0.2">
      <c r="A94" s="26"/>
    </row>
    <row r="95" spans="1:6" x14ac:dyDescent="0.2">
      <c r="A95" s="26"/>
    </row>
    <row r="96" spans="1:6" x14ac:dyDescent="0.2">
      <c r="A96" s="26"/>
    </row>
    <row r="97" spans="1:1" x14ac:dyDescent="0.2">
      <c r="A97" s="26"/>
    </row>
    <row r="98" spans="1:1" x14ac:dyDescent="0.2">
      <c r="A98" s="26"/>
    </row>
    <row r="99" spans="1:1" x14ac:dyDescent="0.2">
      <c r="A99" s="26"/>
    </row>
    <row r="100" spans="1:1" x14ac:dyDescent="0.2">
      <c r="A100" s="26"/>
    </row>
    <row r="101" spans="1:1" x14ac:dyDescent="0.2">
      <c r="A101" s="26"/>
    </row>
    <row r="102" spans="1:1" x14ac:dyDescent="0.2">
      <c r="A102" s="26"/>
    </row>
    <row r="103" spans="1:1" x14ac:dyDescent="0.2">
      <c r="A103" s="26"/>
    </row>
    <row r="104" spans="1:1" x14ac:dyDescent="0.2">
      <c r="A104" s="26"/>
    </row>
    <row r="105" spans="1:1" x14ac:dyDescent="0.2">
      <c r="A105" s="26"/>
    </row>
    <row r="106" spans="1:1" x14ac:dyDescent="0.2">
      <c r="A106" s="26"/>
    </row>
    <row r="107" spans="1:1" x14ac:dyDescent="0.2">
      <c r="A107" s="26"/>
    </row>
    <row r="108" spans="1:1" x14ac:dyDescent="0.2">
      <c r="A108" s="26"/>
    </row>
    <row r="109" spans="1:1" x14ac:dyDescent="0.2">
      <c r="A109" s="26"/>
    </row>
    <row r="110" spans="1:1" x14ac:dyDescent="0.2">
      <c r="A110" s="26"/>
    </row>
    <row r="111" spans="1:1" x14ac:dyDescent="0.2">
      <c r="A111" s="26"/>
    </row>
    <row r="112" spans="1:1" x14ac:dyDescent="0.2">
      <c r="A112" s="26"/>
    </row>
    <row r="113" spans="1:1" x14ac:dyDescent="0.2">
      <c r="A113" s="26"/>
    </row>
    <row r="114" spans="1:1" x14ac:dyDescent="0.2">
      <c r="A114" s="26"/>
    </row>
    <row r="115" spans="1:1" x14ac:dyDescent="0.2">
      <c r="A115" s="26"/>
    </row>
    <row r="116" spans="1:1" x14ac:dyDescent="0.2">
      <c r="A116" s="26"/>
    </row>
    <row r="117" spans="1:1" x14ac:dyDescent="0.2">
      <c r="A117" s="26"/>
    </row>
    <row r="118" spans="1:1" x14ac:dyDescent="0.2">
      <c r="A118" s="26"/>
    </row>
    <row r="119" spans="1:1" x14ac:dyDescent="0.2">
      <c r="A119" s="26"/>
    </row>
    <row r="120" spans="1:1" x14ac:dyDescent="0.2">
      <c r="A120" s="26"/>
    </row>
    <row r="121" spans="1:1" x14ac:dyDescent="0.2">
      <c r="A121" s="26"/>
    </row>
    <row r="122" spans="1:1" x14ac:dyDescent="0.2">
      <c r="A122" s="26"/>
    </row>
    <row r="123" spans="1:1" x14ac:dyDescent="0.2">
      <c r="A123" s="26"/>
    </row>
    <row r="124" spans="1:1" x14ac:dyDescent="0.2">
      <c r="A124" s="26"/>
    </row>
    <row r="125" spans="1:1" x14ac:dyDescent="0.2">
      <c r="A125" s="26"/>
    </row>
    <row r="126" spans="1:1" x14ac:dyDescent="0.2">
      <c r="A126" s="26"/>
    </row>
    <row r="127" spans="1:1" x14ac:dyDescent="0.2">
      <c r="A127" s="26"/>
    </row>
    <row r="128" spans="1:1" x14ac:dyDescent="0.2">
      <c r="A128" s="26"/>
    </row>
    <row r="129" spans="1:1" x14ac:dyDescent="0.2">
      <c r="A129" s="26"/>
    </row>
    <row r="130" spans="1:1" x14ac:dyDescent="0.2">
      <c r="A130" s="26"/>
    </row>
    <row r="131" spans="1:1" x14ac:dyDescent="0.2">
      <c r="A131" s="26"/>
    </row>
    <row r="132" spans="1:1" x14ac:dyDescent="0.2">
      <c r="A132" s="26"/>
    </row>
    <row r="133" spans="1:1" x14ac:dyDescent="0.2">
      <c r="A133" s="26"/>
    </row>
    <row r="134" spans="1:1" x14ac:dyDescent="0.2">
      <c r="A134" s="26"/>
    </row>
    <row r="135" spans="1:1" x14ac:dyDescent="0.2">
      <c r="A135" s="26"/>
    </row>
    <row r="136" spans="1:1" x14ac:dyDescent="0.2">
      <c r="A136" s="26"/>
    </row>
    <row r="137" spans="1:1" x14ac:dyDescent="0.2">
      <c r="A137" s="26"/>
    </row>
    <row r="138" spans="1:1" x14ac:dyDescent="0.2">
      <c r="A138" s="26"/>
    </row>
    <row r="139" spans="1:1" x14ac:dyDescent="0.2">
      <c r="A139" s="26"/>
    </row>
    <row r="140" spans="1:1" x14ac:dyDescent="0.2">
      <c r="A140" s="26"/>
    </row>
    <row r="141" spans="1:1" x14ac:dyDescent="0.2">
      <c r="A141" s="26"/>
    </row>
    <row r="142" spans="1:1" x14ac:dyDescent="0.2">
      <c r="A142" s="26"/>
    </row>
    <row r="143" spans="1:1" x14ac:dyDescent="0.2">
      <c r="A143" s="26"/>
    </row>
    <row r="144" spans="1:1" x14ac:dyDescent="0.2">
      <c r="A144" s="26"/>
    </row>
    <row r="145" spans="1:1" x14ac:dyDescent="0.2">
      <c r="A145" s="26"/>
    </row>
    <row r="146" spans="1:1" x14ac:dyDescent="0.2">
      <c r="A146" s="26"/>
    </row>
    <row r="147" spans="1:1" x14ac:dyDescent="0.2">
      <c r="A147" s="26"/>
    </row>
    <row r="148" spans="1:1" x14ac:dyDescent="0.2">
      <c r="A148" s="26"/>
    </row>
    <row r="149" spans="1:1" x14ac:dyDescent="0.2">
      <c r="A149" s="26"/>
    </row>
    <row r="150" spans="1:1" x14ac:dyDescent="0.2">
      <c r="A150" s="26"/>
    </row>
    <row r="151" spans="1:1" x14ac:dyDescent="0.2">
      <c r="A151" s="26"/>
    </row>
    <row r="152" spans="1:1" x14ac:dyDescent="0.2">
      <c r="A152" s="26"/>
    </row>
    <row r="153" spans="1:1" x14ac:dyDescent="0.2">
      <c r="A153" s="26"/>
    </row>
    <row r="154" spans="1:1" x14ac:dyDescent="0.2">
      <c r="A154" s="26"/>
    </row>
    <row r="155" spans="1:1" x14ac:dyDescent="0.2">
      <c r="A155" s="26"/>
    </row>
    <row r="156" spans="1:1" x14ac:dyDescent="0.2">
      <c r="A156" s="26"/>
    </row>
    <row r="157" spans="1:1" x14ac:dyDescent="0.2">
      <c r="A157" s="26"/>
    </row>
    <row r="158" spans="1:1" x14ac:dyDescent="0.2">
      <c r="A158" s="26"/>
    </row>
    <row r="159" spans="1:1" x14ac:dyDescent="0.2">
      <c r="A159" s="26"/>
    </row>
    <row r="160" spans="1:1" x14ac:dyDescent="0.2">
      <c r="A160" s="26"/>
    </row>
    <row r="161" spans="1:1" x14ac:dyDescent="0.2">
      <c r="A161" s="26"/>
    </row>
    <row r="162" spans="1:1" x14ac:dyDescent="0.2">
      <c r="A162" s="26"/>
    </row>
    <row r="163" spans="1:1" x14ac:dyDescent="0.2">
      <c r="A163" s="26"/>
    </row>
    <row r="164" spans="1:1" x14ac:dyDescent="0.2">
      <c r="A164" s="26"/>
    </row>
    <row r="165" spans="1:1" x14ac:dyDescent="0.2">
      <c r="A165" s="26"/>
    </row>
    <row r="166" spans="1:1" x14ac:dyDescent="0.2">
      <c r="A166" s="26"/>
    </row>
    <row r="167" spans="1:1" x14ac:dyDescent="0.2">
      <c r="A167" s="26"/>
    </row>
    <row r="168" spans="1:1" x14ac:dyDescent="0.2">
      <c r="A168" s="26"/>
    </row>
    <row r="169" spans="1:1" x14ac:dyDescent="0.2">
      <c r="A169" s="26"/>
    </row>
    <row r="170" spans="1:1" x14ac:dyDescent="0.2">
      <c r="A170" s="26"/>
    </row>
    <row r="171" spans="1:1" x14ac:dyDescent="0.2">
      <c r="A171" s="26"/>
    </row>
    <row r="172" spans="1:1" x14ac:dyDescent="0.2">
      <c r="A172" s="26"/>
    </row>
    <row r="173" spans="1:1" x14ac:dyDescent="0.2">
      <c r="A173" s="26"/>
    </row>
    <row r="174" spans="1:1" x14ac:dyDescent="0.2">
      <c r="A174" s="26"/>
    </row>
    <row r="175" spans="1:1" x14ac:dyDescent="0.2">
      <c r="A175" s="26"/>
    </row>
    <row r="176" spans="1:1" x14ac:dyDescent="0.2">
      <c r="A176" s="26"/>
    </row>
    <row r="177" spans="1:1" x14ac:dyDescent="0.2">
      <c r="A177" s="26"/>
    </row>
    <row r="178" spans="1:1" x14ac:dyDescent="0.2">
      <c r="A178" s="26"/>
    </row>
    <row r="179" spans="1:1" x14ac:dyDescent="0.2">
      <c r="A179" s="26"/>
    </row>
    <row r="180" spans="1:1" x14ac:dyDescent="0.2">
      <c r="A180" s="26"/>
    </row>
    <row r="181" spans="1:1" x14ac:dyDescent="0.2">
      <c r="A181" s="26"/>
    </row>
    <row r="182" spans="1:1" x14ac:dyDescent="0.2">
      <c r="A182" s="26"/>
    </row>
    <row r="183" spans="1:1" x14ac:dyDescent="0.2">
      <c r="A183" s="26"/>
    </row>
    <row r="184" spans="1:1" x14ac:dyDescent="0.2">
      <c r="A184" s="26"/>
    </row>
    <row r="185" spans="1:1" x14ac:dyDescent="0.2">
      <c r="A185" s="26"/>
    </row>
    <row r="186" spans="1:1" x14ac:dyDescent="0.2">
      <c r="A186" s="26"/>
    </row>
    <row r="187" spans="1:1" x14ac:dyDescent="0.2">
      <c r="A187" s="26"/>
    </row>
    <row r="188" spans="1:1" x14ac:dyDescent="0.2">
      <c r="A188" s="26"/>
    </row>
    <row r="189" spans="1:1" x14ac:dyDescent="0.2">
      <c r="A189" s="26"/>
    </row>
    <row r="190" spans="1:1" x14ac:dyDescent="0.2">
      <c r="A190" s="26"/>
    </row>
    <row r="191" spans="1:1" x14ac:dyDescent="0.2">
      <c r="A191" s="26"/>
    </row>
    <row r="192" spans="1:1" x14ac:dyDescent="0.2">
      <c r="A192" s="26"/>
    </row>
    <row r="193" spans="1:1" x14ac:dyDescent="0.2">
      <c r="A193" s="26"/>
    </row>
    <row r="194" spans="1:1" x14ac:dyDescent="0.2">
      <c r="A194" s="26"/>
    </row>
    <row r="195" spans="1:1" x14ac:dyDescent="0.2">
      <c r="A195" s="26"/>
    </row>
    <row r="196" spans="1:1" x14ac:dyDescent="0.2">
      <c r="A196" s="26"/>
    </row>
    <row r="197" spans="1:1" x14ac:dyDescent="0.2">
      <c r="A197" s="26"/>
    </row>
    <row r="198" spans="1:1" x14ac:dyDescent="0.2">
      <c r="A198" s="26"/>
    </row>
    <row r="199" spans="1:1" x14ac:dyDescent="0.2">
      <c r="A199" s="26"/>
    </row>
    <row r="200" spans="1:1" x14ac:dyDescent="0.2">
      <c r="A200" s="26"/>
    </row>
    <row r="201" spans="1:1" x14ac:dyDescent="0.2">
      <c r="A201" s="26"/>
    </row>
    <row r="202" spans="1:1" x14ac:dyDescent="0.2">
      <c r="A202" s="26"/>
    </row>
    <row r="203" spans="1:1" x14ac:dyDescent="0.2">
      <c r="A203" s="26"/>
    </row>
    <row r="204" spans="1:1" x14ac:dyDescent="0.2">
      <c r="A204" s="26"/>
    </row>
    <row r="205" spans="1:1" x14ac:dyDescent="0.2">
      <c r="A205" s="26"/>
    </row>
    <row r="206" spans="1:1" x14ac:dyDescent="0.2">
      <c r="A206" s="26"/>
    </row>
    <row r="207" spans="1:1" x14ac:dyDescent="0.2">
      <c r="A207" s="26"/>
    </row>
    <row r="208" spans="1:1" x14ac:dyDescent="0.2">
      <c r="A208" s="26"/>
    </row>
    <row r="209" spans="1:1" x14ac:dyDescent="0.2">
      <c r="A209" s="26"/>
    </row>
    <row r="210" spans="1:1" x14ac:dyDescent="0.2">
      <c r="A210" s="26"/>
    </row>
    <row r="211" spans="1:1" x14ac:dyDescent="0.2">
      <c r="A211" s="26"/>
    </row>
    <row r="212" spans="1:1" x14ac:dyDescent="0.2">
      <c r="A212" s="26"/>
    </row>
    <row r="213" spans="1:1" x14ac:dyDescent="0.2">
      <c r="A213" s="26"/>
    </row>
    <row r="214" spans="1:1" x14ac:dyDescent="0.2">
      <c r="A214" s="26"/>
    </row>
    <row r="215" spans="1:1" x14ac:dyDescent="0.2">
      <c r="A215" s="26"/>
    </row>
    <row r="216" spans="1:1" x14ac:dyDescent="0.2">
      <c r="A216" s="26"/>
    </row>
    <row r="217" spans="1:1" x14ac:dyDescent="0.2">
      <c r="A217" s="26"/>
    </row>
    <row r="218" spans="1:1" x14ac:dyDescent="0.2">
      <c r="A218" s="26"/>
    </row>
    <row r="219" spans="1:1" x14ac:dyDescent="0.2">
      <c r="A219" s="26"/>
    </row>
    <row r="220" spans="1:1" x14ac:dyDescent="0.2">
      <c r="A220" s="26"/>
    </row>
    <row r="221" spans="1:1" x14ac:dyDescent="0.2">
      <c r="A221" s="26"/>
    </row>
    <row r="222" spans="1:1" x14ac:dyDescent="0.2">
      <c r="A222" s="26"/>
    </row>
    <row r="223" spans="1:1" x14ac:dyDescent="0.2">
      <c r="A223" s="26"/>
    </row>
    <row r="224" spans="1:1" x14ac:dyDescent="0.2">
      <c r="A224" s="26"/>
    </row>
    <row r="225" spans="1:1" x14ac:dyDescent="0.2">
      <c r="A225" s="2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E1B3F-99F8-F548-AD4D-65D8020423A1}">
  <dimension ref="A1:D58"/>
  <sheetViews>
    <sheetView tabSelected="1" zoomScale="125" zoomScaleNormal="100" workbookViewId="0">
      <selection activeCell="A17" sqref="A17"/>
    </sheetView>
  </sheetViews>
  <sheetFormatPr baseColWidth="10" defaultRowHeight="16" x14ac:dyDescent="0.2"/>
  <cols>
    <col min="1" max="1" width="10.83203125" style="9"/>
    <col min="2" max="2" width="18.6640625" style="9" customWidth="1"/>
    <col min="3" max="16384" width="10.83203125" style="9"/>
  </cols>
  <sheetData>
    <row r="1" spans="1:4" ht="31" x14ac:dyDescent="0.35">
      <c r="A1" s="34" t="s">
        <v>246</v>
      </c>
      <c r="B1" s="12"/>
      <c r="C1" s="12"/>
      <c r="D1" s="12"/>
    </row>
    <row r="2" spans="1:4" ht="21" x14ac:dyDescent="0.25">
      <c r="A2" s="35" t="s">
        <v>244</v>
      </c>
    </row>
    <row r="3" spans="1:4" ht="21" x14ac:dyDescent="0.25">
      <c r="A3" s="36" t="s">
        <v>245</v>
      </c>
    </row>
    <row r="4" spans="1:4" ht="21" x14ac:dyDescent="0.25">
      <c r="A4" s="35" t="s">
        <v>249</v>
      </c>
    </row>
    <row r="5" spans="1:4" ht="21" x14ac:dyDescent="0.25">
      <c r="A5" s="35" t="s">
        <v>250</v>
      </c>
    </row>
    <row r="6" spans="1:4" ht="21" x14ac:dyDescent="0.25">
      <c r="A6" s="35" t="s">
        <v>251</v>
      </c>
    </row>
    <row r="7" spans="1:4" ht="21" x14ac:dyDescent="0.25">
      <c r="A7" s="37"/>
    </row>
    <row r="8" spans="1:4" ht="21" x14ac:dyDescent="0.25">
      <c r="A8" s="38" t="s">
        <v>247</v>
      </c>
    </row>
    <row r="9" spans="1:4" ht="21" x14ac:dyDescent="0.25">
      <c r="A9" s="36" t="s">
        <v>252</v>
      </c>
    </row>
    <row r="10" spans="1:4" ht="21" x14ac:dyDescent="0.25">
      <c r="A10" s="39"/>
    </row>
    <row r="11" spans="1:4" ht="21" x14ac:dyDescent="0.25">
      <c r="A11" s="38" t="s">
        <v>248</v>
      </c>
    </row>
    <row r="12" spans="1:4" x14ac:dyDescent="0.2">
      <c r="A12" s="40"/>
      <c r="B12" s="12"/>
      <c r="C12" s="12"/>
    </row>
    <row r="13" spans="1:4" x14ac:dyDescent="0.2">
      <c r="A13" s="18" t="s">
        <v>1</v>
      </c>
      <c r="B13" s="18" t="s">
        <v>243</v>
      </c>
      <c r="C13" s="20" t="s">
        <v>253</v>
      </c>
      <c r="D13" s="11"/>
    </row>
    <row r="14" spans="1:4" x14ac:dyDescent="0.2">
      <c r="A14" s="16">
        <v>2017</v>
      </c>
      <c r="B14" s="41">
        <v>3.327388537536536E-2</v>
      </c>
      <c r="C14" s="24"/>
      <c r="D14" s="11"/>
    </row>
    <row r="15" spans="1:4" x14ac:dyDescent="0.2">
      <c r="A15" s="16">
        <v>2018</v>
      </c>
      <c r="B15" s="41">
        <v>3.9676971910429099E-2</v>
      </c>
      <c r="C15" s="24"/>
      <c r="D15" s="11"/>
    </row>
    <row r="16" spans="1:4" x14ac:dyDescent="0.2">
      <c r="A16" s="16">
        <v>2019</v>
      </c>
      <c r="B16" s="41">
        <v>3.7704798059274527E-2</v>
      </c>
      <c r="C16" s="24"/>
      <c r="D16" s="11"/>
    </row>
    <row r="17" spans="1:4" x14ac:dyDescent="0.2">
      <c r="A17" s="18">
        <v>2020</v>
      </c>
      <c r="B17" s="42">
        <v>6.2670090668773396E-2</v>
      </c>
      <c r="C17" s="18" t="s">
        <v>254</v>
      </c>
      <c r="D17" s="11"/>
    </row>
    <row r="18" spans="1:4" x14ac:dyDescent="0.2">
      <c r="A18" s="16">
        <v>2021</v>
      </c>
      <c r="B18" s="41">
        <v>5.3818467080321342E-2</v>
      </c>
      <c r="C18" s="24"/>
      <c r="D18" s="11"/>
    </row>
    <row r="19" spans="1:4" x14ac:dyDescent="0.2">
      <c r="A19" s="16">
        <v>2022</v>
      </c>
      <c r="B19" s="43">
        <v>6.6240649804989227E-2</v>
      </c>
      <c r="C19" s="18"/>
      <c r="D19" s="11"/>
    </row>
    <row r="20" spans="1:4" x14ac:dyDescent="0.2">
      <c r="A20" s="16">
        <v>2023</v>
      </c>
      <c r="B20" s="41">
        <v>5.5756721664536081E-2</v>
      </c>
      <c r="C20" s="24"/>
      <c r="D20" s="11"/>
    </row>
    <row r="21" spans="1:4" x14ac:dyDescent="0.2">
      <c r="A21" s="13"/>
      <c r="B21" s="13"/>
      <c r="C21" s="13"/>
    </row>
    <row r="24" spans="1:4" x14ac:dyDescent="0.2">
      <c r="D24" t="s">
        <v>255</v>
      </c>
    </row>
    <row r="26" spans="1:4" ht="22" x14ac:dyDescent="0.25">
      <c r="A26" s="44" t="s">
        <v>256</v>
      </c>
    </row>
    <row r="27" spans="1:4" ht="17" x14ac:dyDescent="0.2">
      <c r="A27" s="48" t="s">
        <v>257</v>
      </c>
    </row>
    <row r="28" spans="1:4" x14ac:dyDescent="0.2">
      <c r="A28" s="49" t="s">
        <v>258</v>
      </c>
    </row>
    <row r="29" spans="1:4" x14ac:dyDescent="0.2">
      <c r="A29" s="49" t="s">
        <v>259</v>
      </c>
    </row>
    <row r="31" spans="1:4" ht="17" x14ac:dyDescent="0.2">
      <c r="A31" s="50" t="s">
        <v>260</v>
      </c>
    </row>
    <row r="32" spans="1:4" x14ac:dyDescent="0.2">
      <c r="A32" s="51" t="s">
        <v>262</v>
      </c>
    </row>
    <row r="33" spans="1:2" x14ac:dyDescent="0.2">
      <c r="A33" s="51" t="s">
        <v>263</v>
      </c>
    </row>
    <row r="34" spans="1:2" x14ac:dyDescent="0.2">
      <c r="A34" s="49" t="s">
        <v>261</v>
      </c>
    </row>
    <row r="35" spans="1:2" x14ac:dyDescent="0.2">
      <c r="A35" s="52" t="s">
        <v>264</v>
      </c>
      <c r="B35" s="47"/>
    </row>
    <row r="36" spans="1:2" x14ac:dyDescent="0.2">
      <c r="A36" s="52" t="s">
        <v>265</v>
      </c>
      <c r="B36" s="47"/>
    </row>
    <row r="37" spans="1:2" x14ac:dyDescent="0.2">
      <c r="A37" s="52" t="s">
        <v>266</v>
      </c>
      <c r="B37" s="47"/>
    </row>
    <row r="38" spans="1:2" x14ac:dyDescent="0.2">
      <c r="A38" s="52" t="s">
        <v>267</v>
      </c>
      <c r="B38" s="47"/>
    </row>
    <row r="39" spans="1:2" x14ac:dyDescent="0.2">
      <c r="A39" s="52" t="s">
        <v>268</v>
      </c>
      <c r="B39" s="47"/>
    </row>
    <row r="41" spans="1:2" ht="17" x14ac:dyDescent="0.2">
      <c r="A41" s="48" t="s">
        <v>269</v>
      </c>
    </row>
    <row r="42" spans="1:2" x14ac:dyDescent="0.2">
      <c r="A42" s="51" t="s">
        <v>271</v>
      </c>
    </row>
    <row r="43" spans="1:2" x14ac:dyDescent="0.2">
      <c r="A43" s="53" t="s">
        <v>270</v>
      </c>
    </row>
    <row r="44" spans="1:2" x14ac:dyDescent="0.2">
      <c r="A44" s="51" t="s">
        <v>272</v>
      </c>
    </row>
    <row r="45" spans="1:2" x14ac:dyDescent="0.2">
      <c r="A45" s="51" t="s">
        <v>273</v>
      </c>
    </row>
    <row r="46" spans="1:2" x14ac:dyDescent="0.2">
      <c r="A46" s="51" t="s">
        <v>274</v>
      </c>
    </row>
    <row r="48" spans="1:2" ht="17" x14ac:dyDescent="0.2">
      <c r="A48" s="48" t="s">
        <v>275</v>
      </c>
    </row>
    <row r="49" spans="1:1" x14ac:dyDescent="0.2">
      <c r="A49" s="51" t="s">
        <v>276</v>
      </c>
    </row>
    <row r="50" spans="1:1" x14ac:dyDescent="0.2">
      <c r="A50" s="51" t="s">
        <v>277</v>
      </c>
    </row>
    <row r="52" spans="1:1" ht="22" x14ac:dyDescent="0.25">
      <c r="A52" s="54" t="s">
        <v>278</v>
      </c>
    </row>
    <row r="53" spans="1:1" ht="17" x14ac:dyDescent="0.2">
      <c r="A53" s="48" t="s">
        <v>281</v>
      </c>
    </row>
    <row r="54" spans="1:1" x14ac:dyDescent="0.2">
      <c r="A54" s="53" t="s">
        <v>279</v>
      </c>
    </row>
    <row r="55" spans="1:1" x14ac:dyDescent="0.2">
      <c r="A55" s="51" t="s">
        <v>280</v>
      </c>
    </row>
    <row r="57" spans="1:1" ht="22" x14ac:dyDescent="0.25">
      <c r="A57" s="44" t="s">
        <v>282</v>
      </c>
    </row>
    <row r="58" spans="1:1" x14ac:dyDescent="0.2">
      <c r="A58" s="55" t="s">
        <v>283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7C2D0-F97B-4C4B-80DF-0984AD553AD3}">
  <dimension ref="A1:G54"/>
  <sheetViews>
    <sheetView zoomScale="85" zoomScaleNormal="100" workbookViewId="0">
      <selection activeCell="C29" sqref="C29"/>
    </sheetView>
  </sheetViews>
  <sheetFormatPr baseColWidth="10" defaultRowHeight="16" x14ac:dyDescent="0.2"/>
  <cols>
    <col min="1" max="1" width="35.6640625" customWidth="1"/>
    <col min="2" max="3" width="23.5" bestFit="1" customWidth="1"/>
    <col min="4" max="4" width="19.5" bestFit="1" customWidth="1"/>
    <col min="5" max="5" width="17.1640625" customWidth="1"/>
    <col min="6" max="6" width="12.1640625" bestFit="1" customWidth="1"/>
  </cols>
  <sheetData>
    <row r="1" spans="1:5" x14ac:dyDescent="0.2">
      <c r="A1" s="4" t="s">
        <v>161</v>
      </c>
      <c r="B1" s="4" t="s">
        <v>284</v>
      </c>
      <c r="C1" s="4" t="s">
        <v>285</v>
      </c>
      <c r="D1" s="4" t="s">
        <v>286</v>
      </c>
      <c r="E1" s="4" t="s">
        <v>287</v>
      </c>
    </row>
    <row r="2" spans="1:5" x14ac:dyDescent="0.2">
      <c r="A2" s="73">
        <v>44713</v>
      </c>
      <c r="B2" cm="1">
        <f t="array" ref="B2">IFERROR(
 INDEX(All_India_Index_Upto_April23__1___1[Food and beverages],
  MATCH(1,
   (All_India_Index_Upto_April23__1___1[Sector]="Rural+Urban")*
   (All_India_Index_Upto_April23__1___1[Date]=A2),
  0)
 ),
"")</f>
        <v>174.9</v>
      </c>
    </row>
    <row r="3" spans="1:5" x14ac:dyDescent="0.2">
      <c r="A3" s="73">
        <v>44743</v>
      </c>
      <c r="B3" cm="1">
        <f t="array" ref="B3">IFERROR(
 INDEX(All_India_Index_Upto_April23__1___1[Food and beverages],
  MATCH(1,
   (All_India_Index_Upto_April23__1___1[Sector]="Rural+Urban")*
   (All_India_Index_Upto_April23__1___1[Date]=A3),
  0)
 ),
"")</f>
        <v>175</v>
      </c>
      <c r="C3">
        <f>IFERROR(B2,"")</f>
        <v>174.9</v>
      </c>
      <c r="D3" s="8">
        <f>IFERROR((B3/C3)-1,"")</f>
        <v>5.7175528873631976E-4</v>
      </c>
      <c r="E3" s="4" t="str">
        <f>IF(D3=$A$16,"Highest Inflation",
 IF(D3=$A$17,"Lowest Inflation",""))</f>
        <v/>
      </c>
    </row>
    <row r="4" spans="1:5" x14ac:dyDescent="0.2">
      <c r="A4" s="73">
        <v>44774</v>
      </c>
      <c r="B4" cm="1">
        <f t="array" ref="B4">IFERROR(
 INDEX(All_India_Index_Upto_April23__1___1[Food and beverages],
  MATCH(1,
   (All_India_Index_Upto_April23__1___1[Sector]="Rural+Urban")*
   (All_India_Index_Upto_April23__1___1[Date]=A4),
  0)
 ),
"")</f>
        <v>176.3</v>
      </c>
      <c r="C4">
        <f t="shared" ref="C4:C13" si="0">IFERROR(B3,"")</f>
        <v>175</v>
      </c>
      <c r="D4" s="8">
        <f t="shared" ref="D4:D13" si="1">IFERROR((B4/C4)-1,"")</f>
        <v>7.4285714285715621E-3</v>
      </c>
      <c r="E4" s="4" t="str">
        <f t="shared" ref="E4:E13" si="2">IF(D4=$A$16,"Highest Inflation",
 IF(D4=$A$17,"Lowest Inflation",""))</f>
        <v/>
      </c>
    </row>
    <row r="5" spans="1:5" x14ac:dyDescent="0.2">
      <c r="A5" s="73">
        <v>44805</v>
      </c>
      <c r="B5" cm="1">
        <f t="array" ref="B5">IFERROR(
 INDEX(All_India_Index_Upto_April23__1___1[Food and beverages],
  MATCH(1,
   (All_India_Index_Upto_April23__1___1[Sector]="Rural+Urban")*
   (All_India_Index_Upto_April23__1___1[Date]=A5),
  0)
 ),
"")</f>
        <v>177.8</v>
      </c>
      <c r="C5">
        <f t="shared" si="0"/>
        <v>176.3</v>
      </c>
      <c r="D5" s="8">
        <f t="shared" si="1"/>
        <v>8.5082246171299669E-3</v>
      </c>
      <c r="E5" s="4" t="str">
        <f t="shared" si="2"/>
        <v/>
      </c>
    </row>
    <row r="6" spans="1:5" x14ac:dyDescent="0.2">
      <c r="A6" s="73">
        <v>44835</v>
      </c>
      <c r="B6" cm="1">
        <f t="array" ref="B6">IFERROR(
 INDEX(All_India_Index_Upto_April23__1___1[Food and beverages],
  MATCH(1,
   (All_India_Index_Upto_April23__1___1[Sector]="Rural+Urban")*
   (All_India_Index_Upto_April23__1___1[Date]=A6),
  0)
 ),
"")</f>
        <v>179.6</v>
      </c>
      <c r="C6">
        <f t="shared" si="0"/>
        <v>177.8</v>
      </c>
      <c r="D6" s="8">
        <f t="shared" si="1"/>
        <v>1.0123734533183271E-2</v>
      </c>
      <c r="E6" s="4" t="str">
        <f t="shared" si="2"/>
        <v>Highest Inflation</v>
      </c>
    </row>
    <row r="7" spans="1:5" x14ac:dyDescent="0.2">
      <c r="A7" s="73">
        <v>44866</v>
      </c>
      <c r="B7" cm="1">
        <f t="array" ref="B7">IFERROR(
 INDEX(All_India_Index_Upto_April23__1___1[Food and beverages],
  MATCH(1,
   (All_India_Index_Upto_April23__1___1[Sector]="Rural+Urban")*
   (All_India_Index_Upto_April23__1___1[Date]=A7),
  0)
 ),
"")</f>
        <v>178.3</v>
      </c>
      <c r="C7">
        <f t="shared" si="0"/>
        <v>179.6</v>
      </c>
      <c r="D7" s="8">
        <f t="shared" si="1"/>
        <v>-7.2383073496657957E-3</v>
      </c>
      <c r="E7" s="4" t="str">
        <f t="shared" si="2"/>
        <v/>
      </c>
    </row>
    <row r="8" spans="1:5" x14ac:dyDescent="0.2">
      <c r="A8" s="73">
        <v>44896</v>
      </c>
      <c r="B8" cm="1">
        <f t="array" ref="B8">IFERROR(
 INDEX(All_India_Index_Upto_April23__1___1[Food and beverages],
  MATCH(1,
   (All_India_Index_Upto_April23__1___1[Sector]="Rural+Urban")*
   (All_India_Index_Upto_April23__1___1[Date]=A8),
  0)
 ),
"")</f>
        <v>175.9</v>
      </c>
      <c r="C8">
        <f t="shared" si="0"/>
        <v>178.3</v>
      </c>
      <c r="D8" s="8">
        <f t="shared" si="1"/>
        <v>-1.346045989904654E-2</v>
      </c>
      <c r="E8" s="4" t="str">
        <f t="shared" si="2"/>
        <v>Lowest Inflation</v>
      </c>
    </row>
    <row r="9" spans="1:5" x14ac:dyDescent="0.2">
      <c r="A9" s="73">
        <v>44927</v>
      </c>
      <c r="B9" cm="1">
        <f t="array" ref="B9">IFERROR(
 INDEX(All_India_Index_Upto_April23__1___1[Food and beverages],
  MATCH(1,
   (All_India_Index_Upto_April23__1___1[Sector]="Rural+Urban")*
   (All_India_Index_Upto_April23__1___1[Date]=A9),
  0)
 ),
"")</f>
        <v>176.7</v>
      </c>
      <c r="C9">
        <f t="shared" si="0"/>
        <v>175.9</v>
      </c>
      <c r="D9" s="8">
        <f t="shared" si="1"/>
        <v>4.5480386583285348E-3</v>
      </c>
      <c r="E9" s="4" t="str">
        <f t="shared" si="2"/>
        <v/>
      </c>
    </row>
    <row r="10" spans="1:5" x14ac:dyDescent="0.2">
      <c r="A10" s="73">
        <v>44958</v>
      </c>
      <c r="B10" cm="1">
        <f t="array" ref="B10">IFERROR(
 INDEX(All_India_Index_Upto_April23__1___1[Food and beverages],
  MATCH(1,
   (All_India_Index_Upto_April23__1___1[Sector]="Rural+Urban")*
   (All_India_Index_Upto_April23__1___1[Date]=A10),
  0)
 ),
"")</f>
        <v>177</v>
      </c>
      <c r="C10">
        <f t="shared" si="0"/>
        <v>176.7</v>
      </c>
      <c r="D10" s="8">
        <f t="shared" si="1"/>
        <v>1.6977928692700761E-3</v>
      </c>
      <c r="E10" s="4" t="str">
        <f t="shared" si="2"/>
        <v/>
      </c>
    </row>
    <row r="11" spans="1:5" x14ac:dyDescent="0.2">
      <c r="A11" s="73">
        <v>44986</v>
      </c>
      <c r="B11" cm="1">
        <f t="array" ref="B11">IFERROR(
 INDEX(All_India_Index_Upto_April23__1___1[Food and beverages],
  MATCH(1,
   (All_India_Index_Upto_April23__1___1[Sector]="Rural+Urban")*
   (All_India_Index_Upto_April23__1___1[Date]=A11),
  0)
 ),
"")</f>
        <v>177</v>
      </c>
      <c r="C11">
        <f t="shared" si="0"/>
        <v>177</v>
      </c>
      <c r="D11" s="8">
        <f t="shared" si="1"/>
        <v>0</v>
      </c>
      <c r="E11" s="4" t="str">
        <f t="shared" si="2"/>
        <v/>
      </c>
    </row>
    <row r="12" spans="1:5" x14ac:dyDescent="0.2">
      <c r="A12" s="73">
        <v>45017</v>
      </c>
      <c r="B12" cm="1">
        <f t="array" ref="B12">IFERROR(
 INDEX(All_India_Index_Upto_April23__1___1[Food and beverages],
  MATCH(1,
   (All_India_Index_Upto_April23__1___1[Sector]="Rural+Urban")*
   (All_India_Index_Upto_April23__1___1[Date]=A12),
  0)
 ),
"")</f>
        <v>177.9</v>
      </c>
      <c r="C12">
        <f t="shared" si="0"/>
        <v>177</v>
      </c>
      <c r="D12" s="8">
        <f t="shared" si="1"/>
        <v>5.0847457627118953E-3</v>
      </c>
      <c r="E12" s="4" t="str">
        <f t="shared" si="2"/>
        <v/>
      </c>
    </row>
    <row r="13" spans="1:5" x14ac:dyDescent="0.2">
      <c r="A13" s="73">
        <v>45047</v>
      </c>
      <c r="B13" cm="1">
        <f t="array" ref="B13">IFERROR(
 INDEX(All_India_Index_Upto_April23__1___1[Food and beverages],
  MATCH(1,
   (All_India_Index_Upto_April23__1___1[Sector]="Rural+Urban")*
   (All_India_Index_Upto_April23__1___1[Date]=A13),
  0)
 ),
"")</f>
        <v>179.1</v>
      </c>
      <c r="C13">
        <f t="shared" si="0"/>
        <v>177.9</v>
      </c>
      <c r="D13" s="8">
        <f t="shared" si="1"/>
        <v>6.7453625632376557E-3</v>
      </c>
      <c r="E13" s="4" t="str">
        <f t="shared" si="2"/>
        <v/>
      </c>
    </row>
    <row r="15" spans="1:5" x14ac:dyDescent="0.2">
      <c r="A15" s="4" t="s">
        <v>288</v>
      </c>
    </row>
    <row r="16" spans="1:5" x14ac:dyDescent="0.2">
      <c r="A16" s="15">
        <f>MAX(D3:D13)</f>
        <v>1.0123734533183271E-2</v>
      </c>
    </row>
    <row r="17" spans="1:7" x14ac:dyDescent="0.2">
      <c r="A17" s="15">
        <f>MIN(D3:D13)</f>
        <v>-1.346045989904654E-2</v>
      </c>
    </row>
    <row r="19" spans="1:7" x14ac:dyDescent="0.2">
      <c r="A19" s="74" t="s">
        <v>289</v>
      </c>
      <c r="B19" s="74" t="s">
        <v>290</v>
      </c>
      <c r="C19" s="74" t="s">
        <v>291</v>
      </c>
      <c r="D19" s="74" t="s">
        <v>292</v>
      </c>
      <c r="E19" s="4" t="s">
        <v>294</v>
      </c>
      <c r="F19" s="75"/>
      <c r="G19" s="76"/>
    </row>
    <row r="20" spans="1:7" x14ac:dyDescent="0.2">
      <c r="A20" s="74" t="s">
        <v>12</v>
      </c>
      <c r="B20" s="76" cm="1">
        <f t="array" ref="B20">IFERROR(
  INDEX(All_India_Index_Upto_April23__1___1[#All],
    MATCH(1,
      (All_India_Index_Upto_April23__1___1[Date]=DATE(2022,6,1))*
      (All_India_Index_Upto_April23__1___1[Sector]="Rural+Urban"),
    0),
    MATCH(A20, All_India_Index_Upto_April23__1___1[#Headers],0)
  ),
"")</f>
        <v>184.9</v>
      </c>
      <c r="C20" s="76" cm="1">
        <f t="array" ref="C20">IFERROR(
  INDEX(All_India_Index_Upto_April23__1___1[#All],
    MATCH(1,
      (All_India_Index_Upto_April23__1___1[Date]=DATE(2023,5,1))*
      (All_India_Index_Upto_April23__1___1[Sector]="Rural+Urban"),
    0),
    MATCH(A20, All_India_Index_Upto_April23__1___1[#Headers],0)
  ),
"")</f>
        <v>212.9</v>
      </c>
      <c r="D20" s="76">
        <f t="shared" ref="D20:D32" si="3">C20 - B20</f>
        <v>28</v>
      </c>
      <c r="E20" s="4" t="s">
        <v>300</v>
      </c>
      <c r="F20" s="76"/>
      <c r="G20" s="76"/>
    </row>
    <row r="21" spans="1:7" x14ac:dyDescent="0.2">
      <c r="A21" s="74" t="s">
        <v>3</v>
      </c>
      <c r="B21" s="76" cm="1">
        <f t="array" ref="B21">IFERROR(
  INDEX(All_India_Index_Upto_April23__1___1[#All],
    MATCH(1,
      (All_India_Index_Upto_April23__1___1[Date]=DATE(2022,6,1))*
      (All_India_Index_Upto_April23__1___1[Sector]="Rural+Urban"),
    0),
    MATCH(A21, All_India_Index_Upto_April23__1___1[#Headers],0)
  ),
"")</f>
        <v>154.1</v>
      </c>
      <c r="C21" s="76" cm="1">
        <f t="array" ref="C21">IFERROR(
  INDEX(All_India_Index_Upto_April23__1___1[#All],
    MATCH(1,
      (All_India_Index_Upto_April23__1___1[Date]=DATE(2023,5,1))*
      (All_India_Index_Upto_April23__1___1[Sector]="Rural+Urban"),
    0),
    MATCH(A21, All_India_Index_Upto_April23__1___1[#Headers],0)
  ),
"")</f>
        <v>173.8</v>
      </c>
      <c r="D21" s="76">
        <f t="shared" si="3"/>
        <v>19.700000000000017</v>
      </c>
      <c r="E21" t="s">
        <v>295</v>
      </c>
      <c r="F21" s="76"/>
      <c r="G21" s="76"/>
    </row>
    <row r="22" spans="1:7" x14ac:dyDescent="0.2">
      <c r="A22" s="74" t="s">
        <v>6</v>
      </c>
      <c r="B22" s="76" cm="1">
        <f t="array" ref="B22">IFERROR(
  INDEX(All_India_Index_Upto_April23__1___1[#All],
    MATCH(1,
      (All_India_Index_Upto_April23__1___1[Date]=DATE(2022,6,1))*
      (All_India_Index_Upto_April23__1___1[Sector]="Rural+Urban"),
    0),
    MATCH(A22, All_India_Index_Upto_April23__1___1[#Headers],0)
  ),
"")</f>
        <v>164.9</v>
      </c>
      <c r="C22" s="76" cm="1">
        <f t="array" ref="C22">IFERROR(
  INDEX(All_India_Index_Upto_April23__1___1[#All],
    MATCH(1,
      (All_India_Index_Upto_April23__1___1[Date]=DATE(2023,5,1))*
      (All_India_Index_Upto_April23__1___1[Sector]="Rural+Urban"),
    0),
    MATCH(A22, All_India_Index_Upto_April23__1___1[#Headers],0)
  ),
"")</f>
        <v>178.4</v>
      </c>
      <c r="D22" s="76">
        <f t="shared" si="3"/>
        <v>13.5</v>
      </c>
      <c r="F22" s="76"/>
      <c r="G22" s="76"/>
    </row>
    <row r="23" spans="1:7" x14ac:dyDescent="0.2">
      <c r="A23" s="74" t="s">
        <v>14</v>
      </c>
      <c r="B23" s="76" cm="1">
        <f t="array" ref="B23">IFERROR(
  INDEX(All_India_Index_Upto_April23__1___1[#All],
    MATCH(1,
      (All_India_Index_Upto_April23__1___1[Date]=DATE(2022,6,1))*
      (All_India_Index_Upto_April23__1___1[Sector]="Rural+Urban"),
    0),
    MATCH(A23, All_India_Index_Upto_April23__1___1[#Headers],0)
  ),
"")</f>
        <v>182.5</v>
      </c>
      <c r="C23" s="76" cm="1">
        <f t="array" ref="C23">IFERROR(
  INDEX(All_India_Index_Upto_April23__1___1[#All],
    MATCH(1,
      (All_India_Index_Upto_April23__1___1[Date]=DATE(2023,5,1))*
      (All_India_Index_Upto_April23__1___1[Sector]="Rural+Urban"),
    0),
    MATCH(A23, All_India_Index_Upto_April23__1___1[#Headers],0)
  ),
"")</f>
        <v>193.5</v>
      </c>
      <c r="D23" s="76">
        <f t="shared" si="3"/>
        <v>11</v>
      </c>
      <c r="F23" s="76"/>
      <c r="G23" s="76"/>
    </row>
    <row r="24" spans="1:7" x14ac:dyDescent="0.2">
      <c r="A24" s="74" t="s">
        <v>10</v>
      </c>
      <c r="B24" s="76" cm="1">
        <f t="array" ref="B24">IFERROR(
  INDEX(All_India_Index_Upto_April23__1___1[#All],
    MATCH(1,
      (All_India_Index_Upto_April23__1___1[Date]=DATE(2022,6,1))*
      (All_India_Index_Upto_April23__1___1[Sector]="Rural+Urban"),
    0),
    MATCH(A24, All_India_Index_Upto_April23__1___1[#Headers],0)
  ),
"")</f>
        <v>164.7</v>
      </c>
      <c r="C24" s="76" cm="1">
        <f t="array" ref="C24">IFERROR(
  INDEX(All_India_Index_Upto_April23__1___1[#All],
    MATCH(1,
      (All_India_Index_Upto_April23__1___1[Date]=DATE(2023,5,1))*
      (All_India_Index_Upto_April23__1___1[Sector]="Rural+Urban"),
    0),
    MATCH(A24, All_India_Index_Upto_April23__1___1[#Headers],0)
  ),
"")</f>
        <v>173.4</v>
      </c>
      <c r="D24" s="76">
        <f t="shared" si="3"/>
        <v>8.7000000000000171</v>
      </c>
      <c r="F24" s="76"/>
      <c r="G24" s="76"/>
    </row>
    <row r="25" spans="1:7" x14ac:dyDescent="0.2">
      <c r="A25" s="74" t="s">
        <v>5</v>
      </c>
      <c r="B25" s="76" cm="1">
        <f t="array" ref="B25">IFERROR(
  INDEX(All_India_Index_Upto_April23__1___1[#All],
    MATCH(1,
      (All_India_Index_Upto_April23__1___1[Date]=DATE(2022,6,1))*
      (All_India_Index_Upto_April23__1___1[Sector]="Rural+Urban"),
    0),
    MATCH(A25, All_India_Index_Upto_April23__1___1[#Headers],0)
  ),
"")</f>
        <v>162.4</v>
      </c>
      <c r="C25" s="76" cm="1">
        <f t="array" ref="C25">IFERROR(
  INDEX(All_India_Index_Upto_April23__1___1[#All],
    MATCH(1,
      (All_India_Index_Upto_April23__1___1[Date]=DATE(2023,5,1))*
      (All_India_Index_Upto_April23__1___1[Sector]="Rural+Urban"),
    0),
    MATCH(A25, All_India_Index_Upto_April23__1___1[#Headers],0)
  ),
"")</f>
        <v>169.6</v>
      </c>
      <c r="D25" s="76">
        <f t="shared" si="3"/>
        <v>7.1999999999999886</v>
      </c>
      <c r="F25" s="76"/>
      <c r="G25" s="76"/>
    </row>
    <row r="26" spans="1:7" x14ac:dyDescent="0.2">
      <c r="A26" s="74" t="s">
        <v>13</v>
      </c>
      <c r="B26" s="76" cm="1">
        <f t="array" ref="B26">IFERROR(
  INDEX(All_India_Index_Upto_April23__1___1[#All],
    MATCH(1,
      (All_India_Index_Upto_April23__1___1[Date]=DATE(2022,6,1))*
      (All_India_Index_Upto_April23__1___1[Sector]="Rural+Urban"),
    0),
    MATCH(A26, All_India_Index_Upto_April23__1___1[#Headers],0)
  ),
"")</f>
        <v>167.1</v>
      </c>
      <c r="C26" s="76" cm="1">
        <f t="array" ref="C26">IFERROR(
  INDEX(All_India_Index_Upto_April23__1___1[#All],
    MATCH(1,
      (All_India_Index_Upto_April23__1___1[Date]=DATE(2023,5,1))*
      (All_India_Index_Upto_April23__1___1[Sector]="Rural+Urban"),
    0),
    MATCH(A26, All_India_Index_Upto_April23__1___1[#Headers],0)
  ),
"")</f>
        <v>172.9</v>
      </c>
      <c r="D26" s="76">
        <f t="shared" si="3"/>
        <v>5.8000000000000114</v>
      </c>
      <c r="F26" s="76"/>
      <c r="G26" s="76"/>
    </row>
    <row r="27" spans="1:7" x14ac:dyDescent="0.2">
      <c r="A27" s="74" t="s">
        <v>8</v>
      </c>
      <c r="B27" s="76" cm="1">
        <f t="array" ref="B27">IFERROR(
  INDEX(All_India_Index_Upto_April23__1___1[#All],
    MATCH(1,
      (All_India_Index_Upto_April23__1___1[Date]=DATE(2022,6,1))*
      (All_India_Index_Upto_April23__1___1[Sector]="Rural+Urban"),
    0),
    MATCH(A27, All_India_Index_Upto_April23__1___1[#Headers],0)
  ),
"")</f>
        <v>171</v>
      </c>
      <c r="C27" s="76" cm="1">
        <f t="array" ref="C27">IFERROR(
  INDEX(All_India_Index_Upto_April23__1___1[#All],
    MATCH(1,
      (All_India_Index_Upto_April23__1___1[Date]=DATE(2023,5,1))*
      (All_India_Index_Upto_April23__1___1[Sector]="Rural+Urban"),
    0),
    MATCH(A27, All_India_Index_Upto_April23__1___1[#Headers],0)
  ),
"")</f>
        <v>176.3</v>
      </c>
      <c r="D27" s="76">
        <f t="shared" si="3"/>
        <v>5.3000000000000114</v>
      </c>
      <c r="F27" s="76"/>
      <c r="G27" s="76"/>
    </row>
    <row r="28" spans="1:7" x14ac:dyDescent="0.2">
      <c r="A28" s="74" t="s">
        <v>15</v>
      </c>
      <c r="B28" s="76" cm="1">
        <f t="array" ref="B28">IFERROR(
  INDEX(All_India_Index_Upto_April23__1___1[#All],
    MATCH(1,
      (All_India_Index_Upto_April23__1___1[Date]=DATE(2022,6,1))*
      (All_India_Index_Upto_April23__1___1[Sector]="Rural+Urban"),
    0),
    MATCH(A28, All_India_Index_Upto_April23__1___1[#Headers],0)
  ),
"")</f>
        <v>173.3</v>
      </c>
      <c r="C28" s="76" cm="1">
        <f t="array" ref="C28">IFERROR(
  INDEX(All_India_Index_Upto_April23__1___1[#All],
    MATCH(1,
      (All_India_Index_Upto_April23__1___1[Date]=DATE(2023,5,1))*
      (All_India_Index_Upto_April23__1___1[Sector]="Rural+Urban"),
    0),
    MATCH(A28, All_India_Index_Upto_April23__1___1[#Headers],0)
  ),
"")</f>
        <v>177.9</v>
      </c>
      <c r="D28" s="76">
        <f t="shared" si="3"/>
        <v>4.5999999999999943</v>
      </c>
      <c r="E28" t="s">
        <v>301</v>
      </c>
      <c r="F28" s="76"/>
      <c r="G28" s="76"/>
    </row>
    <row r="29" spans="1:7" x14ac:dyDescent="0.2">
      <c r="A29" s="74" t="s">
        <v>11</v>
      </c>
      <c r="B29" s="76" cm="1">
        <f t="array" ref="B29">IFERROR(
  INDEX(All_India_Index_Upto_April23__1___1[#All],
    MATCH(1,
      (All_India_Index_Upto_April23__1___1[Date]=DATE(2022,6,1))*
      (All_India_Index_Upto_April23__1___1[Sector]="Rural+Urban"),
    0),
    MATCH(A29, All_India_Index_Upto_April23__1___1[#Headers],0)
  ),
"")</f>
        <v>119.7</v>
      </c>
      <c r="C29" s="76" cm="1">
        <f t="array" ref="C29">IFERROR(
  INDEX(All_India_Index_Upto_April23__1___1[#All],
    MATCH(1,
      (All_India_Index_Upto_April23__1___1[Date]=DATE(2023,5,1))*
      (All_India_Index_Upto_April23__1___1[Sector]="Rural+Urban"),
    0),
    MATCH(A29, All_India_Index_Upto_April23__1___1[#Headers],0)
  ),
"")</f>
        <v>121.3</v>
      </c>
      <c r="D29" s="76">
        <f t="shared" si="3"/>
        <v>1.5999999999999943</v>
      </c>
      <c r="E29" t="s">
        <v>299</v>
      </c>
      <c r="F29" s="76"/>
      <c r="G29" s="76"/>
    </row>
    <row r="30" spans="1:7" x14ac:dyDescent="0.2">
      <c r="A30" s="74" t="s">
        <v>4</v>
      </c>
      <c r="B30" s="76" cm="1">
        <f t="array" ref="B30">IFERROR(
  INDEX(All_India_Index_Upto_April23__1___1[#All],
    MATCH(1,
      (All_India_Index_Upto_April23__1___1[Date]=DATE(2022,6,1))*
      (All_India_Index_Upto_April23__1___1[Sector]="Rural+Urban"),
    0),
    MATCH(A30, All_India_Index_Upto_April23__1___1[#Headers],0)
  ),
"")</f>
        <v>217</v>
      </c>
      <c r="C30" s="76" cm="1">
        <f t="array" ref="C30">IFERROR(
  INDEX(All_India_Index_Upto_April23__1___1[#All],
    MATCH(1,
      (All_India_Index_Upto_April23__1___1[Date]=DATE(2023,5,1))*
      (All_India_Index_Upto_April23__1___1[Sector]="Rural+Urban"),
    0),
    MATCH(A30, All_India_Index_Upto_April23__1___1[#Headers],0)
  ),
"")</f>
        <v>209.3</v>
      </c>
      <c r="D30" s="76">
        <f t="shared" si="3"/>
        <v>-7.6999999999999886</v>
      </c>
      <c r="E30" t="s">
        <v>296</v>
      </c>
      <c r="F30" s="76"/>
      <c r="G30" s="76"/>
    </row>
    <row r="31" spans="1:7" x14ac:dyDescent="0.2">
      <c r="A31" s="74" t="s">
        <v>9</v>
      </c>
      <c r="B31" s="76" cm="1">
        <f t="array" ref="B31">IFERROR(
  INDEX(All_India_Index_Upto_April23__1___1[#All],
    MATCH(1,
      (All_India_Index_Upto_April23__1___1[Date]=DATE(2022,6,1))*
      (All_India_Index_Upto_April23__1___1[Sector]="Rural+Urban"),
    0),
    MATCH(A31, All_India_Index_Upto_April23__1___1[#Headers],0)
  ),
"")</f>
        <v>174.9</v>
      </c>
      <c r="C31" s="76" cm="1">
        <f t="array" ref="C31">IFERROR(
  INDEX(All_India_Index_Upto_April23__1___1[#All],
    MATCH(1,
      (All_India_Index_Upto_April23__1___1[Date]=DATE(2023,5,1))*
      (All_India_Index_Upto_April23__1___1[Sector]="Rural+Urban"),
    0),
    MATCH(A31, All_India_Index_Upto_April23__1___1[#Headers],0)
  ),
"")</f>
        <v>155.4</v>
      </c>
      <c r="D31" s="76">
        <f t="shared" si="3"/>
        <v>-19.5</v>
      </c>
      <c r="E31" t="s">
        <v>298</v>
      </c>
      <c r="F31" s="76"/>
      <c r="G31" s="76"/>
    </row>
    <row r="32" spans="1:7" x14ac:dyDescent="0.2">
      <c r="A32" s="74" t="s">
        <v>7</v>
      </c>
      <c r="B32" s="76" cm="1">
        <f t="array" ref="B32">IFERROR(
  INDEX(All_India_Index_Upto_April23__1___1[#All],
    MATCH(1,
      (All_India_Index_Upto_April23__1___1[Date]=DATE(2022,6,1))*
      (All_India_Index_Upto_April23__1___1[Sector]="Rural+Urban"),
    0),
    MATCH(A32, All_India_Index_Upto_April23__1___1[#Headers],0)
  ),
"")</f>
        <v>202.4</v>
      </c>
      <c r="C32" s="76" cm="1">
        <f t="array" ref="C32">IFERROR(
  INDEX(All_India_Index_Upto_April23__1___1[#All],
    MATCH(1,
      (All_India_Index_Upto_April23__1___1[Date]=DATE(2023,5,1))*
      (All_India_Index_Upto_April23__1___1[Sector]="Rural+Urban"),
    0),
    MATCH(A32, All_India_Index_Upto_April23__1___1[#Headers],0)
  ),
"")</f>
        <v>174.9</v>
      </c>
      <c r="D32" s="76">
        <f t="shared" si="3"/>
        <v>-27.5</v>
      </c>
      <c r="E32" t="s">
        <v>297</v>
      </c>
      <c r="F32" s="76"/>
      <c r="G32" s="76"/>
    </row>
    <row r="33" spans="1:7" x14ac:dyDescent="0.2">
      <c r="A33" s="76"/>
      <c r="B33" s="76"/>
      <c r="C33" s="76"/>
      <c r="D33" s="76"/>
      <c r="E33" s="76"/>
      <c r="F33" s="76"/>
      <c r="G33" s="76"/>
    </row>
    <row r="34" spans="1:7" x14ac:dyDescent="0.2">
      <c r="A34" s="4" t="s">
        <v>293</v>
      </c>
      <c r="B34" s="76"/>
      <c r="C34" s="76"/>
      <c r="D34" s="76"/>
      <c r="E34" s="76"/>
      <c r="F34" s="76"/>
      <c r="G34" s="76"/>
    </row>
    <row r="35" spans="1:7" x14ac:dyDescent="0.2">
      <c r="A35">
        <f>MAX(D20:D32)</f>
        <v>28</v>
      </c>
    </row>
    <row r="36" spans="1:7" x14ac:dyDescent="0.2">
      <c r="A36">
        <f>MIN(D20:D32)</f>
        <v>-27.5</v>
      </c>
    </row>
    <row r="41" spans="1:7" x14ac:dyDescent="0.2">
      <c r="A41" s="4"/>
      <c r="B41" s="77"/>
      <c r="C41" s="77"/>
      <c r="D41" s="4"/>
      <c r="E41" s="4"/>
    </row>
    <row r="42" spans="1:7" x14ac:dyDescent="0.2">
      <c r="D42" s="4"/>
    </row>
    <row r="43" spans="1:7" x14ac:dyDescent="0.2">
      <c r="D43" s="4"/>
    </row>
    <row r="44" spans="1:7" x14ac:dyDescent="0.2">
      <c r="D44" s="4"/>
    </row>
    <row r="45" spans="1:7" x14ac:dyDescent="0.2">
      <c r="D45" s="4"/>
    </row>
    <row r="46" spans="1:7" x14ac:dyDescent="0.2">
      <c r="D46" s="4"/>
    </row>
    <row r="47" spans="1:7" x14ac:dyDescent="0.2">
      <c r="D47" s="4"/>
    </row>
    <row r="48" spans="1:7" x14ac:dyDescent="0.2">
      <c r="D48" s="4"/>
    </row>
    <row r="49" spans="1:4" x14ac:dyDescent="0.2">
      <c r="D49" s="4"/>
    </row>
    <row r="50" spans="1:4" x14ac:dyDescent="0.2">
      <c r="D50" s="4"/>
    </row>
    <row r="51" spans="1:4" x14ac:dyDescent="0.2">
      <c r="A51" s="4"/>
      <c r="D51" s="4"/>
    </row>
    <row r="52" spans="1:4" x14ac:dyDescent="0.2">
      <c r="D52" s="4"/>
    </row>
    <row r="53" spans="1:4" x14ac:dyDescent="0.2">
      <c r="D53" s="4"/>
    </row>
    <row r="54" spans="1:4" x14ac:dyDescent="0.2">
      <c r="D54" s="4"/>
    </row>
  </sheetData>
  <sortState xmlns:xlrd2="http://schemas.microsoft.com/office/spreadsheetml/2017/richdata2" ref="A20:E32">
    <sortCondition descending="1" ref="D20:D32"/>
  </sortState>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2DC91-2EEC-8A4B-BA5E-F3F20D0FD102}">
  <dimension ref="A1:F145"/>
  <sheetViews>
    <sheetView topLeftCell="A85" zoomScale="105" zoomScaleNormal="100" workbookViewId="0">
      <selection activeCell="D17" sqref="D17"/>
    </sheetView>
  </sheetViews>
  <sheetFormatPr baseColWidth="10" defaultRowHeight="16" x14ac:dyDescent="0.2"/>
  <cols>
    <col min="1" max="1" width="32.33203125" style="9" customWidth="1"/>
    <col min="2" max="2" width="22.5" style="9" customWidth="1"/>
    <col min="3" max="3" width="24" style="9" customWidth="1"/>
    <col min="4" max="4" width="19.5" style="9" customWidth="1"/>
    <col min="5" max="5" width="16.83203125" style="9" customWidth="1"/>
    <col min="6" max="16384" width="10.83203125" style="9"/>
  </cols>
  <sheetData>
    <row r="1" spans="1:6" ht="29" x14ac:dyDescent="0.3">
      <c r="A1" s="82" t="s">
        <v>302</v>
      </c>
      <c r="B1" s="11"/>
    </row>
    <row r="2" spans="1:6" x14ac:dyDescent="0.2">
      <c r="A2" s="83" t="s">
        <v>306</v>
      </c>
      <c r="B2" s="11"/>
    </row>
    <row r="3" spans="1:6" x14ac:dyDescent="0.2">
      <c r="A3" s="10" t="s">
        <v>305</v>
      </c>
      <c r="B3" s="11"/>
    </row>
    <row r="4" spans="1:6" x14ac:dyDescent="0.2">
      <c r="A4" s="10"/>
      <c r="B4" s="11"/>
    </row>
    <row r="5" spans="1:6" ht="22" x14ac:dyDescent="0.25">
      <c r="A5" s="54" t="s">
        <v>303</v>
      </c>
      <c r="B5" s="11"/>
    </row>
    <row r="6" spans="1:6" ht="17" x14ac:dyDescent="0.2">
      <c r="A6" s="48" t="s">
        <v>247</v>
      </c>
      <c r="B6" s="78" t="s">
        <v>304</v>
      </c>
    </row>
    <row r="7" spans="1:6" x14ac:dyDescent="0.2">
      <c r="A7" s="53"/>
      <c r="B7" s="11"/>
    </row>
    <row r="8" spans="1:6" ht="17" x14ac:dyDescent="0.2">
      <c r="A8" s="80" t="s">
        <v>307</v>
      </c>
      <c r="B8" s="11"/>
    </row>
    <row r="9" spans="1:6" x14ac:dyDescent="0.2">
      <c r="A9" s="51" t="s">
        <v>308</v>
      </c>
      <c r="B9" s="11"/>
    </row>
    <row r="10" spans="1:6" x14ac:dyDescent="0.2">
      <c r="A10" s="51" t="s">
        <v>329</v>
      </c>
      <c r="B10" s="11"/>
    </row>
    <row r="11" spans="1:6" x14ac:dyDescent="0.2">
      <c r="A11" s="46"/>
      <c r="B11" s="12"/>
      <c r="C11" s="12"/>
      <c r="D11" s="12"/>
      <c r="E11" s="12"/>
    </row>
    <row r="12" spans="1:6" x14ac:dyDescent="0.2">
      <c r="A12" s="18" t="s">
        <v>161</v>
      </c>
      <c r="B12" s="18" t="s">
        <v>284</v>
      </c>
      <c r="C12" s="18" t="s">
        <v>285</v>
      </c>
      <c r="D12" s="18" t="s">
        <v>286</v>
      </c>
      <c r="E12" s="18" t="s">
        <v>287</v>
      </c>
      <c r="F12" s="11"/>
    </row>
    <row r="13" spans="1:6" x14ac:dyDescent="0.2">
      <c r="A13" s="79">
        <v>44713</v>
      </c>
      <c r="B13" s="24" cm="1">
        <f t="array" ref="B13">IFERROR(
 INDEX(All_India_Index_Upto_April23__1___1[Food and beverages],
  MATCH(1,
   (All_India_Index_Upto_April23__1___1[Sector]="Rural+Urban")*
   (All_India_Index_Upto_April23__1___1[Date]=A13),
  0)
 ),
"")</f>
        <v>174.9</v>
      </c>
      <c r="C13" s="24"/>
      <c r="D13" s="24"/>
      <c r="E13" s="24"/>
      <c r="F13" s="11"/>
    </row>
    <row r="14" spans="1:6" x14ac:dyDescent="0.2">
      <c r="A14" s="79">
        <v>44743</v>
      </c>
      <c r="B14" s="24" cm="1">
        <f t="array" ref="B14">IFERROR(
 INDEX(All_India_Index_Upto_April23__1___1[Food and beverages],
  MATCH(1,
   (All_India_Index_Upto_April23__1___1[Sector]="Rural+Urban")*
   (All_India_Index_Upto_April23__1___1[Date]=A14),
  0)
 ),
"")</f>
        <v>175</v>
      </c>
      <c r="C14" s="24">
        <f>IFERROR(B13,"")</f>
        <v>174.9</v>
      </c>
      <c r="D14" s="28">
        <f>IFERROR((B14/C14)-1,"")</f>
        <v>5.7175528873631976E-4</v>
      </c>
      <c r="E14" s="20" t="s">
        <v>187</v>
      </c>
      <c r="F14" s="11"/>
    </row>
    <row r="15" spans="1:6" x14ac:dyDescent="0.2">
      <c r="A15" s="79">
        <v>44774</v>
      </c>
      <c r="B15" s="24" cm="1">
        <f t="array" ref="B15">IFERROR(
 INDEX(All_India_Index_Upto_April23__1___1[Food and beverages],
  MATCH(1,
   (All_India_Index_Upto_April23__1___1[Sector]="Rural+Urban")*
   (All_India_Index_Upto_April23__1___1[Date]=A15),
  0)
 ),
"")</f>
        <v>176.3</v>
      </c>
      <c r="C15" s="24">
        <f t="shared" ref="C15:C24" si="0">IFERROR(B14,"")</f>
        <v>175</v>
      </c>
      <c r="D15" s="28">
        <f t="shared" ref="D15:D24" si="1">IFERROR((B15/C15)-1,"")</f>
        <v>7.4285714285715621E-3</v>
      </c>
      <c r="E15" s="20" t="s">
        <v>187</v>
      </c>
      <c r="F15" s="11"/>
    </row>
    <row r="16" spans="1:6" x14ac:dyDescent="0.2">
      <c r="A16" s="79">
        <v>44805</v>
      </c>
      <c r="B16" s="24" cm="1">
        <f t="array" ref="B16">IFERROR(
 INDEX(All_India_Index_Upto_April23__1___1[Food and beverages],
  MATCH(1,
   (All_India_Index_Upto_April23__1___1[Sector]="Rural+Urban")*
   (All_India_Index_Upto_April23__1___1[Date]=A16),
  0)
 ),
"")</f>
        <v>177.8</v>
      </c>
      <c r="C16" s="24">
        <f t="shared" si="0"/>
        <v>176.3</v>
      </c>
      <c r="D16" s="28">
        <f t="shared" si="1"/>
        <v>8.5082246171299669E-3</v>
      </c>
      <c r="E16" s="20" t="s">
        <v>187</v>
      </c>
      <c r="F16" s="11"/>
    </row>
    <row r="17" spans="1:6" x14ac:dyDescent="0.2">
      <c r="A17" s="79">
        <v>44835</v>
      </c>
      <c r="B17" s="24" cm="1">
        <f t="array" ref="B17">IFERROR(
 INDEX(All_India_Index_Upto_April23__1___1[Food and beverages],
  MATCH(1,
   (All_India_Index_Upto_April23__1___1[Sector]="Rural+Urban")*
   (All_India_Index_Upto_April23__1___1[Date]=A17),
  0)
 ),
"")</f>
        <v>179.6</v>
      </c>
      <c r="C17" s="24">
        <f t="shared" si="0"/>
        <v>177.8</v>
      </c>
      <c r="D17" s="28">
        <f t="shared" si="1"/>
        <v>1.0123734533183271E-2</v>
      </c>
      <c r="E17" s="20" t="s">
        <v>309</v>
      </c>
      <c r="F17" s="11"/>
    </row>
    <row r="18" spans="1:6" x14ac:dyDescent="0.2">
      <c r="A18" s="79">
        <v>44866</v>
      </c>
      <c r="B18" s="24" cm="1">
        <f t="array" ref="B18">IFERROR(
 INDEX(All_India_Index_Upto_April23__1___1[Food and beverages],
  MATCH(1,
   (All_India_Index_Upto_April23__1___1[Sector]="Rural+Urban")*
   (All_India_Index_Upto_April23__1___1[Date]=A18),
  0)
 ),
"")</f>
        <v>178.3</v>
      </c>
      <c r="C18" s="24">
        <f t="shared" si="0"/>
        <v>179.6</v>
      </c>
      <c r="D18" s="28">
        <f t="shared" si="1"/>
        <v>-7.2383073496657957E-3</v>
      </c>
      <c r="E18" s="20" t="s">
        <v>187</v>
      </c>
      <c r="F18" s="11"/>
    </row>
    <row r="19" spans="1:6" x14ac:dyDescent="0.2">
      <c r="A19" s="79">
        <v>44896</v>
      </c>
      <c r="B19" s="24" cm="1">
        <f t="array" ref="B19">IFERROR(
 INDEX(All_India_Index_Upto_April23__1___1[Food and beverages],
  MATCH(1,
   (All_India_Index_Upto_April23__1___1[Sector]="Rural+Urban")*
   (All_India_Index_Upto_April23__1___1[Date]=A19),
  0)
 ),
"")</f>
        <v>175.9</v>
      </c>
      <c r="C19" s="24">
        <f t="shared" si="0"/>
        <v>178.3</v>
      </c>
      <c r="D19" s="28">
        <f t="shared" si="1"/>
        <v>-1.346045989904654E-2</v>
      </c>
      <c r="E19" s="20" t="s">
        <v>310</v>
      </c>
      <c r="F19" s="11"/>
    </row>
    <row r="20" spans="1:6" x14ac:dyDescent="0.2">
      <c r="A20" s="79">
        <v>44927</v>
      </c>
      <c r="B20" s="24" cm="1">
        <f t="array" ref="B20">IFERROR(
 INDEX(All_India_Index_Upto_April23__1___1[Food and beverages],
  MATCH(1,
   (All_India_Index_Upto_April23__1___1[Sector]="Rural+Urban")*
   (All_India_Index_Upto_April23__1___1[Date]=A20),
  0)
 ),
"")</f>
        <v>176.7</v>
      </c>
      <c r="C20" s="24">
        <f t="shared" si="0"/>
        <v>175.9</v>
      </c>
      <c r="D20" s="28">
        <f t="shared" si="1"/>
        <v>4.5480386583285348E-3</v>
      </c>
      <c r="E20" s="20" t="s">
        <v>187</v>
      </c>
      <c r="F20" s="11"/>
    </row>
    <row r="21" spans="1:6" x14ac:dyDescent="0.2">
      <c r="A21" s="79">
        <v>44958</v>
      </c>
      <c r="B21" s="24" cm="1">
        <f t="array" ref="B21">IFERROR(
 INDEX(All_India_Index_Upto_April23__1___1[Food and beverages],
  MATCH(1,
   (All_India_Index_Upto_April23__1___1[Sector]="Rural+Urban")*
   (All_India_Index_Upto_April23__1___1[Date]=A21),
  0)
 ),
"")</f>
        <v>177</v>
      </c>
      <c r="C21" s="24">
        <f t="shared" si="0"/>
        <v>176.7</v>
      </c>
      <c r="D21" s="28">
        <f t="shared" si="1"/>
        <v>1.6977928692700761E-3</v>
      </c>
      <c r="E21" s="20" t="s">
        <v>187</v>
      </c>
      <c r="F21" s="11"/>
    </row>
    <row r="22" spans="1:6" x14ac:dyDescent="0.2">
      <c r="A22" s="79">
        <v>44986</v>
      </c>
      <c r="B22" s="24" cm="1">
        <f t="array" ref="B22">IFERROR(
 INDEX(All_India_Index_Upto_April23__1___1[Food and beverages],
  MATCH(1,
   (All_India_Index_Upto_April23__1___1[Sector]="Rural+Urban")*
   (All_India_Index_Upto_April23__1___1[Date]=A22),
  0)
 ),
"")</f>
        <v>177</v>
      </c>
      <c r="C22" s="24">
        <f t="shared" si="0"/>
        <v>177</v>
      </c>
      <c r="D22" s="28">
        <f t="shared" si="1"/>
        <v>0</v>
      </c>
      <c r="E22" s="20" t="s">
        <v>187</v>
      </c>
      <c r="F22" s="11"/>
    </row>
    <row r="23" spans="1:6" x14ac:dyDescent="0.2">
      <c r="A23" s="79">
        <v>45017</v>
      </c>
      <c r="B23" s="24" cm="1">
        <f t="array" ref="B23">IFERROR(
 INDEX(All_India_Index_Upto_April23__1___1[Food and beverages],
  MATCH(1,
   (All_India_Index_Upto_April23__1___1[Sector]="Rural+Urban")*
   (All_India_Index_Upto_April23__1___1[Date]=A23),
  0)
 ),
"")</f>
        <v>177.9</v>
      </c>
      <c r="C23" s="24">
        <f t="shared" si="0"/>
        <v>177</v>
      </c>
      <c r="D23" s="28">
        <f t="shared" si="1"/>
        <v>5.0847457627118953E-3</v>
      </c>
      <c r="E23" s="20" t="s">
        <v>187</v>
      </c>
      <c r="F23" s="11"/>
    </row>
    <row r="24" spans="1:6" x14ac:dyDescent="0.2">
      <c r="A24" s="79">
        <v>45047</v>
      </c>
      <c r="B24" s="24" cm="1">
        <f t="array" ref="B24">IFERROR(
 INDEX(All_India_Index_Upto_April23__1___1[Food and beverages],
  MATCH(1,
   (All_India_Index_Upto_April23__1___1[Sector]="Rural+Urban")*
   (All_India_Index_Upto_April23__1___1[Date]=A24),
  0)
 ),
"")</f>
        <v>179.1</v>
      </c>
      <c r="C24" s="24">
        <f t="shared" si="0"/>
        <v>177.9</v>
      </c>
      <c r="D24" s="28">
        <f t="shared" si="1"/>
        <v>6.7453625632376557E-3</v>
      </c>
      <c r="E24" s="20" t="s">
        <v>187</v>
      </c>
      <c r="F24" s="11"/>
    </row>
    <row r="25" spans="1:6" x14ac:dyDescent="0.2">
      <c r="A25" s="13"/>
      <c r="B25" s="13"/>
      <c r="C25" s="13"/>
      <c r="D25" s="13"/>
      <c r="E25" s="13"/>
    </row>
    <row r="49" spans="1:2" ht="17" x14ac:dyDescent="0.2">
      <c r="A49" s="80" t="s">
        <v>311</v>
      </c>
      <c r="B49" s="11"/>
    </row>
    <row r="50" spans="1:2" x14ac:dyDescent="0.2">
      <c r="A50" s="53" t="s">
        <v>312</v>
      </c>
      <c r="B50" s="11"/>
    </row>
    <row r="51" spans="1:2" x14ac:dyDescent="0.2">
      <c r="A51" s="49" t="s">
        <v>313</v>
      </c>
      <c r="B51" s="11"/>
    </row>
    <row r="52" spans="1:2" x14ac:dyDescent="0.2">
      <c r="A52" s="81" t="s">
        <v>318</v>
      </c>
      <c r="B52" s="11"/>
    </row>
    <row r="53" spans="1:2" x14ac:dyDescent="0.2">
      <c r="A53" s="81" t="s">
        <v>319</v>
      </c>
      <c r="B53" s="11"/>
    </row>
    <row r="54" spans="1:2" x14ac:dyDescent="0.2">
      <c r="A54" s="53" t="s">
        <v>314</v>
      </c>
      <c r="B54" s="11"/>
    </row>
    <row r="55" spans="1:2" x14ac:dyDescent="0.2">
      <c r="A55" s="49" t="s">
        <v>315</v>
      </c>
      <c r="B55" s="11"/>
    </row>
    <row r="56" spans="1:2" x14ac:dyDescent="0.2">
      <c r="A56" s="81" t="s">
        <v>320</v>
      </c>
      <c r="B56" s="11"/>
    </row>
    <row r="57" spans="1:2" x14ac:dyDescent="0.2">
      <c r="A57" s="81" t="s">
        <v>321</v>
      </c>
      <c r="B57" s="11"/>
    </row>
    <row r="58" spans="1:2" x14ac:dyDescent="0.2">
      <c r="A58" s="53" t="s">
        <v>316</v>
      </c>
      <c r="B58" s="55" t="s">
        <v>317</v>
      </c>
    </row>
    <row r="59" spans="1:2" x14ac:dyDescent="0.2">
      <c r="A59" s="53"/>
    </row>
    <row r="60" spans="1:2" ht="17" x14ac:dyDescent="0.2">
      <c r="A60" s="80" t="s">
        <v>322</v>
      </c>
    </row>
    <row r="61" spans="1:2" x14ac:dyDescent="0.2">
      <c r="A61" s="51" t="s">
        <v>323</v>
      </c>
    </row>
    <row r="63" spans="1:2" ht="22" x14ac:dyDescent="0.25">
      <c r="A63" s="54" t="s">
        <v>324</v>
      </c>
    </row>
    <row r="64" spans="1:2" ht="17" x14ac:dyDescent="0.2">
      <c r="A64" s="48" t="s">
        <v>247</v>
      </c>
    </row>
    <row r="65" spans="1:6" x14ac:dyDescent="0.2">
      <c r="A65" s="49" t="s">
        <v>325</v>
      </c>
    </row>
    <row r="66" spans="1:6" x14ac:dyDescent="0.2">
      <c r="A66" s="52" t="s">
        <v>326</v>
      </c>
    </row>
    <row r="67" spans="1:6" x14ac:dyDescent="0.2">
      <c r="A67" s="52" t="s">
        <v>327</v>
      </c>
    </row>
    <row r="69" spans="1:6" ht="17" x14ac:dyDescent="0.2">
      <c r="A69" s="80" t="s">
        <v>307</v>
      </c>
    </row>
    <row r="70" spans="1:6" x14ac:dyDescent="0.2">
      <c r="A70" s="84" t="s">
        <v>328</v>
      </c>
    </row>
    <row r="71" spans="1:6" x14ac:dyDescent="0.2">
      <c r="A71" s="84" t="s">
        <v>330</v>
      </c>
    </row>
    <row r="72" spans="1:6" x14ac:dyDescent="0.2">
      <c r="A72" s="12"/>
      <c r="B72" s="12"/>
      <c r="C72" s="12"/>
      <c r="D72" s="12"/>
      <c r="E72" s="12"/>
    </row>
    <row r="73" spans="1:6" x14ac:dyDescent="0.2">
      <c r="A73" s="18" t="s">
        <v>289</v>
      </c>
      <c r="B73" s="18" t="s">
        <v>290</v>
      </c>
      <c r="C73" s="18" t="s">
        <v>291</v>
      </c>
      <c r="D73" s="18" t="s">
        <v>292</v>
      </c>
      <c r="E73" s="18" t="s">
        <v>294</v>
      </c>
      <c r="F73" s="11"/>
    </row>
    <row r="74" spans="1:6" x14ac:dyDescent="0.2">
      <c r="A74" s="20" t="s">
        <v>12</v>
      </c>
      <c r="B74" s="24" cm="1">
        <f t="array" ref="B74">IFERROR(
  INDEX(All_India_Index_Upto_April23__1___1[#All],
    MATCH(1,
      (All_India_Index_Upto_April23__1___1[Date]=DATE(2022,6,1))*
      (All_India_Index_Upto_April23__1___1[Sector]="Rural+Urban"),
    0),
    MATCH(A74, All_India_Index_Upto_April23__1___1[#Headers],0)
  ),
"")</f>
        <v>184.9</v>
      </c>
      <c r="C74" s="24" cm="1">
        <f t="array" ref="C74">IFERROR(
  INDEX(All_India_Index_Upto_April23__1___1[#All],
    MATCH(1,
      (All_India_Index_Upto_April23__1___1[Date]=DATE(2023,5,1))*
      (All_India_Index_Upto_April23__1___1[Sector]="Rural+Urban"),
    0),
    MATCH(A74, All_India_Index_Upto_April23__1___1[#Headers],0)
  ),
"")</f>
        <v>212.9</v>
      </c>
      <c r="D74" s="24">
        <f t="shared" ref="D74:D86" si="2">C74 - B74</f>
        <v>28</v>
      </c>
      <c r="E74" s="20" t="s">
        <v>300</v>
      </c>
      <c r="F74" s="11"/>
    </row>
    <row r="75" spans="1:6" x14ac:dyDescent="0.2">
      <c r="A75" s="20" t="s">
        <v>3</v>
      </c>
      <c r="B75" s="24" cm="1">
        <f t="array" ref="B75">IFERROR(
  INDEX(All_India_Index_Upto_April23__1___1[#All],
    MATCH(1,
      (All_India_Index_Upto_April23__1___1[Date]=DATE(2022,6,1))*
      (All_India_Index_Upto_April23__1___1[Sector]="Rural+Urban"),
    0),
    MATCH(A75, All_India_Index_Upto_April23__1___1[#Headers],0)
  ),
"")</f>
        <v>154.1</v>
      </c>
      <c r="C75" s="24" cm="1">
        <f t="array" ref="C75">IFERROR(
  INDEX(All_India_Index_Upto_April23__1___1[#All],
    MATCH(1,
      (All_India_Index_Upto_April23__1___1[Date]=DATE(2023,5,1))*
      (All_India_Index_Upto_April23__1___1[Sector]="Rural+Urban"),
    0),
    MATCH(A75, All_India_Index_Upto_April23__1___1[#Headers],0)
  ),
"")</f>
        <v>173.8</v>
      </c>
      <c r="D75" s="24">
        <f t="shared" si="2"/>
        <v>19.700000000000017</v>
      </c>
      <c r="E75" s="24" t="s">
        <v>295</v>
      </c>
      <c r="F75" s="11"/>
    </row>
    <row r="76" spans="1:6" x14ac:dyDescent="0.2">
      <c r="A76" s="20" t="s">
        <v>6</v>
      </c>
      <c r="B76" s="24" cm="1">
        <f t="array" ref="B76">IFERROR(
  INDEX(All_India_Index_Upto_April23__1___1[#All],
    MATCH(1,
      (All_India_Index_Upto_April23__1___1[Date]=DATE(2022,6,1))*
      (All_India_Index_Upto_April23__1___1[Sector]="Rural+Urban"),
    0),
    MATCH(A76, All_India_Index_Upto_April23__1___1[#Headers],0)
  ),
"")</f>
        <v>164.9</v>
      </c>
      <c r="C76" s="24" cm="1">
        <f t="array" ref="C76">IFERROR(
  INDEX(All_India_Index_Upto_April23__1___1[#All],
    MATCH(1,
      (All_India_Index_Upto_April23__1___1[Date]=DATE(2023,5,1))*
      (All_India_Index_Upto_April23__1___1[Sector]="Rural+Urban"),
    0),
    MATCH(A76, All_India_Index_Upto_April23__1___1[#Headers],0)
  ),
"")</f>
        <v>178.4</v>
      </c>
      <c r="D76" s="24">
        <f t="shared" si="2"/>
        <v>13.5</v>
      </c>
      <c r="E76" s="24"/>
      <c r="F76" s="11"/>
    </row>
    <row r="77" spans="1:6" x14ac:dyDescent="0.2">
      <c r="A77" s="20" t="s">
        <v>14</v>
      </c>
      <c r="B77" s="24" cm="1">
        <f t="array" ref="B77">IFERROR(
  INDEX(All_India_Index_Upto_April23__1___1[#All],
    MATCH(1,
      (All_India_Index_Upto_April23__1___1[Date]=DATE(2022,6,1))*
      (All_India_Index_Upto_April23__1___1[Sector]="Rural+Urban"),
    0),
    MATCH(A77, All_India_Index_Upto_April23__1___1[#Headers],0)
  ),
"")</f>
        <v>182.5</v>
      </c>
      <c r="C77" s="24" cm="1">
        <f t="array" ref="C77">IFERROR(
  INDEX(All_India_Index_Upto_April23__1___1[#All],
    MATCH(1,
      (All_India_Index_Upto_April23__1___1[Date]=DATE(2023,5,1))*
      (All_India_Index_Upto_April23__1___1[Sector]="Rural+Urban"),
    0),
    MATCH(A77, All_India_Index_Upto_April23__1___1[#Headers],0)
  ),
"")</f>
        <v>193.5</v>
      </c>
      <c r="D77" s="24">
        <f t="shared" si="2"/>
        <v>11</v>
      </c>
      <c r="E77" s="24"/>
      <c r="F77" s="11"/>
    </row>
    <row r="78" spans="1:6" x14ac:dyDescent="0.2">
      <c r="A78" s="20" t="s">
        <v>10</v>
      </c>
      <c r="B78" s="24" cm="1">
        <f t="array" ref="B78">IFERROR(
  INDEX(All_India_Index_Upto_April23__1___1[#All],
    MATCH(1,
      (All_India_Index_Upto_April23__1___1[Date]=DATE(2022,6,1))*
      (All_India_Index_Upto_April23__1___1[Sector]="Rural+Urban"),
    0),
    MATCH(A78, All_India_Index_Upto_April23__1___1[#Headers],0)
  ),
"")</f>
        <v>164.7</v>
      </c>
      <c r="C78" s="24" cm="1">
        <f t="array" ref="C78">IFERROR(
  INDEX(All_India_Index_Upto_April23__1___1[#All],
    MATCH(1,
      (All_India_Index_Upto_April23__1___1[Date]=DATE(2023,5,1))*
      (All_India_Index_Upto_April23__1___1[Sector]="Rural+Urban"),
    0),
    MATCH(A78, All_India_Index_Upto_April23__1___1[#Headers],0)
  ),
"")</f>
        <v>173.4</v>
      </c>
      <c r="D78" s="24">
        <f t="shared" si="2"/>
        <v>8.7000000000000171</v>
      </c>
      <c r="E78" s="24"/>
      <c r="F78" s="11"/>
    </row>
    <row r="79" spans="1:6" x14ac:dyDescent="0.2">
      <c r="A79" s="20" t="s">
        <v>5</v>
      </c>
      <c r="B79" s="24" cm="1">
        <f t="array" ref="B79">IFERROR(
  INDEX(All_India_Index_Upto_April23__1___1[#All],
    MATCH(1,
      (All_India_Index_Upto_April23__1___1[Date]=DATE(2022,6,1))*
      (All_India_Index_Upto_April23__1___1[Sector]="Rural+Urban"),
    0),
    MATCH(A79, All_India_Index_Upto_April23__1___1[#Headers],0)
  ),
"")</f>
        <v>162.4</v>
      </c>
      <c r="C79" s="24" cm="1">
        <f t="array" ref="C79">IFERROR(
  INDEX(All_India_Index_Upto_April23__1___1[#All],
    MATCH(1,
      (All_India_Index_Upto_April23__1___1[Date]=DATE(2023,5,1))*
      (All_India_Index_Upto_April23__1___1[Sector]="Rural+Urban"),
    0),
    MATCH(A79, All_India_Index_Upto_April23__1___1[#Headers],0)
  ),
"")</f>
        <v>169.6</v>
      </c>
      <c r="D79" s="24">
        <f t="shared" si="2"/>
        <v>7.1999999999999886</v>
      </c>
      <c r="E79" s="24"/>
      <c r="F79" s="11"/>
    </row>
    <row r="80" spans="1:6" x14ac:dyDescent="0.2">
      <c r="A80" s="20" t="s">
        <v>13</v>
      </c>
      <c r="B80" s="24" cm="1">
        <f t="array" ref="B80">IFERROR(
  INDEX(All_India_Index_Upto_April23__1___1[#All],
    MATCH(1,
      (All_India_Index_Upto_April23__1___1[Date]=DATE(2022,6,1))*
      (All_India_Index_Upto_April23__1___1[Sector]="Rural+Urban"),
    0),
    MATCH(A80, All_India_Index_Upto_April23__1___1[#Headers],0)
  ),
"")</f>
        <v>167.1</v>
      </c>
      <c r="C80" s="24" cm="1">
        <f t="array" ref="C80">IFERROR(
  INDEX(All_India_Index_Upto_April23__1___1[#All],
    MATCH(1,
      (All_India_Index_Upto_April23__1___1[Date]=DATE(2023,5,1))*
      (All_India_Index_Upto_April23__1___1[Sector]="Rural+Urban"),
    0),
    MATCH(A80, All_India_Index_Upto_April23__1___1[#Headers],0)
  ),
"")</f>
        <v>172.9</v>
      </c>
      <c r="D80" s="24">
        <f t="shared" si="2"/>
        <v>5.8000000000000114</v>
      </c>
      <c r="E80" s="24"/>
      <c r="F80" s="11"/>
    </row>
    <row r="81" spans="1:6" x14ac:dyDescent="0.2">
      <c r="A81" s="20" t="s">
        <v>8</v>
      </c>
      <c r="B81" s="24" cm="1">
        <f t="array" ref="B81">IFERROR(
  INDEX(All_India_Index_Upto_April23__1___1[#All],
    MATCH(1,
      (All_India_Index_Upto_April23__1___1[Date]=DATE(2022,6,1))*
      (All_India_Index_Upto_April23__1___1[Sector]="Rural+Urban"),
    0),
    MATCH(A81, All_India_Index_Upto_April23__1___1[#Headers],0)
  ),
"")</f>
        <v>171</v>
      </c>
      <c r="C81" s="24" cm="1">
        <f t="array" ref="C81">IFERROR(
  INDEX(All_India_Index_Upto_April23__1___1[#All],
    MATCH(1,
      (All_India_Index_Upto_April23__1___1[Date]=DATE(2023,5,1))*
      (All_India_Index_Upto_April23__1___1[Sector]="Rural+Urban"),
    0),
    MATCH(A81, All_India_Index_Upto_April23__1___1[#Headers],0)
  ),
"")</f>
        <v>176.3</v>
      </c>
      <c r="D81" s="24">
        <f t="shared" si="2"/>
        <v>5.3000000000000114</v>
      </c>
      <c r="E81" s="24"/>
      <c r="F81" s="11"/>
    </row>
    <row r="82" spans="1:6" x14ac:dyDescent="0.2">
      <c r="A82" s="20" t="s">
        <v>15</v>
      </c>
      <c r="B82" s="24" cm="1">
        <f t="array" ref="B82">IFERROR(
  INDEX(All_India_Index_Upto_April23__1___1[#All],
    MATCH(1,
      (All_India_Index_Upto_April23__1___1[Date]=DATE(2022,6,1))*
      (All_India_Index_Upto_April23__1___1[Sector]="Rural+Urban"),
    0),
    MATCH(A82, All_India_Index_Upto_April23__1___1[#Headers],0)
  ),
"")</f>
        <v>173.3</v>
      </c>
      <c r="C82" s="24" cm="1">
        <f t="array" ref="C82">IFERROR(
  INDEX(All_India_Index_Upto_April23__1___1[#All],
    MATCH(1,
      (All_India_Index_Upto_April23__1___1[Date]=DATE(2023,5,1))*
      (All_India_Index_Upto_April23__1___1[Sector]="Rural+Urban"),
    0),
    MATCH(A82, All_India_Index_Upto_April23__1___1[#Headers],0)
  ),
"")</f>
        <v>177.9</v>
      </c>
      <c r="D82" s="24">
        <f t="shared" si="2"/>
        <v>4.5999999999999943</v>
      </c>
      <c r="E82" s="24" t="s">
        <v>301</v>
      </c>
      <c r="F82" s="11"/>
    </row>
    <row r="83" spans="1:6" x14ac:dyDescent="0.2">
      <c r="A83" s="20" t="s">
        <v>11</v>
      </c>
      <c r="B83" s="24" cm="1">
        <f t="array" ref="B83">IFERROR(
  INDEX(All_India_Index_Upto_April23__1___1[#All],
    MATCH(1,
      (All_India_Index_Upto_April23__1___1[Date]=DATE(2022,6,1))*
      (All_India_Index_Upto_April23__1___1[Sector]="Rural+Urban"),
    0),
    MATCH(A83, All_India_Index_Upto_April23__1___1[#Headers],0)
  ),
"")</f>
        <v>119.7</v>
      </c>
      <c r="C83" s="24" cm="1">
        <f t="array" ref="C83">IFERROR(
  INDEX(All_India_Index_Upto_April23__1___1[#All],
    MATCH(1,
      (All_India_Index_Upto_April23__1___1[Date]=DATE(2023,5,1))*
      (All_India_Index_Upto_April23__1___1[Sector]="Rural+Urban"),
    0),
    MATCH(A83, All_India_Index_Upto_April23__1___1[#Headers],0)
  ),
"")</f>
        <v>121.3</v>
      </c>
      <c r="D83" s="24">
        <f t="shared" si="2"/>
        <v>1.5999999999999943</v>
      </c>
      <c r="E83" s="24" t="s">
        <v>299</v>
      </c>
      <c r="F83" s="11"/>
    </row>
    <row r="84" spans="1:6" x14ac:dyDescent="0.2">
      <c r="A84" s="20" t="s">
        <v>4</v>
      </c>
      <c r="B84" s="24" cm="1">
        <f t="array" ref="B84">IFERROR(
  INDEX(All_India_Index_Upto_April23__1___1[#All],
    MATCH(1,
      (All_India_Index_Upto_April23__1___1[Date]=DATE(2022,6,1))*
      (All_India_Index_Upto_April23__1___1[Sector]="Rural+Urban"),
    0),
    MATCH(A84, All_India_Index_Upto_April23__1___1[#Headers],0)
  ),
"")</f>
        <v>217</v>
      </c>
      <c r="C84" s="24" cm="1">
        <f t="array" ref="C84">IFERROR(
  INDEX(All_India_Index_Upto_April23__1___1[#All],
    MATCH(1,
      (All_India_Index_Upto_April23__1___1[Date]=DATE(2023,5,1))*
      (All_India_Index_Upto_April23__1___1[Sector]="Rural+Urban"),
    0),
    MATCH(A84, All_India_Index_Upto_April23__1___1[#Headers],0)
  ),
"")</f>
        <v>209.3</v>
      </c>
      <c r="D84" s="24">
        <f t="shared" si="2"/>
        <v>-7.6999999999999886</v>
      </c>
      <c r="E84" s="24" t="s">
        <v>296</v>
      </c>
      <c r="F84" s="11"/>
    </row>
    <row r="85" spans="1:6" x14ac:dyDescent="0.2">
      <c r="A85" s="20" t="s">
        <v>9</v>
      </c>
      <c r="B85" s="24" cm="1">
        <f t="array" ref="B85">IFERROR(
  INDEX(All_India_Index_Upto_April23__1___1[#All],
    MATCH(1,
      (All_India_Index_Upto_April23__1___1[Date]=DATE(2022,6,1))*
      (All_India_Index_Upto_April23__1___1[Sector]="Rural+Urban"),
    0),
    MATCH(A85, All_India_Index_Upto_April23__1___1[#Headers],0)
  ),
"")</f>
        <v>174.9</v>
      </c>
      <c r="C85" s="24" cm="1">
        <f t="array" ref="C85">IFERROR(
  INDEX(All_India_Index_Upto_April23__1___1[#All],
    MATCH(1,
      (All_India_Index_Upto_April23__1___1[Date]=DATE(2023,5,1))*
      (All_India_Index_Upto_April23__1___1[Sector]="Rural+Urban"),
    0),
    MATCH(A85, All_India_Index_Upto_April23__1___1[#Headers],0)
  ),
"")</f>
        <v>155.4</v>
      </c>
      <c r="D85" s="24">
        <f t="shared" si="2"/>
        <v>-19.5</v>
      </c>
      <c r="E85" s="24" t="s">
        <v>298</v>
      </c>
      <c r="F85" s="11"/>
    </row>
    <row r="86" spans="1:6" x14ac:dyDescent="0.2">
      <c r="A86" s="20" t="s">
        <v>7</v>
      </c>
      <c r="B86" s="24" cm="1">
        <f t="array" ref="B86">IFERROR(
  INDEX(All_India_Index_Upto_April23__1___1[#All],
    MATCH(1,
      (All_India_Index_Upto_April23__1___1[Date]=DATE(2022,6,1))*
      (All_India_Index_Upto_April23__1___1[Sector]="Rural+Urban"),
    0),
    MATCH(A86, All_India_Index_Upto_April23__1___1[#Headers],0)
  ),
"")</f>
        <v>202.4</v>
      </c>
      <c r="C86" s="24" cm="1">
        <f t="array" ref="C86">IFERROR(
  INDEX(All_India_Index_Upto_April23__1___1[#All],
    MATCH(1,
      (All_India_Index_Upto_April23__1___1[Date]=DATE(2023,5,1))*
      (All_India_Index_Upto_April23__1___1[Sector]="Rural+Urban"),
    0),
    MATCH(A86, All_India_Index_Upto_April23__1___1[#Headers],0)
  ),
"")</f>
        <v>174.9</v>
      </c>
      <c r="D86" s="24">
        <f t="shared" si="2"/>
        <v>-27.5</v>
      </c>
      <c r="E86" s="24" t="s">
        <v>297</v>
      </c>
      <c r="F86" s="11"/>
    </row>
    <row r="87" spans="1:6" x14ac:dyDescent="0.2">
      <c r="A87" s="13"/>
      <c r="B87" s="13"/>
      <c r="C87" s="13"/>
      <c r="D87" s="13"/>
      <c r="E87" s="13"/>
    </row>
    <row r="120" spans="1:1" ht="17" x14ac:dyDescent="0.2">
      <c r="A120" s="80" t="s">
        <v>331</v>
      </c>
    </row>
    <row r="121" spans="1:1" x14ac:dyDescent="0.2">
      <c r="A121" s="53" t="s">
        <v>332</v>
      </c>
    </row>
    <row r="122" spans="1:1" x14ac:dyDescent="0.2">
      <c r="A122" s="51" t="s">
        <v>334</v>
      </c>
    </row>
    <row r="123" spans="1:1" x14ac:dyDescent="0.2">
      <c r="A123" s="51" t="s">
        <v>335</v>
      </c>
    </row>
    <row r="124" spans="1:1" x14ac:dyDescent="0.2">
      <c r="A124" s="51" t="s">
        <v>336</v>
      </c>
    </row>
    <row r="125" spans="1:1" x14ac:dyDescent="0.2">
      <c r="A125" s="51" t="s">
        <v>337</v>
      </c>
    </row>
    <row r="126" spans="1:1" x14ac:dyDescent="0.2">
      <c r="A126" s="53" t="s">
        <v>333</v>
      </c>
    </row>
    <row r="127" spans="1:1" x14ac:dyDescent="0.2">
      <c r="A127" s="51" t="s">
        <v>338</v>
      </c>
    </row>
    <row r="128" spans="1:1" x14ac:dyDescent="0.2">
      <c r="A128" s="51" t="s">
        <v>339</v>
      </c>
    </row>
    <row r="130" spans="1:1" ht="17" x14ac:dyDescent="0.2">
      <c r="A130" s="80" t="s">
        <v>340</v>
      </c>
    </row>
    <row r="131" spans="1:1" x14ac:dyDescent="0.2">
      <c r="A131" s="53" t="s">
        <v>341</v>
      </c>
    </row>
    <row r="132" spans="1:1" x14ac:dyDescent="0.2">
      <c r="A132" s="52" t="s">
        <v>342</v>
      </c>
    </row>
    <row r="133" spans="1:1" x14ac:dyDescent="0.2">
      <c r="A133" s="52" t="s">
        <v>343</v>
      </c>
    </row>
    <row r="134" spans="1:1" x14ac:dyDescent="0.2">
      <c r="A134" s="85" t="s">
        <v>344</v>
      </c>
    </row>
    <row r="135" spans="1:1" x14ac:dyDescent="0.2">
      <c r="A135" s="85" t="s">
        <v>345</v>
      </c>
    </row>
    <row r="136" spans="1:1" x14ac:dyDescent="0.2">
      <c r="A136" s="85" t="s">
        <v>346</v>
      </c>
    </row>
    <row r="138" spans="1:1" ht="17" x14ac:dyDescent="0.2">
      <c r="A138" s="80" t="s">
        <v>322</v>
      </c>
    </row>
    <row r="139" spans="1:1" x14ac:dyDescent="0.2">
      <c r="A139" s="84" t="s">
        <v>347</v>
      </c>
    </row>
    <row r="141" spans="1:1" ht="22" x14ac:dyDescent="0.25">
      <c r="A141" s="54" t="s">
        <v>348</v>
      </c>
    </row>
    <row r="142" spans="1:1" x14ac:dyDescent="0.2">
      <c r="A142" s="51" t="s">
        <v>349</v>
      </c>
    </row>
    <row r="143" spans="1:1" x14ac:dyDescent="0.2">
      <c r="A143" s="51" t="s">
        <v>350</v>
      </c>
    </row>
    <row r="144" spans="1:1" x14ac:dyDescent="0.2">
      <c r="A144" s="51" t="s">
        <v>351</v>
      </c>
    </row>
    <row r="145" spans="1:1" x14ac:dyDescent="0.2">
      <c r="A145" s="51" t="s">
        <v>352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3ED37-B737-6348-9104-D196E90EEFA6}">
  <dimension ref="A1:AF129"/>
  <sheetViews>
    <sheetView topLeftCell="T1" zoomScaleNormal="115" workbookViewId="0">
      <selection activeCell="P3" sqref="P3"/>
    </sheetView>
  </sheetViews>
  <sheetFormatPr baseColWidth="10" defaultRowHeight="16" x14ac:dyDescent="0.2"/>
  <cols>
    <col min="4" max="4" width="26" bestFit="1" customWidth="1"/>
    <col min="5" max="5" width="13.6640625" bestFit="1" customWidth="1"/>
    <col min="6" max="6" width="13.5" bestFit="1" customWidth="1"/>
    <col min="10" max="10" width="21" bestFit="1" customWidth="1"/>
    <col min="13" max="13" width="23.5" bestFit="1" customWidth="1"/>
    <col min="15" max="15" width="15.5" bestFit="1" customWidth="1"/>
    <col min="16" max="16" width="18.6640625" bestFit="1" customWidth="1"/>
    <col min="17" max="17" width="18.1640625" bestFit="1" customWidth="1"/>
    <col min="18" max="18" width="11" bestFit="1" customWidth="1"/>
    <col min="20" max="20" width="17.1640625" bestFit="1" customWidth="1"/>
    <col min="21" max="21" width="20.1640625" bestFit="1" customWidth="1"/>
    <col min="22" max="22" width="19.6640625" bestFit="1" customWidth="1"/>
    <col min="25" max="25" width="19" bestFit="1" customWidth="1"/>
    <col min="26" max="26" width="22.1640625" bestFit="1" customWidth="1"/>
    <col min="27" max="27" width="21.6640625" bestFit="1" customWidth="1"/>
    <col min="28" max="28" width="11" bestFit="1" customWidth="1"/>
    <col min="30" max="30" width="15.83203125" bestFit="1" customWidth="1"/>
  </cols>
  <sheetData>
    <row r="1" spans="1:32" x14ac:dyDescent="0.2">
      <c r="A1" s="4" t="s">
        <v>161</v>
      </c>
      <c r="B1" s="4" t="s">
        <v>1</v>
      </c>
      <c r="C1" s="4" t="s">
        <v>2</v>
      </c>
      <c r="D1" s="4" t="s">
        <v>241</v>
      </c>
      <c r="E1" s="4" t="s">
        <v>170</v>
      </c>
      <c r="F1" s="4" t="s">
        <v>167</v>
      </c>
      <c r="G1" s="4" t="s">
        <v>186</v>
      </c>
      <c r="I1" s="4" t="s">
        <v>355</v>
      </c>
      <c r="J1" s="4" t="s">
        <v>243</v>
      </c>
      <c r="L1" s="4" t="s">
        <v>355</v>
      </c>
      <c r="M1" s="4" t="s">
        <v>356</v>
      </c>
      <c r="O1" s="4" t="s">
        <v>357</v>
      </c>
      <c r="P1" s="4" t="s">
        <v>358</v>
      </c>
      <c r="Q1" s="4" t="s">
        <v>359</v>
      </c>
      <c r="R1" s="4" t="s">
        <v>186</v>
      </c>
      <c r="T1" s="4" t="s">
        <v>360</v>
      </c>
      <c r="U1" s="4" t="s">
        <v>361</v>
      </c>
      <c r="V1" s="4" t="s">
        <v>362</v>
      </c>
      <c r="W1" s="4" t="s">
        <v>186</v>
      </c>
      <c r="X1" s="4"/>
      <c r="Y1" s="4" t="s">
        <v>367</v>
      </c>
      <c r="Z1" s="4" t="s">
        <v>368</v>
      </c>
      <c r="AA1" s="4" t="s">
        <v>369</v>
      </c>
      <c r="AB1" s="4" t="s">
        <v>186</v>
      </c>
      <c r="AD1" s="4" t="s">
        <v>364</v>
      </c>
      <c r="AE1" s="4" t="s">
        <v>353</v>
      </c>
      <c r="AF1" s="4" t="s">
        <v>354</v>
      </c>
    </row>
    <row r="2" spans="1:32" x14ac:dyDescent="0.2">
      <c r="A2" s="22">
        <v>42736</v>
      </c>
      <c r="B2">
        <v>2017</v>
      </c>
      <c r="C2" t="s">
        <v>31</v>
      </c>
      <c r="D2" s="2" cm="1">
        <f t="array" ref="D2">IFERROR(
  INDEX(
    All_India_Index_Upto_April23__1___1[General index],
    MATCH(
      1,
      (All_India_Index_Upto_April23__1___1[Sector]="Rural+Urban") *
      (All_India_Index_Upto_April23__1___1[Date]=A2),
      0
    )
  ),
"")</f>
        <v>130.30000000000001</v>
      </c>
      <c r="E2" s="2" cm="1">
        <f t="array" ref="E2">IFERROR(
  INDEX(
    All_India_Index_Upto_April23__1___1[General index],
    MATCH(
      1,
      (All_India_Index_Upto_April23__1___1[Sector]="Rural+Urban") *
      (All_India_Index_Upto_April23__1___1[Date]=EDATE(A2,-12)),
      0
    )
  ),
"")</f>
        <v>126.3</v>
      </c>
      <c r="F2" s="8">
        <f>IF(OR(E2="",D2=""),NA(),(D2/E2)-1)</f>
        <v>3.1670625494853555E-2</v>
      </c>
      <c r="G2" t="str">
        <f>IF(A2&lt;DATE(2020,3,1),
   "Pre-COVID",
   IF(A2&lt;DATE(2022,4,1),
      "COVID",
      "Post-COVID"
   )
)</f>
        <v>Pre-COVID</v>
      </c>
      <c r="I2" t="s">
        <v>353</v>
      </c>
      <c r="J2" s="8">
        <f>AVERAGEIFS(
  F:F,
  G:G,
  "Pre-COVID"
)</f>
        <v>3.8698798816613568E-2</v>
      </c>
      <c r="L2" t="s">
        <v>353</v>
      </c>
      <c r="M2" s="8">
        <f>AVERAGEIFS(
  Q:Q,
  R:R,
  "Pre-COVID"
)</f>
        <v>2.1608000745265608E-2</v>
      </c>
      <c r="O2" s="2" cm="1">
        <f t="array" ref="O2">IFERROR(
  AVERAGE(
    INDEX(All_India_Index_Upto_April23__1___1[Cereals and products],
      MATCH(1,(All_India_Index_Upto_April23__1___1[Date]=$A2)*
              (All_India_Index_Upto_April23__1___1[Sector]="Rural+Urban"),0)),
    INDEX(All_India_Index_Upto_April23__1___1[Meat and fish],
      MATCH(1,(All_India_Index_Upto_April23__1___1[Date]=$A2)*
              (All_India_Index_Upto_April23__1___1[Sector]="Rural+Urban"),0)),
    INDEX(All_India_Index_Upto_April23__1___1[Egg],
      MATCH(1,(All_India_Index_Upto_April23__1___1[Date]=$A2)*
              (All_India_Index_Upto_April23__1___1[Sector]="Rural+Urban"),0)),
    INDEX(All_India_Index_Upto_April23__1___1[Milk and products],
      MATCH(1,(All_India_Index_Upto_April23__1___1[Date]=$A2)*
              (All_India_Index_Upto_April23__1___1[Sector]="Rural+Urban"),0)),
    INDEX(All_India_Index_Upto_April23__1___1[Oils and fats],
      MATCH(1,(All_India_Index_Upto_April23__1___1[Date]=$A2)*
              (All_India_Index_Upto_April23__1___1[Sector]="Rural+Urban"),0)),
    INDEX(All_India_Index_Upto_April23__1___1[Fruits],
      MATCH(1,(All_India_Index_Upto_April23__1___1[Date]=$A2)*
              (All_India_Index_Upto_April23__1___1[Sector]="Rural+Urban"),0)),
    INDEX(All_India_Index_Upto_April23__1___1[Vegetables],
      MATCH(1,(All_India_Index_Upto_April23__1___1[Date]=$A2)*
              (All_India_Index_Upto_April23__1___1[Sector]="Rural+Urban"),0)),
    INDEX(All_India_Index_Upto_April23__1___1[Pulses and products],
      MATCH(1,(All_India_Index_Upto_April23__1___1[Date]=$A2)*
              (All_India_Index_Upto_April23__1___1[Sector]="Rural+Urban"),0)),
    INDEX(All_India_Index_Upto_April23__1___1[Sugar and Confectionery],
      MATCH(1,(All_India_Index_Upto_April23__1___1[Date]=$A2)*
              (All_India_Index_Upto_April23__1___1[Sector]="Rural+Urban"),0)),
    INDEX(All_India_Index_Upto_April23__1___1[Spices],
      MATCH(1,(All_India_Index_Upto_April23__1___1[Date]=$A2)*
              (All_India_Index_Upto_April23__1___1[Sector]="Rural+Urban"),0)),
    INDEX(All_India_Index_Upto_April23__1___1[Non-alcoholic beverages],
      MATCH(1,(All_India_Index_Upto_April23__1___1[Date]=$A2)*
              (All_India_Index_Upto_April23__1___1[Sector]="Rural+Urban"),0)),
    INDEX(All_India_Index_Upto_April23__1___1[Prepared meals, snacks, sweets etc.],
      MATCH(1,(All_India_Index_Upto_April23__1___1[Date]=$A2)*
              (All_India_Index_Upto_April23__1___1[Sector]="Rural+Urban"),0))
  ),
"")</f>
        <v>132.84999999999997</v>
      </c>
      <c r="P2" s="2" cm="1">
        <f t="array" ref="P2">IFERROR(
  AVERAGE(
    INDEX(All_India_Index_Upto_April23__1___1[Cereals and products],
      MATCH(1,(All_India_Index_Upto_April23__1___1[Date]=EDATE($A2,-12))*
              (All_India_Index_Upto_April23__1___1[Sector]="Rural+Urban"),0)),
    INDEX(All_India_Index_Upto_April23__1___1[Meat and fish],
      MATCH(1,(All_India_Index_Upto_April23__1___1[Date]=EDATE($A2,-12))*
              (All_India_Index_Upto_April23__1___1[Sector]="Rural+Urban"),0)),
    INDEX(All_India_Index_Upto_April23__1___1[Egg],
      MATCH(1,(All_India_Index_Upto_April23__1___1[Date]=EDATE($A2,-12))*
              (All_India_Index_Upto_April23__1___1[Sector]="Rural+Urban"),0)),
    INDEX(All_India_Index_Upto_April23__1___1[Milk and products],
      MATCH(1,(All_India_Index_Upto_April23__1___1[Date]=EDATE($A2,-12))*
              (All_India_Index_Upto_April23__1___1[Sector]="Rural+Urban"),0)),
    INDEX(All_India_Index_Upto_April23__1___1[Oils and fats],
      MATCH(1,(All_India_Index_Upto_April23__1___1[Date]=EDATE($A2,-12))*
              (All_India_Index_Upto_April23__1___1[Sector]="Rural+Urban"),0)),
    INDEX(All_India_Index_Upto_April23__1___1[Fruits],
      MATCH(1,(All_India_Index_Upto_April23__1___1[Date]=EDATE($A2,-12))*
              (All_India_Index_Upto_April23__1___1[Sector]="Rural+Urban"),0)),
    INDEX(All_India_Index_Upto_April23__1___1[Vegetables],
      MATCH(1,(All_India_Index_Upto_April23__1___1[Date]=EDATE($A2,-12))*
              (All_India_Index_Upto_April23__1___1[Sector]="Rural+Urban"),0)),
    INDEX(All_India_Index_Upto_April23__1___1[Pulses and products],
      MATCH(1,(All_India_Index_Upto_April23__1___1[Date]=EDATE($A2,-12))*
              (All_India_Index_Upto_April23__1___1[Sector]="Rural+Urban"),0)),
    INDEX(All_India_Index_Upto_April23__1___1[Sugar and Confectionery],
      MATCH(1,(All_India_Index_Upto_April23__1___1[Date]=EDATE($A2,-12))*
              (All_India_Index_Upto_April23__1___1[Sector]="Rural+Urban"),0)),
    INDEX(All_India_Index_Upto_April23__1___1[Spices],
      MATCH(1,(All_India_Index_Upto_April23__1___1[Date]=EDATE($A2,-12))*
              (All_India_Index_Upto_April23__1___1[Sector]="Rural+Urban"),0)),
    INDEX(All_India_Index_Upto_April23__1___1[Non-alcoholic beverages],
      MATCH(1,(All_India_Index_Upto_April23__1___1[Date]=EDATE($A2,-12))*
              (All_India_Index_Upto_April23__1___1[Sector]="Rural+Urban"),0)),
    INDEX(All_India_Index_Upto_April23__1___1[Prepared meals, snacks, sweets etc.],
      MATCH(1,(All_India_Index_Upto_April23__1___1[Date]=EDATE($A2,-12))*
              (All_India_Index_Upto_April23__1___1[Sector]="Rural+Urban"),0))
  ),
"")</f>
        <v>130.03333333333333</v>
      </c>
      <c r="Q2" s="8">
        <f>IFERROR((O2-P2)/P2,"")</f>
        <v>2.1661112535247124E-2</v>
      </c>
      <c r="R2" t="str">
        <f>IF(A2&lt;DATE(2020,3,1),
   "Pre-COVID",
   IF(A2&lt;DATE(2022,4,1),
      "COVID",
      "Post-COVID"
   )
)</f>
        <v>Pre-COVID</v>
      </c>
      <c r="T2" s="2" cm="1">
        <f t="array" ref="T2">IFERROR(
  INDEX(
    All_India_Index_Upto_April23__1___1[Health],
    MATCH(
      1,
      (All_India_Index_Upto_April23__1___1[Date]=$A2) *
      (All_India_Index_Upto_April23__1___1[Sector]="Rural+Urban"),
      0
    )
  ),
"")</f>
        <v>127.1</v>
      </c>
      <c r="U2" s="2" cm="1">
        <f t="array" ref="U2">IFERROR(
  INDEX(
    All_India_Index_Upto_April23__1___1[Health],
    MATCH(
      1,
      (All_India_Index_Upto_April23__1___1[Date]=EDATE($A2,-12)) *
      (All_India_Index_Upto_April23__1___1[Sector]="Rural+Urban"),
      0
    )
  ),
"")</f>
        <v>122</v>
      </c>
      <c r="V2" s="8">
        <f>IFERROR((T2-U2)/U2,"")</f>
        <v>4.1803278688524542E-2</v>
      </c>
      <c r="W2" t="str">
        <f>IF(A2&lt;DATE(2020,3,1),
   "Pre-COVID",
   IF(A2&lt;DATE(2022,4,1),
      "COVID",
      "Post-COVID"
   )
)</f>
        <v>Pre-COVID</v>
      </c>
      <c r="Y2" s="2" cm="1">
        <f t="array" ref="Y2">IFERROR(
  AVERAGE(
    INDEX(All_India_Index_Upto_April23__1___1[Pan, tobacco and intoxicants],
      MATCH(1,(All_India_Index_Upto_April23__1___1[Date]=$A2)*
              (All_India_Index_Upto_April23__1___1[Sector]="Rural+Urban"),0)),
    INDEX(All_India_Index_Upto_April23__1___1[Clothing],
      MATCH(1,(All_India_Index_Upto_April23__1___1[Date]=$A2)*
              (All_India_Index_Upto_April23__1___1[Sector]="Rural+Urban"),0)),
    INDEX(All_India_Index_Upto_April23__1___1[Footwear],
      MATCH(1,(All_India_Index_Upto_April23__1___1[Date]=$A2)*
              (All_India_Index_Upto_April23__1___1[Sector]="Rural+Urban"),0)),
    INDEX(All_India_Index_Upto_April23__1___1[Clothing and footwear],
      MATCH(1,(All_India_Index_Upto_April23__1___1[Date]=$A2)*
              (All_India_Index_Upto_April23__1___1[Sector]="Rural+Urban"),0)),
    INDEX(All_India_Index_Upto_April23__1___1[Housing],
      MATCH(1,(All_India_Index_Upto_April23__1___1[Date]=$A2)*
              (All_India_Index_Upto_April23__1___1[Sector]="Rural+Urban"),0)),
    INDEX(All_India_Index_Upto_April23__1___1[Fuel and light],
      MATCH(1,(All_India_Index_Upto_April23__1___1[Date]=$A2)*
              (All_India_Index_Upto_April23__1___1[Sector]="Rural+Urban"),0)),
    INDEX(All_India_Index_Upto_April23__1___1[Household goods and services],
      MATCH(1,(All_India_Index_Upto_April23__1___1[Date]=$A2)*
              (All_India_Index_Upto_April23__1___1[Sector]="Rural+Urban"),0)),
    INDEX(All_India_Index_Upto_April23__1___1[Health],
      MATCH(1,(All_India_Index_Upto_April23__1___1[Date]=$A2)*
              (All_India_Index_Upto_April23__1___1[Sector]="Rural+Urban"),0)),
    INDEX(All_India_Index_Upto_April23__1___1[Transport and communication],
      MATCH(1,(All_India_Index_Upto_April23__1___1[Date]=$A2)*
              (All_India_Index_Upto_April23__1___1[Sector]="Rural+Urban"),0)),
    INDEX(All_India_Index_Upto_April23__1___1[Recreation and amusement],
      MATCH(1,(All_India_Index_Upto_April23__1___1[Date]=$A2)*
              (All_India_Index_Upto_April23__1___1[Sector]="Rural+Urban"),0)),
    INDEX(All_India_Index_Upto_April23__1___1[Education],
      MATCH(1,(All_India_Index_Upto_April23__1___1[Date]=$A2)*
              (All_India_Index_Upto_April23__1___1[Sector]="Rural+Urban"),0)),
    INDEX(All_India_Index_Upto_April23__1___1[Personal care and effects],
      MATCH(1,(All_India_Index_Upto_April23__1___1[Date]=$A2)*
              (All_India_Index_Upto_April23__1___1[Sector]="Rural+Urban"),0)),
    INDEX(All_India_Index_Upto_April23__1___1[Miscellaneous],
      MATCH(1,(All_India_Index_Upto_April23__1___1[Date]=$A2)*
              (All_India_Index_Upto_April23__1___1[Sector]="Rural+Urban"),0))
  ),
"")</f>
        <v>129.17500000000001</v>
      </c>
      <c r="Z2" s="2" cm="1">
        <f t="array" ref="Z2">IFERROR(
  AVERAGE(
    INDEX(All_India_Index_Upto_April23__1___1[Pan, tobacco and intoxicants],
      MATCH(1,(All_India_Index_Upto_April23__1___1[Date]=EDATE($A2,-12))*
              (All_India_Index_Upto_April23__1___1[Sector]="Rural+Urban"),0)),
    INDEX(All_India_Index_Upto_April23__1___1[Clothing],
      MATCH(1,(All_India_Index_Upto_April23__1___1[Date]=EDATE($A2,-12))*
              (All_India_Index_Upto_April23__1___1[Sector]="Rural+Urban"),0)),
    INDEX(All_India_Index_Upto_April23__1___1[Footwear],
      MATCH(1,(All_India_Index_Upto_April23__1___1[Date]=EDATE($A2,-12))*
              (All_India_Index_Upto_April23__1___1[Sector]="Rural+Urban"),0)),
    INDEX(All_India_Index_Upto_April23__1___1[Clothing and footwear],
      MATCH(1,(All_India_Index_Upto_April23__1___1[Date]=EDATE($A2,-12))*
              (All_India_Index_Upto_April23__1___1[Sector]="Rural+Urban"),0)),
    INDEX(All_India_Index_Upto_April23__1___1[Housing],
      MATCH(1,(All_India_Index_Upto_April23__1___1[Date]=EDATE($A2,-12))*
              (All_India_Index_Upto_April23__1___1[Sector]="Rural+Urban"),0)),
    INDEX(All_India_Index_Upto_April23__1___1[Fuel and light],
      MATCH(1,(All_India_Index_Upto_April23__1___1[Date]=EDATE($A2,-12))*
              (All_India_Index_Upto_April23__1___1[Sector]="Rural+Urban"),0)),
    INDEX(All_India_Index_Upto_April23__1___1[Household goods and services],
      MATCH(1,(All_India_Index_Upto_April23__1___1[Date]=EDATE($A2,-12))*
              (All_India_Index_Upto_April23__1___1[Sector]="Rural+Urban"),0)),
    INDEX(All_India_Index_Upto_April23__1___1[Health],
      MATCH(1,(All_India_Index_Upto_April23__1___1[Date]=EDATE($A2,-12))*
              (All_India_Index_Upto_April23__1___1[Sector]="Rural+Urban"),0)),
    INDEX(All_India_Index_Upto_April23__1___1[Transport and communication],
      MATCH(1,(All_India_Index_Upto_April23__1___1[Date]=EDATE($A2,-12))*
              (All_India_Index_Upto_April23__1___1[Sector]="Rural+Urban"),0)),
    INDEX(All_India_Index_Upto_April23__1___1[Recreation and amusement],
      MATCH(1,(All_India_Index_Upto_April23__1___1[Date]=EDATE($A2,-12))*
              (All_India_Index_Upto_April23__1___1[Sector]="Rural+Urban"),0)),
    INDEX(All_India_Index_Upto_April23__1___1[Education],
      MATCH(1,(All_India_Index_Upto_April23__1___1[Date]=EDATE($A2,-12))*
              (All_India_Index_Upto_April23__1___1[Sector]="Rural+Urban"),0)),
    INDEX(All_India_Index_Upto_April23__1___1[Personal care and effects],
      MATCH(1,(All_India_Index_Upto_April23__1___1[Date]=EDATE($A2,-12))*
              (All_India_Index_Upto_April23__1___1[Sector]="Rural+Urban"),0)),
    INDEX(All_India_Index_Upto_April23__1___1[Miscellaneous],
      MATCH(1,(All_India_Index_Upto_April23__1___1[Date]=EDATE($A2,-12))*
              (All_India_Index_Upto_April23__1___1[Sector]="Rural+Urban"),0))
  ),
"")</f>
        <v>123.26666666666667</v>
      </c>
      <c r="AA2" s="8">
        <f>IFERROR((Y2-Z2)/Z2,"")</f>
        <v>4.7931314223904911E-2</v>
      </c>
      <c r="AB2" t="str">
        <f>IF(A2&lt;DATE(2020,3,1),
   "Pre-COVID",
   IF(A2&lt;DATE(2022,4,1),
      "COVID",
      "Post-COVID"
   )
)</f>
        <v>Pre-COVID</v>
      </c>
      <c r="AD2" s="4" t="s">
        <v>365</v>
      </c>
      <c r="AE2" s="86">
        <v>3.9E-2</v>
      </c>
      <c r="AF2" s="86">
        <v>5.7000000000000002E-2</v>
      </c>
    </row>
    <row r="3" spans="1:32" x14ac:dyDescent="0.2">
      <c r="A3" s="22">
        <v>42767</v>
      </c>
      <c r="B3">
        <v>2017</v>
      </c>
      <c r="C3" t="s">
        <v>35</v>
      </c>
      <c r="D3" s="2" cm="1">
        <f t="array" ref="D3">IFERROR(
  INDEX(
    All_India_Index_Upto_April23__1___1[General index],
    MATCH(
      1,
      (All_India_Index_Upto_April23__1___1[Sector]="Rural+Urban") *
      (All_India_Index_Upto_April23__1___1[Date]=A3),
      0
    )
  ),
"")</f>
        <v>130.6</v>
      </c>
      <c r="E3" s="2" cm="1">
        <f t="array" ref="E3">IFERROR(
  INDEX(
    All_India_Index_Upto_April23__1___1[General index],
    MATCH(
      1,
      (All_India_Index_Upto_April23__1___1[Sector]="Rural+Urban") *
      (All_India_Index_Upto_April23__1___1[Date]=EDATE(A3,-12)),
      0
    )
  ),
"")</f>
        <v>126</v>
      </c>
      <c r="F3" s="8">
        <f t="shared" ref="F3:F66" si="0">IF(OR(E3="",D3=""),NA(),(D3/E3)-1)</f>
        <v>3.6507936507936378E-2</v>
      </c>
      <c r="G3" t="str">
        <f t="shared" ref="G3:G66" si="1">IF(A3&lt;DATE(2020,3,1),
   "Pre-COVID",
   IF(A3&lt;DATE(2022,4,1),
      "COVID",
      "Post-COVID"
   )
)</f>
        <v>Pre-COVID</v>
      </c>
      <c r="I3" t="s">
        <v>354</v>
      </c>
      <c r="J3" s="8" t="e">
        <f>AVERAGEIFS(
  F:F,
  G:G,
  "COVID"
)</f>
        <v>#N/A</v>
      </c>
      <c r="L3" t="s">
        <v>354</v>
      </c>
      <c r="M3" s="8" t="e">
        <f>AVERAGEIFS(
  Q:Q,
  R:R,
  "COVID"
)</f>
        <v>#N/A</v>
      </c>
      <c r="O3" s="2" cm="1">
        <f t="array" ref="O3">IFERROR(
  AVERAGE(
    INDEX(All_India_Index_Upto_April23__1___1[Cereals and products],
      MATCH(1,(All_India_Index_Upto_April23__1___1[Date]=$A3)*
              (All_India_Index_Upto_April23__1___1[Sector]="Rural+Urban"),0)),
    INDEX(All_India_Index_Upto_April23__1___1[Meat and fish],
      MATCH(1,(All_India_Index_Upto_April23__1___1[Date]=$A3)*
              (All_India_Index_Upto_April23__1___1[Sector]="Rural+Urban"),0)),
    INDEX(All_India_Index_Upto_April23__1___1[Egg],
      MATCH(1,(All_India_Index_Upto_April23__1___1[Date]=$A3)*
              (All_India_Index_Upto_April23__1___1[Sector]="Rural+Urban"),0)),
    INDEX(All_India_Index_Upto_April23__1___1[Milk and products],
      MATCH(1,(All_India_Index_Upto_April23__1___1[Date]=$A3)*
              (All_India_Index_Upto_April23__1___1[Sector]="Rural+Urban"),0)),
    INDEX(All_India_Index_Upto_April23__1___1[Oils and fats],
      MATCH(1,(All_India_Index_Upto_April23__1___1[Date]=$A3)*
              (All_India_Index_Upto_April23__1___1[Sector]="Rural+Urban"),0)),
    INDEX(All_India_Index_Upto_April23__1___1[Fruits],
      MATCH(1,(All_India_Index_Upto_April23__1___1[Date]=$A3)*
              (All_India_Index_Upto_April23__1___1[Sector]="Rural+Urban"),0)),
    INDEX(All_India_Index_Upto_April23__1___1[Vegetables],
      MATCH(1,(All_India_Index_Upto_April23__1___1[Date]=$A3)*
              (All_India_Index_Upto_April23__1___1[Sector]="Rural+Urban"),0)),
    INDEX(All_India_Index_Upto_April23__1___1[Pulses and products],
      MATCH(1,(All_India_Index_Upto_April23__1___1[Date]=$A3)*
              (All_India_Index_Upto_April23__1___1[Sector]="Rural+Urban"),0)),
    INDEX(All_India_Index_Upto_April23__1___1[Sugar and Confectionery],
      MATCH(1,(All_India_Index_Upto_April23__1___1[Date]=$A3)*
              (All_India_Index_Upto_April23__1___1[Sector]="Rural+Urban"),0)),
    INDEX(All_India_Index_Upto_April23__1___1[Spices],
      MATCH(1,(All_India_Index_Upto_April23__1___1[Date]=$A3)*
              (All_India_Index_Upto_April23__1___1[Sector]="Rural+Urban"),0)),
    INDEX(All_India_Index_Upto_April23__1___1[Non-alcoholic beverages],
      MATCH(1,(All_India_Index_Upto_April23__1___1[Date]=$A3)*
              (All_India_Index_Upto_April23__1___1[Sector]="Rural+Urban"),0)),
    INDEX(All_India_Index_Upto_April23__1___1[Prepared meals, snacks, sweets etc.],
      MATCH(1,(All_India_Index_Upto_April23__1___1[Date]=$A3)*
              (All_India_Index_Upto_April23__1___1[Sector]="Rural+Urban"),0))
  ),
"")</f>
        <v>132.44166666666669</v>
      </c>
      <c r="P3" s="2" cm="1">
        <f t="array" ref="P3">IFERROR(
  AVERAGE(
    INDEX(All_India_Index_Upto_April23__1___1[Cereals and products],
      MATCH(1,(All_India_Index_Upto_April23__1___1[Date]=EDATE($A3,-12))*
              (All_India_Index_Upto_April23__1___1[Sector]="Rural+Urban"),0)),
    INDEX(All_India_Index_Upto_April23__1___1[Meat and fish],
      MATCH(1,(All_India_Index_Upto_April23__1___1[Date]=EDATE($A3,-12))*
              (All_India_Index_Upto_April23__1___1[Sector]="Rural+Urban"),0)),
    INDEX(All_India_Index_Upto_April23__1___1[Egg],
      MATCH(1,(All_India_Index_Upto_April23__1___1[Date]=EDATE($A3,-12))*
              (All_India_Index_Upto_April23__1___1[Sector]="Rural+Urban"),0)),
    INDEX(All_India_Index_Upto_April23__1___1[Milk and products],
      MATCH(1,(All_India_Index_Upto_April23__1___1[Date]=EDATE($A3,-12))*
              (All_India_Index_Upto_April23__1___1[Sector]="Rural+Urban"),0)),
    INDEX(All_India_Index_Upto_April23__1___1[Oils and fats],
      MATCH(1,(All_India_Index_Upto_April23__1___1[Date]=EDATE($A3,-12))*
              (All_India_Index_Upto_April23__1___1[Sector]="Rural+Urban"),0)),
    INDEX(All_India_Index_Upto_April23__1___1[Fruits],
      MATCH(1,(All_India_Index_Upto_April23__1___1[Date]=EDATE($A3,-12))*
              (All_India_Index_Upto_April23__1___1[Sector]="Rural+Urban"),0)),
    INDEX(All_India_Index_Upto_April23__1___1[Vegetables],
      MATCH(1,(All_India_Index_Upto_April23__1___1[Date]=EDATE($A3,-12))*
              (All_India_Index_Upto_April23__1___1[Sector]="Rural+Urban"),0)),
    INDEX(All_India_Index_Upto_April23__1___1[Pulses and products],
      MATCH(1,(All_India_Index_Upto_April23__1___1[Date]=EDATE($A3,-12))*
              (All_India_Index_Upto_April23__1___1[Sector]="Rural+Urban"),0)),
    INDEX(All_India_Index_Upto_April23__1___1[Sugar and Confectionery],
      MATCH(1,(All_India_Index_Upto_April23__1___1[Date]=EDATE($A3,-12))*
              (All_India_Index_Upto_April23__1___1[Sector]="Rural+Urban"),0)),
    INDEX(All_India_Index_Upto_April23__1___1[Spices],
      MATCH(1,(All_India_Index_Upto_April23__1___1[Date]=EDATE($A3,-12))*
              (All_India_Index_Upto_April23__1___1[Sector]="Rural+Urban"),0)),
    INDEX(All_India_Index_Upto_April23__1___1[Non-alcoholic beverages],
      MATCH(1,(All_India_Index_Upto_April23__1___1[Date]=EDATE($A3,-12))*
              (All_India_Index_Upto_April23__1___1[Sector]="Rural+Urban"),0)),
    INDEX(All_India_Index_Upto_April23__1___1[Prepared meals, snacks, sweets etc.],
      MATCH(1,(All_India_Index_Upto_April23__1___1[Date]=EDATE($A3,-12))*
              (All_India_Index_Upto_April23__1___1[Sector]="Rural+Urban"),0))
  ),
"")</f>
        <v>129.01666666666665</v>
      </c>
      <c r="Q3" s="8">
        <f t="shared" ref="Q3:Q66" si="2">IFERROR((O3-P3)/P3,"")</f>
        <v>2.6546957757395996E-2</v>
      </c>
      <c r="R3" t="str">
        <f t="shared" ref="R3:R66" si="3">IF(A3&lt;DATE(2020,3,1),
   "Pre-COVID",
   IF(A3&lt;DATE(2022,4,1),
      "COVID",
      "Post-COVID"
   )
)</f>
        <v>Pre-COVID</v>
      </c>
      <c r="T3" s="2" cm="1">
        <f t="array" ref="T3">IFERROR(
  INDEX(
    All_India_Index_Upto_April23__1___1[Health],
    MATCH(
      1,
      (All_India_Index_Upto_April23__1___1[Date]=$A3) *
      (All_India_Index_Upto_April23__1___1[Sector]="Rural+Urban"),
      0
    )
  ),
"")</f>
        <v>127.4</v>
      </c>
      <c r="U3" s="2" cm="1">
        <f t="array" ref="U3">IFERROR(
  INDEX(
    All_India_Index_Upto_April23__1___1[Health],
    MATCH(
      1,
      (All_India_Index_Upto_April23__1___1[Date]=EDATE($A3,-12)) *
      (All_India_Index_Upto_April23__1___1[Sector]="Rural+Urban"),
      0
    )
  ),
"")</f>
        <v>122.5</v>
      </c>
      <c r="V3" s="8">
        <f t="shared" ref="V3:V66" si="4">IFERROR((T3-U3)/U3,"")</f>
        <v>4.0000000000000049E-2</v>
      </c>
      <c r="W3" t="str">
        <f t="shared" ref="W3:W66" si="5">IF(A3&lt;DATE(2020,3,1),
   "Pre-COVID",
   IF(A3&lt;DATE(2022,4,1),
      "COVID",
      "Post-COVID"
   )
)</f>
        <v>Pre-COVID</v>
      </c>
      <c r="Y3" s="2" cm="1">
        <f t="array" ref="Y3">IFERROR(
  AVERAGE(
    INDEX(All_India_Index_Upto_April23__1___1[Pan, tobacco and intoxicants],
      MATCH(1,(All_India_Index_Upto_April23__1___1[Date]=$A3)*
              (All_India_Index_Upto_April23__1___1[Sector]="Rural+Urban"),0)),
    INDEX(All_India_Index_Upto_April23__1___1[Clothing],
      MATCH(1,(All_India_Index_Upto_April23__1___1[Date]=$A3)*
              (All_India_Index_Upto_April23__1___1[Sector]="Rural+Urban"),0)),
    INDEX(All_India_Index_Upto_April23__1___1[Footwear],
      MATCH(1,(All_India_Index_Upto_April23__1___1[Date]=$A3)*
              (All_India_Index_Upto_April23__1___1[Sector]="Rural+Urban"),0)),
    INDEX(All_India_Index_Upto_April23__1___1[Clothing and footwear],
      MATCH(1,(All_India_Index_Upto_April23__1___1[Date]=$A3)*
              (All_India_Index_Upto_April23__1___1[Sector]="Rural+Urban"),0)),
    INDEX(All_India_Index_Upto_April23__1___1[Housing],
      MATCH(1,(All_India_Index_Upto_April23__1___1[Date]=$A3)*
              (All_India_Index_Upto_April23__1___1[Sector]="Rural+Urban"),0)),
    INDEX(All_India_Index_Upto_April23__1___1[Fuel and light],
      MATCH(1,(All_India_Index_Upto_April23__1___1[Date]=$A3)*
              (All_India_Index_Upto_April23__1___1[Sector]="Rural+Urban"),0)),
    INDEX(All_India_Index_Upto_April23__1___1[Household goods and services],
      MATCH(1,(All_India_Index_Upto_April23__1___1[Date]=$A3)*
              (All_India_Index_Upto_April23__1___1[Sector]="Rural+Urban"),0)),
    INDEX(All_India_Index_Upto_April23__1___1[Health],
      MATCH(1,(All_India_Index_Upto_April23__1___1[Date]=$A3)*
              (All_India_Index_Upto_April23__1___1[Sector]="Rural+Urban"),0)),
    INDEX(All_India_Index_Upto_April23__1___1[Transport and communication],
      MATCH(1,(All_India_Index_Upto_April23__1___1[Date]=$A3)*
              (All_India_Index_Upto_April23__1___1[Sector]="Rural+Urban"),0)),
    INDEX(All_India_Index_Upto_April23__1___1[Recreation and amusement],
      MATCH(1,(All_India_Index_Upto_April23__1___1[Date]=$A3)*
              (All_India_Index_Upto_April23__1___1[Sector]="Rural+Urban"),0)),
    INDEX(All_India_Index_Upto_April23__1___1[Education],
      MATCH(1,(All_India_Index_Upto_April23__1___1[Date]=$A3)*
              (All_India_Index_Upto_April23__1___1[Sector]="Rural+Urban"),0)),
    INDEX(All_India_Index_Upto_April23__1___1[Personal care and effects],
      MATCH(1,(All_India_Index_Upto_April23__1___1[Date]=$A3)*
              (All_India_Index_Upto_April23__1___1[Sector]="Rural+Urban"),0)),
    INDEX(All_India_Index_Upto_April23__1___1[Miscellaneous],
      MATCH(1,(All_India_Index_Upto_April23__1___1[Date]=$A3)*
              (All_India_Index_Upto_April23__1___1[Sector]="Rural+Urban"),0))
  ),
"")</f>
        <v>129.6</v>
      </c>
      <c r="Z3" s="2" cm="1">
        <f t="array" ref="Z3">IFERROR(
  AVERAGE(
    INDEX(All_India_Index_Upto_April23__1___1[Pan, tobacco and intoxicants],
      MATCH(1,(All_India_Index_Upto_April23__1___1[Date]=EDATE($A3,-12))*
              (All_India_Index_Upto_April23__1___1[Sector]="Rural+Urban"),0)),
    INDEX(All_India_Index_Upto_April23__1___1[Clothing],
      MATCH(1,(All_India_Index_Upto_April23__1___1[Date]=EDATE($A3,-12))*
              (All_India_Index_Upto_April23__1___1[Sector]="Rural+Urban"),0)),
    INDEX(All_India_Index_Upto_April23__1___1[Footwear],
      MATCH(1,(All_India_Index_Upto_April23__1___1[Date]=EDATE($A3,-12))*
              (All_India_Index_Upto_April23__1___1[Sector]="Rural+Urban"),0)),
    INDEX(All_India_Index_Upto_April23__1___1[Clothing and footwear],
      MATCH(1,(All_India_Index_Upto_April23__1___1[Date]=EDATE($A3,-12))*
              (All_India_Index_Upto_April23__1___1[Sector]="Rural+Urban"),0)),
    INDEX(All_India_Index_Upto_April23__1___1[Housing],
      MATCH(1,(All_India_Index_Upto_April23__1___1[Date]=EDATE($A3,-12))*
              (All_India_Index_Upto_April23__1___1[Sector]="Rural+Urban"),0)),
    INDEX(All_India_Index_Upto_April23__1___1[Fuel and light],
      MATCH(1,(All_India_Index_Upto_April23__1___1[Date]=EDATE($A3,-12))*
              (All_India_Index_Upto_April23__1___1[Sector]="Rural+Urban"),0)),
    INDEX(All_India_Index_Upto_April23__1___1[Household goods and services],
      MATCH(1,(All_India_Index_Upto_April23__1___1[Date]=EDATE($A3,-12))*
              (All_India_Index_Upto_April23__1___1[Sector]="Rural+Urban"),0)),
    INDEX(All_India_Index_Upto_April23__1___1[Health],
      MATCH(1,(All_India_Index_Upto_April23__1___1[Date]=EDATE($A3,-12))*
              (All_India_Index_Upto_April23__1___1[Sector]="Rural+Urban"),0)),
    INDEX(All_India_Index_Upto_April23__1___1[Transport and communication],
      MATCH(1,(All_India_Index_Upto_April23__1___1[Date]=EDATE($A3,-12))*
              (All_India_Index_Upto_April23__1___1[Sector]="Rural+Urban"),0)),
    INDEX(All_India_Index_Upto_April23__1___1[Recreation and amusement],
      MATCH(1,(All_India_Index_Upto_April23__1___1[Date]=EDATE($A3,-12))*
              (All_India_Index_Upto_April23__1___1[Sector]="Rural+Urban"),0)),
    INDEX(All_India_Index_Upto_April23__1___1[Education],
      MATCH(1,(All_India_Index_Upto_April23__1___1[Date]=EDATE($A3,-12))*
              (All_India_Index_Upto_April23__1___1[Sector]="Rural+Urban"),0)),
    INDEX(All_India_Index_Upto_April23__1___1[Personal care and effects],
      MATCH(1,(All_India_Index_Upto_April23__1___1[Date]=EDATE($A3,-12))*
              (All_India_Index_Upto_April23__1___1[Sector]="Rural+Urban"),0)),
    INDEX(All_India_Index_Upto_April23__1___1[Miscellaneous],
      MATCH(1,(All_India_Index_Upto_April23__1___1[Date]=EDATE($A3,-12))*
              (All_India_Index_Upto_April23__1___1[Sector]="Rural+Urban"),0))
  ),
"")</f>
        <v>123.91666666666664</v>
      </c>
      <c r="AA3" s="8">
        <f t="shared" ref="AA3:AA66" si="6">IFERROR((Y3-Z3)/Z3,"")</f>
        <v>4.586415601883001E-2</v>
      </c>
      <c r="AB3" t="str">
        <f t="shared" ref="AB3:AB66" si="7">IF(A3&lt;DATE(2020,3,1),
   "Pre-COVID",
   IF(A3&lt;DATE(2022,4,1),
      "COVID",
      "Post-COVID"
   )
)</f>
        <v>Pre-COVID</v>
      </c>
      <c r="AD3" s="4" t="s">
        <v>189</v>
      </c>
      <c r="AE3" s="86">
        <v>2.1999999999999999E-2</v>
      </c>
      <c r="AF3" s="86">
        <v>7.2999999999999995E-2</v>
      </c>
    </row>
    <row r="4" spans="1:32" x14ac:dyDescent="0.2">
      <c r="A4" s="22">
        <v>42795</v>
      </c>
      <c r="B4">
        <v>2017</v>
      </c>
      <c r="C4" t="s">
        <v>37</v>
      </c>
      <c r="D4" s="2" cm="1">
        <f t="array" ref="D4">IFERROR(
  INDEX(
    All_India_Index_Upto_April23__1___1[General index],
    MATCH(
      1,
      (All_India_Index_Upto_April23__1___1[Sector]="Rural+Urban") *
      (All_India_Index_Upto_April23__1___1[Date]=A4),
      0
    )
  ),
"")</f>
        <v>130.9</v>
      </c>
      <c r="E4" s="2" cm="1">
        <f t="array" ref="E4">IFERROR(
  INDEX(
    All_India_Index_Upto_April23__1___1[General index],
    MATCH(
      1,
      (All_India_Index_Upto_April23__1___1[Sector]="Rural+Urban") *
      (All_India_Index_Upto_April23__1___1[Date]=EDATE(A4,-12)),
      0
    )
  ),
"")</f>
        <v>126</v>
      </c>
      <c r="F4" s="8">
        <f t="shared" si="0"/>
        <v>3.8888888888888973E-2</v>
      </c>
      <c r="G4" t="str">
        <f t="shared" si="1"/>
        <v>Pre-COVID</v>
      </c>
      <c r="O4" s="2" cm="1">
        <f t="array" ref="O4">IFERROR(
  AVERAGE(
    INDEX(All_India_Index_Upto_April23__1___1[Cereals and products],
      MATCH(1,(All_India_Index_Upto_April23__1___1[Date]=$A4)*
              (All_India_Index_Upto_April23__1___1[Sector]="Rural+Urban"),0)),
    INDEX(All_India_Index_Upto_April23__1___1[Meat and fish],
      MATCH(1,(All_India_Index_Upto_April23__1___1[Date]=$A4)*
              (All_India_Index_Upto_April23__1___1[Sector]="Rural+Urban"),0)),
    INDEX(All_India_Index_Upto_April23__1___1[Egg],
      MATCH(1,(All_India_Index_Upto_April23__1___1[Date]=$A4)*
              (All_India_Index_Upto_April23__1___1[Sector]="Rural+Urban"),0)),
    INDEX(All_India_Index_Upto_April23__1___1[Milk and products],
      MATCH(1,(All_India_Index_Upto_April23__1___1[Date]=$A4)*
              (All_India_Index_Upto_April23__1___1[Sector]="Rural+Urban"),0)),
    INDEX(All_India_Index_Upto_April23__1___1[Oils and fats],
      MATCH(1,(All_India_Index_Upto_April23__1___1[Date]=$A4)*
              (All_India_Index_Upto_April23__1___1[Sector]="Rural+Urban"),0)),
    INDEX(All_India_Index_Upto_April23__1___1[Fruits],
      MATCH(1,(All_India_Index_Upto_April23__1___1[Date]=$A4)*
              (All_India_Index_Upto_April23__1___1[Sector]="Rural+Urban"),0)),
    INDEX(All_India_Index_Upto_April23__1___1[Vegetables],
      MATCH(1,(All_India_Index_Upto_April23__1___1[Date]=$A4)*
              (All_India_Index_Upto_April23__1___1[Sector]="Rural+Urban"),0)),
    INDEX(All_India_Index_Upto_April23__1___1[Pulses and products],
      MATCH(1,(All_India_Index_Upto_April23__1___1[Date]=$A4)*
              (All_India_Index_Upto_April23__1___1[Sector]="Rural+Urban"),0)),
    INDEX(All_India_Index_Upto_April23__1___1[Sugar and Confectionery],
      MATCH(1,(All_India_Index_Upto_April23__1___1[Date]=$A4)*
              (All_India_Index_Upto_April23__1___1[Sector]="Rural+Urban"),0)),
    INDEX(All_India_Index_Upto_April23__1___1[Spices],
      MATCH(1,(All_India_Index_Upto_April23__1___1[Date]=$A4)*
              (All_India_Index_Upto_April23__1___1[Sector]="Rural+Urban"),0)),
    INDEX(All_India_Index_Upto_April23__1___1[Non-alcoholic beverages],
      MATCH(1,(All_India_Index_Upto_April23__1___1[Date]=$A4)*
              (All_India_Index_Upto_April23__1___1[Sector]="Rural+Urban"),0)),
    INDEX(All_India_Index_Upto_April23__1___1[Prepared meals, snacks, sweets etc.],
      MATCH(1,(All_India_Index_Upto_April23__1___1[Date]=$A4)*
              (All_India_Index_Upto_April23__1___1[Sector]="Rural+Urban"),0))
  ),
"")</f>
        <v>132.15</v>
      </c>
      <c r="P4" s="2" cm="1">
        <f t="array" ref="P4">IFERROR(
  AVERAGE(
    INDEX(All_India_Index_Upto_April23__1___1[Cereals and products],
      MATCH(1,(All_India_Index_Upto_April23__1___1[Date]=EDATE($A4,-12))*
              (All_India_Index_Upto_April23__1___1[Sector]="Rural+Urban"),0)),
    INDEX(All_India_Index_Upto_April23__1___1[Meat and fish],
      MATCH(1,(All_India_Index_Upto_April23__1___1[Date]=EDATE($A4,-12))*
              (All_India_Index_Upto_April23__1___1[Sector]="Rural+Urban"),0)),
    INDEX(All_India_Index_Upto_April23__1___1[Egg],
      MATCH(1,(All_India_Index_Upto_April23__1___1[Date]=EDATE($A4,-12))*
              (All_India_Index_Upto_April23__1___1[Sector]="Rural+Urban"),0)),
    INDEX(All_India_Index_Upto_April23__1___1[Milk and products],
      MATCH(1,(All_India_Index_Upto_April23__1___1[Date]=EDATE($A4,-12))*
              (All_India_Index_Upto_April23__1___1[Sector]="Rural+Urban"),0)),
    INDEX(All_India_Index_Upto_April23__1___1[Oils and fats],
      MATCH(1,(All_India_Index_Upto_April23__1___1[Date]=EDATE($A4,-12))*
              (All_India_Index_Upto_April23__1___1[Sector]="Rural+Urban"),0)),
    INDEX(All_India_Index_Upto_April23__1___1[Fruits],
      MATCH(1,(All_India_Index_Upto_April23__1___1[Date]=EDATE($A4,-12))*
              (All_India_Index_Upto_April23__1___1[Sector]="Rural+Urban"),0)),
    INDEX(All_India_Index_Upto_April23__1___1[Vegetables],
      MATCH(1,(All_India_Index_Upto_April23__1___1[Date]=EDATE($A4,-12))*
              (All_India_Index_Upto_April23__1___1[Sector]="Rural+Urban"),0)),
    INDEX(All_India_Index_Upto_April23__1___1[Pulses and products],
      MATCH(1,(All_India_Index_Upto_April23__1___1[Date]=EDATE($A4,-12))*
              (All_India_Index_Upto_April23__1___1[Sector]="Rural+Urban"),0)),
    INDEX(All_India_Index_Upto_April23__1___1[Sugar and Confectionery],
      MATCH(1,(All_India_Index_Upto_April23__1___1[Date]=EDATE($A4,-12))*
              (All_India_Index_Upto_April23__1___1[Sector]="Rural+Urban"),0)),
    INDEX(All_India_Index_Upto_April23__1___1[Spices],
      MATCH(1,(All_India_Index_Upto_April23__1___1[Date]=EDATE($A4,-12))*
              (All_India_Index_Upto_April23__1___1[Sector]="Rural+Urban"),0)),
    INDEX(All_India_Index_Upto_April23__1___1[Non-alcoholic beverages],
      MATCH(1,(All_India_Index_Upto_April23__1___1[Date]=EDATE($A4,-12))*
              (All_India_Index_Upto_April23__1___1[Sector]="Rural+Urban"),0)),
    INDEX(All_India_Index_Upto_April23__1___1[Prepared meals, snacks, sweets etc.],
      MATCH(1,(All_India_Index_Upto_April23__1___1[Date]=EDATE($A4,-12))*
              (All_India_Index_Upto_April23__1___1[Sector]="Rural+Urban"),0))
  ),
"")</f>
        <v>128.78333333333333</v>
      </c>
      <c r="Q4" s="8">
        <f t="shared" si="2"/>
        <v>2.6142099132910632E-2</v>
      </c>
      <c r="R4" t="str">
        <f t="shared" si="3"/>
        <v>Pre-COVID</v>
      </c>
      <c r="T4" s="2" cm="1">
        <f t="array" ref="T4">IFERROR(
  INDEX(
    All_India_Index_Upto_April23__1___1[Health],
    MATCH(
      1,
      (All_India_Index_Upto_April23__1___1[Date]=$A4) *
      (All_India_Index_Upto_April23__1___1[Sector]="Rural+Urban"),
      0
    )
  ),
"")</f>
        <v>127.8</v>
      </c>
      <c r="U4" s="2" cm="1">
        <f t="array" ref="U4">IFERROR(
  INDEX(
    All_India_Index_Upto_April23__1___1[Health],
    MATCH(
      1,
      (All_India_Index_Upto_April23__1___1[Date]=EDATE($A4,-12)) *
      (All_India_Index_Upto_April23__1___1[Sector]="Rural+Urban"),
      0
    )
  ),
"")</f>
        <v>122.9</v>
      </c>
      <c r="V4" s="8">
        <f t="shared" si="4"/>
        <v>3.9869812855980402E-2</v>
      </c>
      <c r="W4" t="str">
        <f t="shared" si="5"/>
        <v>Pre-COVID</v>
      </c>
      <c r="Y4" s="2" cm="1">
        <f t="array" ref="Y4">IFERROR(
  AVERAGE(
    INDEX(All_India_Index_Upto_April23__1___1[Pan, tobacco and intoxicants],
      MATCH(1,(All_India_Index_Upto_April23__1___1[Date]=$A4)*
              (All_India_Index_Upto_April23__1___1[Sector]="Rural+Urban"),0)),
    INDEX(All_India_Index_Upto_April23__1___1[Clothing],
      MATCH(1,(All_India_Index_Upto_April23__1___1[Date]=$A4)*
              (All_India_Index_Upto_April23__1___1[Sector]="Rural+Urban"),0)),
    INDEX(All_India_Index_Upto_April23__1___1[Footwear],
      MATCH(1,(All_India_Index_Upto_April23__1___1[Date]=$A4)*
              (All_India_Index_Upto_April23__1___1[Sector]="Rural+Urban"),0)),
    INDEX(All_India_Index_Upto_April23__1___1[Clothing and footwear],
      MATCH(1,(All_India_Index_Upto_April23__1___1[Date]=$A4)*
              (All_India_Index_Upto_April23__1___1[Sector]="Rural+Urban"),0)),
    INDEX(All_India_Index_Upto_April23__1___1[Housing],
      MATCH(1,(All_India_Index_Upto_April23__1___1[Date]=$A4)*
              (All_India_Index_Upto_April23__1___1[Sector]="Rural+Urban"),0)),
    INDEX(All_India_Index_Upto_April23__1___1[Fuel and light],
      MATCH(1,(All_India_Index_Upto_April23__1___1[Date]=$A4)*
              (All_India_Index_Upto_April23__1___1[Sector]="Rural+Urban"),0)),
    INDEX(All_India_Index_Upto_April23__1___1[Household goods and services],
      MATCH(1,(All_India_Index_Upto_April23__1___1[Date]=$A4)*
              (All_India_Index_Upto_April23__1___1[Sector]="Rural+Urban"),0)),
    INDEX(All_India_Index_Upto_April23__1___1[Health],
      MATCH(1,(All_India_Index_Upto_April23__1___1[Date]=$A4)*
              (All_India_Index_Upto_April23__1___1[Sector]="Rural+Urban"),0)),
    INDEX(All_India_Index_Upto_April23__1___1[Transport and communication],
      MATCH(1,(All_India_Index_Upto_April23__1___1[Date]=$A4)*
              (All_India_Index_Upto_April23__1___1[Sector]="Rural+Urban"),0)),
    INDEX(All_India_Index_Upto_April23__1___1[Recreation and amusement],
      MATCH(1,(All_India_Index_Upto_April23__1___1[Date]=$A4)*
              (All_India_Index_Upto_April23__1___1[Sector]="Rural+Urban"),0)),
    INDEX(All_India_Index_Upto_April23__1___1[Education],
      MATCH(1,(All_India_Index_Upto_April23__1___1[Date]=$A4)*
              (All_India_Index_Upto_April23__1___1[Sector]="Rural+Urban"),0)),
    INDEX(All_India_Index_Upto_April23__1___1[Personal care and effects],
      MATCH(1,(All_India_Index_Upto_April23__1___1[Date]=$A4)*
              (All_India_Index_Upto_April23__1___1[Sector]="Rural+Urban"),0)),
    INDEX(All_India_Index_Upto_April23__1___1[Miscellaneous],
      MATCH(1,(All_India_Index_Upto_April23__1___1[Date]=$A4)*
              (All_India_Index_Upto_April23__1___1[Sector]="Rural+Urban"),0))
  ),
"")</f>
        <v>130.04166666666666</v>
      </c>
      <c r="Z4" s="2" cm="1">
        <f t="array" ref="Z4">IFERROR(
  AVERAGE(
    INDEX(All_India_Index_Upto_April23__1___1[Pan, tobacco and intoxicants],
      MATCH(1,(All_India_Index_Upto_April23__1___1[Date]=EDATE($A4,-12))*
              (All_India_Index_Upto_April23__1___1[Sector]="Rural+Urban"),0)),
    INDEX(All_India_Index_Upto_April23__1___1[Clothing],
      MATCH(1,(All_India_Index_Upto_April23__1___1[Date]=EDATE($A4,-12))*
              (All_India_Index_Upto_April23__1___1[Sector]="Rural+Urban"),0)),
    INDEX(All_India_Index_Upto_April23__1___1[Footwear],
      MATCH(1,(All_India_Index_Upto_April23__1___1[Date]=EDATE($A4,-12))*
              (All_India_Index_Upto_April23__1___1[Sector]="Rural+Urban"),0)),
    INDEX(All_India_Index_Upto_April23__1___1[Clothing and footwear],
      MATCH(1,(All_India_Index_Upto_April23__1___1[Date]=EDATE($A4,-12))*
              (All_India_Index_Upto_April23__1___1[Sector]="Rural+Urban"),0)),
    INDEX(All_India_Index_Upto_April23__1___1[Housing],
      MATCH(1,(All_India_Index_Upto_April23__1___1[Date]=EDATE($A4,-12))*
              (All_India_Index_Upto_April23__1___1[Sector]="Rural+Urban"),0)),
    INDEX(All_India_Index_Upto_April23__1___1[Fuel and light],
      MATCH(1,(All_India_Index_Upto_April23__1___1[Date]=EDATE($A4,-12))*
              (All_India_Index_Upto_April23__1___1[Sector]="Rural+Urban"),0)),
    INDEX(All_India_Index_Upto_April23__1___1[Household goods and services],
      MATCH(1,(All_India_Index_Upto_April23__1___1[Date]=EDATE($A4,-12))*
              (All_India_Index_Upto_April23__1___1[Sector]="Rural+Urban"),0)),
    INDEX(All_India_Index_Upto_April23__1___1[Health],
      MATCH(1,(All_India_Index_Upto_April23__1___1[Date]=EDATE($A4,-12))*
              (All_India_Index_Upto_April23__1___1[Sector]="Rural+Urban"),0)),
    INDEX(All_India_Index_Upto_April23__1___1[Transport and communication],
      MATCH(1,(All_India_Index_Upto_April23__1___1[Date]=EDATE($A4,-12))*
              (All_India_Index_Upto_April23__1___1[Sector]="Rural+Urban"),0)),
    INDEX(All_India_Index_Upto_April23__1___1[Recreation and amusement],
      MATCH(1,(All_India_Index_Upto_April23__1___1[Date]=EDATE($A4,-12))*
              (All_India_Index_Upto_April23__1___1[Sector]="Rural+Urban"),0)),
    INDEX(All_India_Index_Upto_April23__1___1[Education],
      MATCH(1,(All_India_Index_Upto_April23__1___1[Date]=EDATE($A4,-12))*
              (All_India_Index_Upto_April23__1___1[Sector]="Rural+Urban"),0)),
    INDEX(All_India_Index_Upto_April23__1___1[Personal care and effects],
      MATCH(1,(All_India_Index_Upto_April23__1___1[Date]=EDATE($A4,-12))*
              (All_India_Index_Upto_April23__1___1[Sector]="Rural+Urban"),0)),
    INDEX(All_India_Index_Upto_April23__1___1[Miscellaneous],
      MATCH(1,(All_India_Index_Upto_April23__1___1[Date]=EDATE($A4,-12))*
              (All_India_Index_Upto_April23__1___1[Sector]="Rural+Urban"),0))
  ),
"")</f>
        <v>124.14999999999999</v>
      </c>
      <c r="AA4" s="8">
        <f t="shared" si="6"/>
        <v>4.745603436702913E-2</v>
      </c>
      <c r="AB4" t="str">
        <f t="shared" si="7"/>
        <v>Pre-COVID</v>
      </c>
      <c r="AD4" s="4" t="s">
        <v>23</v>
      </c>
      <c r="AE4" s="86">
        <v>5.8000000000000003E-2</v>
      </c>
      <c r="AF4" s="86">
        <v>6.4000000000000001E-2</v>
      </c>
    </row>
    <row r="5" spans="1:32" x14ac:dyDescent="0.2">
      <c r="A5" s="22">
        <v>42826</v>
      </c>
      <c r="B5">
        <v>2017</v>
      </c>
      <c r="C5" t="s">
        <v>38</v>
      </c>
      <c r="D5" s="2" cm="1">
        <f t="array" ref="D5">IFERROR(
  INDEX(
    All_India_Index_Upto_April23__1___1[General index],
    MATCH(
      1,
      (All_India_Index_Upto_April23__1___1[Sector]="Rural+Urban") *
      (All_India_Index_Upto_April23__1___1[Date]=A5),
      0
    )
  ),
"")</f>
        <v>131.1</v>
      </c>
      <c r="E5" s="2" cm="1">
        <f t="array" ref="E5">IFERROR(
  INDEX(
    All_India_Index_Upto_April23__1___1[General index],
    MATCH(
      1,
      (All_India_Index_Upto_April23__1___1[Sector]="Rural+Urban") *
      (All_India_Index_Upto_April23__1___1[Date]=EDATE(A5,-12)),
      0
    )
  ),
"")</f>
        <v>127.3</v>
      </c>
      <c r="F5" s="8">
        <f t="shared" si="0"/>
        <v>2.9850746268656803E-2</v>
      </c>
      <c r="G5" t="str">
        <f t="shared" si="1"/>
        <v>Pre-COVID</v>
      </c>
      <c r="I5" s="45" t="s">
        <v>355</v>
      </c>
      <c r="J5" s="45" t="s">
        <v>363</v>
      </c>
      <c r="L5" s="45" t="s">
        <v>355</v>
      </c>
      <c r="M5" s="45" t="s">
        <v>370</v>
      </c>
      <c r="O5" s="2" cm="1">
        <f t="array" ref="O5">IFERROR(
  AVERAGE(
    INDEX(All_India_Index_Upto_April23__1___1[Cereals and products],
      MATCH(1,(All_India_Index_Upto_April23__1___1[Date]=$A5)*
              (All_India_Index_Upto_April23__1___1[Sector]="Rural+Urban"),0)),
    INDEX(All_India_Index_Upto_April23__1___1[Meat and fish],
      MATCH(1,(All_India_Index_Upto_April23__1___1[Date]=$A5)*
              (All_India_Index_Upto_April23__1___1[Sector]="Rural+Urban"),0)),
    INDEX(All_India_Index_Upto_April23__1___1[Egg],
      MATCH(1,(All_India_Index_Upto_April23__1___1[Date]=$A5)*
              (All_India_Index_Upto_April23__1___1[Sector]="Rural+Urban"),0)),
    INDEX(All_India_Index_Upto_April23__1___1[Milk and products],
      MATCH(1,(All_India_Index_Upto_April23__1___1[Date]=$A5)*
              (All_India_Index_Upto_April23__1___1[Sector]="Rural+Urban"),0)),
    INDEX(All_India_Index_Upto_April23__1___1[Oils and fats],
      MATCH(1,(All_India_Index_Upto_April23__1___1[Date]=$A5)*
              (All_India_Index_Upto_April23__1___1[Sector]="Rural+Urban"),0)),
    INDEX(All_India_Index_Upto_April23__1___1[Fruits],
      MATCH(1,(All_India_Index_Upto_April23__1___1[Date]=$A5)*
              (All_India_Index_Upto_April23__1___1[Sector]="Rural+Urban"),0)),
    INDEX(All_India_Index_Upto_April23__1___1[Vegetables],
      MATCH(1,(All_India_Index_Upto_April23__1___1[Date]=$A5)*
              (All_India_Index_Upto_April23__1___1[Sector]="Rural+Urban"),0)),
    INDEX(All_India_Index_Upto_April23__1___1[Pulses and products],
      MATCH(1,(All_India_Index_Upto_April23__1___1[Date]=$A5)*
              (All_India_Index_Upto_April23__1___1[Sector]="Rural+Urban"),0)),
    INDEX(All_India_Index_Upto_April23__1___1[Sugar and Confectionery],
      MATCH(1,(All_India_Index_Upto_April23__1___1[Date]=$A5)*
              (All_India_Index_Upto_April23__1___1[Sector]="Rural+Urban"),0)),
    INDEX(All_India_Index_Upto_April23__1___1[Spices],
      MATCH(1,(All_India_Index_Upto_April23__1___1[Date]=$A5)*
              (All_India_Index_Upto_April23__1___1[Sector]="Rural+Urban"),0)),
    INDEX(All_India_Index_Upto_April23__1___1[Non-alcoholic beverages],
      MATCH(1,(All_India_Index_Upto_April23__1___1[Date]=$A5)*
              (All_India_Index_Upto_April23__1___1[Sector]="Rural+Urban"),0)),
    INDEX(All_India_Index_Upto_April23__1___1[Prepared meals, snacks, sweets etc.],
      MATCH(1,(All_India_Index_Upto_April23__1___1[Date]=$A5)*
              (All_India_Index_Upto_April23__1___1[Sector]="Rural+Urban"),0))
  ),
"")</f>
        <v>132.07500000000002</v>
      </c>
      <c r="P5" s="2" cm="1">
        <f t="array" ref="P5">IFERROR(
  AVERAGE(
    INDEX(All_India_Index_Upto_April23__1___1[Cereals and products],
      MATCH(1,(All_India_Index_Upto_April23__1___1[Date]=EDATE($A5,-12))*
              (All_India_Index_Upto_April23__1___1[Sector]="Rural+Urban"),0)),
    INDEX(All_India_Index_Upto_April23__1___1[Meat and fish],
      MATCH(1,(All_India_Index_Upto_April23__1___1[Date]=EDATE($A5,-12))*
              (All_India_Index_Upto_April23__1___1[Sector]="Rural+Urban"),0)),
    INDEX(All_India_Index_Upto_April23__1___1[Egg],
      MATCH(1,(All_India_Index_Upto_April23__1___1[Date]=EDATE($A5,-12))*
              (All_India_Index_Upto_April23__1___1[Sector]="Rural+Urban"),0)),
    INDEX(All_India_Index_Upto_April23__1___1[Milk and products],
      MATCH(1,(All_India_Index_Upto_April23__1___1[Date]=EDATE($A5,-12))*
              (All_India_Index_Upto_April23__1___1[Sector]="Rural+Urban"),0)),
    INDEX(All_India_Index_Upto_April23__1___1[Oils and fats],
      MATCH(1,(All_India_Index_Upto_April23__1___1[Date]=EDATE($A5,-12))*
              (All_India_Index_Upto_April23__1___1[Sector]="Rural+Urban"),0)),
    INDEX(All_India_Index_Upto_April23__1___1[Fruits],
      MATCH(1,(All_India_Index_Upto_April23__1___1[Date]=EDATE($A5,-12))*
              (All_India_Index_Upto_April23__1___1[Sector]="Rural+Urban"),0)),
    INDEX(All_India_Index_Upto_April23__1___1[Vegetables],
      MATCH(1,(All_India_Index_Upto_April23__1___1[Date]=EDATE($A5,-12))*
              (All_India_Index_Upto_April23__1___1[Sector]="Rural+Urban"),0)),
    INDEX(All_India_Index_Upto_April23__1___1[Pulses and products],
      MATCH(1,(All_India_Index_Upto_April23__1___1[Date]=EDATE($A5,-12))*
              (All_India_Index_Upto_April23__1___1[Sector]="Rural+Urban"),0)),
    INDEX(All_India_Index_Upto_April23__1___1[Sugar and Confectionery],
      MATCH(1,(All_India_Index_Upto_April23__1___1[Date]=EDATE($A5,-12))*
              (All_India_Index_Upto_April23__1___1[Sector]="Rural+Urban"),0)),
    INDEX(All_India_Index_Upto_April23__1___1[Spices],
      MATCH(1,(All_India_Index_Upto_April23__1___1[Date]=EDATE($A5,-12))*
              (All_India_Index_Upto_April23__1___1[Sector]="Rural+Urban"),0)),
    INDEX(All_India_Index_Upto_April23__1___1[Non-alcoholic beverages],
      MATCH(1,(All_India_Index_Upto_April23__1___1[Date]=EDATE($A5,-12))*
              (All_India_Index_Upto_April23__1___1[Sector]="Rural+Urban"),0)),
    INDEX(All_India_Index_Upto_April23__1___1[Prepared meals, snacks, sweets etc.],
      MATCH(1,(All_India_Index_Upto_April23__1___1[Date]=EDATE($A5,-12))*
              (All_India_Index_Upto_April23__1___1[Sector]="Rural+Urban"),0))
  ),
"")</f>
        <v>130.79166666666666</v>
      </c>
      <c r="Q5" s="8">
        <f t="shared" si="2"/>
        <v>9.8120420516089966E-3</v>
      </c>
      <c r="R5" t="str">
        <f t="shared" si="3"/>
        <v>Pre-COVID</v>
      </c>
      <c r="T5" s="2" cm="1">
        <f t="array" ref="T5">IFERROR(
  INDEX(
    All_India_Index_Upto_April23__1___1[Health],
    MATCH(
      1,
      (All_India_Index_Upto_April23__1___1[Date]=$A5) *
      (All_India_Index_Upto_April23__1___1[Sector]="Rural+Urban"),
      0
    )
  ),
"")</f>
        <v>128.1</v>
      </c>
      <c r="U5" s="2" cm="1">
        <f t="array" ref="U5">IFERROR(
  INDEX(
    All_India_Index_Upto_April23__1___1[Health],
    MATCH(
      1,
      (All_India_Index_Upto_April23__1___1[Date]=EDATE($A5,-12)) *
      (All_India_Index_Upto_April23__1___1[Sector]="Rural+Urban"),
      0
    )
  ),
"")</f>
        <v>123.2</v>
      </c>
      <c r="V5" s="8">
        <f t="shared" si="4"/>
        <v>3.9772727272727203E-2</v>
      </c>
      <c r="W5" t="str">
        <f t="shared" si="5"/>
        <v>Pre-COVID</v>
      </c>
      <c r="Y5" s="2" cm="1">
        <f t="array" ref="Y5">IFERROR(
  AVERAGE(
    INDEX(All_India_Index_Upto_April23__1___1[Pan, tobacco and intoxicants],
      MATCH(1,(All_India_Index_Upto_April23__1___1[Date]=$A5)*
              (All_India_Index_Upto_April23__1___1[Sector]="Rural+Urban"),0)),
    INDEX(All_India_Index_Upto_April23__1___1[Clothing],
      MATCH(1,(All_India_Index_Upto_April23__1___1[Date]=$A5)*
              (All_India_Index_Upto_April23__1___1[Sector]="Rural+Urban"),0)),
    INDEX(All_India_Index_Upto_April23__1___1[Footwear],
      MATCH(1,(All_India_Index_Upto_April23__1___1[Date]=$A5)*
              (All_India_Index_Upto_April23__1___1[Sector]="Rural+Urban"),0)),
    INDEX(All_India_Index_Upto_April23__1___1[Clothing and footwear],
      MATCH(1,(All_India_Index_Upto_April23__1___1[Date]=$A5)*
              (All_India_Index_Upto_April23__1___1[Sector]="Rural+Urban"),0)),
    INDEX(All_India_Index_Upto_April23__1___1[Housing],
      MATCH(1,(All_India_Index_Upto_April23__1___1[Date]=$A5)*
              (All_India_Index_Upto_April23__1___1[Sector]="Rural+Urban"),0)),
    INDEX(All_India_Index_Upto_April23__1___1[Fuel and light],
      MATCH(1,(All_India_Index_Upto_April23__1___1[Date]=$A5)*
              (All_India_Index_Upto_April23__1___1[Sector]="Rural+Urban"),0)),
    INDEX(All_India_Index_Upto_April23__1___1[Household goods and services],
      MATCH(1,(All_India_Index_Upto_April23__1___1[Date]=$A5)*
              (All_India_Index_Upto_April23__1___1[Sector]="Rural+Urban"),0)),
    INDEX(All_India_Index_Upto_April23__1___1[Health],
      MATCH(1,(All_India_Index_Upto_April23__1___1[Date]=$A5)*
              (All_India_Index_Upto_April23__1___1[Sector]="Rural+Urban"),0)),
    INDEX(All_India_Index_Upto_April23__1___1[Transport and communication],
      MATCH(1,(All_India_Index_Upto_April23__1___1[Date]=$A5)*
              (All_India_Index_Upto_April23__1___1[Sector]="Rural+Urban"),0)),
    INDEX(All_India_Index_Upto_April23__1___1[Recreation and amusement],
      MATCH(1,(All_India_Index_Upto_April23__1___1[Date]=$A5)*
              (All_India_Index_Upto_April23__1___1[Sector]="Rural+Urban"),0)),
    INDEX(All_India_Index_Upto_April23__1___1[Education],
      MATCH(1,(All_India_Index_Upto_April23__1___1[Date]=$A5)*
              (All_India_Index_Upto_April23__1___1[Sector]="Rural+Urban"),0)),
    INDEX(All_India_Index_Upto_April23__1___1[Personal care and effects],
      MATCH(1,(All_India_Index_Upto_April23__1___1[Date]=$A5)*
              (All_India_Index_Upto_April23__1___1[Sector]="Rural+Urban"),0)),
    INDEX(All_India_Index_Upto_April23__1___1[Miscellaneous],
      MATCH(1,(All_India_Index_Upto_April23__1___1[Date]=$A5)*
              (All_India_Index_Upto_April23__1___1[Sector]="Rural+Urban"),0))
  ),
"")</f>
        <v>130.34999999999997</v>
      </c>
      <c r="Z5" s="2" cm="1">
        <f t="array" ref="Z5">IFERROR(
  AVERAGE(
    INDEX(All_India_Index_Upto_April23__1___1[Pan, tobacco and intoxicants],
      MATCH(1,(All_India_Index_Upto_April23__1___1[Date]=EDATE($A5,-12))*
              (All_India_Index_Upto_April23__1___1[Sector]="Rural+Urban"),0)),
    INDEX(All_India_Index_Upto_April23__1___1[Clothing],
      MATCH(1,(All_India_Index_Upto_April23__1___1[Date]=EDATE($A5,-12))*
              (All_India_Index_Upto_April23__1___1[Sector]="Rural+Urban"),0)),
    INDEX(All_India_Index_Upto_April23__1___1[Footwear],
      MATCH(1,(All_India_Index_Upto_April23__1___1[Date]=EDATE($A5,-12))*
              (All_India_Index_Upto_April23__1___1[Sector]="Rural+Urban"),0)),
    INDEX(All_India_Index_Upto_April23__1___1[Clothing and footwear],
      MATCH(1,(All_India_Index_Upto_April23__1___1[Date]=EDATE($A5,-12))*
              (All_India_Index_Upto_April23__1___1[Sector]="Rural+Urban"),0)),
    INDEX(All_India_Index_Upto_April23__1___1[Housing],
      MATCH(1,(All_India_Index_Upto_April23__1___1[Date]=EDATE($A5,-12))*
              (All_India_Index_Upto_April23__1___1[Sector]="Rural+Urban"),0)),
    INDEX(All_India_Index_Upto_April23__1___1[Fuel and light],
      MATCH(1,(All_India_Index_Upto_April23__1___1[Date]=EDATE($A5,-12))*
              (All_India_Index_Upto_April23__1___1[Sector]="Rural+Urban"),0)),
    INDEX(All_India_Index_Upto_April23__1___1[Household goods and services],
      MATCH(1,(All_India_Index_Upto_April23__1___1[Date]=EDATE($A5,-12))*
              (All_India_Index_Upto_April23__1___1[Sector]="Rural+Urban"),0)),
    INDEX(All_India_Index_Upto_April23__1___1[Health],
      MATCH(1,(All_India_Index_Upto_April23__1___1[Date]=EDATE($A5,-12))*
              (All_India_Index_Upto_April23__1___1[Sector]="Rural+Urban"),0)),
    INDEX(All_India_Index_Upto_April23__1___1[Transport and communication],
      MATCH(1,(All_India_Index_Upto_April23__1___1[Date]=EDATE($A5,-12))*
              (All_India_Index_Upto_April23__1___1[Sector]="Rural+Urban"),0)),
    INDEX(All_India_Index_Upto_April23__1___1[Recreation and amusement],
      MATCH(1,(All_India_Index_Upto_April23__1___1[Date]=EDATE($A5,-12))*
              (All_India_Index_Upto_April23__1___1[Sector]="Rural+Urban"),0)),
    INDEX(All_India_Index_Upto_April23__1___1[Education],
      MATCH(1,(All_India_Index_Upto_April23__1___1[Date]=EDATE($A5,-12))*
              (All_India_Index_Upto_April23__1___1[Sector]="Rural+Urban"),0)),
    INDEX(All_India_Index_Upto_April23__1___1[Personal care and effects],
      MATCH(1,(All_India_Index_Upto_April23__1___1[Date]=EDATE($A5,-12))*
              (All_India_Index_Upto_April23__1___1[Sector]="Rural+Urban"),0)),
    INDEX(All_India_Index_Upto_April23__1___1[Miscellaneous],
      MATCH(1,(All_India_Index_Upto_April23__1___1[Date]=EDATE($A5,-12))*
              (All_India_Index_Upto_April23__1___1[Sector]="Rural+Urban"),0))
  ),
"")</f>
        <v>124.69166666666666</v>
      </c>
      <c r="AA5" s="8">
        <f t="shared" si="6"/>
        <v>4.5378600548018205E-2</v>
      </c>
      <c r="AB5" t="str">
        <f t="shared" si="7"/>
        <v>Pre-COVID</v>
      </c>
      <c r="AD5" s="4" t="s">
        <v>366</v>
      </c>
      <c r="AE5" s="86">
        <v>4.4999999999999998E-2</v>
      </c>
      <c r="AF5" s="86">
        <v>6.0999999999999999E-2</v>
      </c>
    </row>
    <row r="6" spans="1:32" x14ac:dyDescent="0.2">
      <c r="A6" s="22">
        <v>42856</v>
      </c>
      <c r="B6">
        <v>2017</v>
      </c>
      <c r="C6" t="s">
        <v>40</v>
      </c>
      <c r="D6" s="2" cm="1">
        <f t="array" ref="D6">IFERROR(
  INDEX(
    All_India_Index_Upto_April23__1___1[General index],
    MATCH(
      1,
      (All_India_Index_Upto_April23__1___1[Sector]="Rural+Urban") *
      (All_India_Index_Upto_April23__1___1[Date]=A6),
      0
    )
  ),
"")</f>
        <v>131.4</v>
      </c>
      <c r="E6" s="2" cm="1">
        <f t="array" ref="E6">IFERROR(
  INDEX(
    All_India_Index_Upto_April23__1___1[General index],
    MATCH(
      1,
      (All_India_Index_Upto_April23__1___1[Sector]="Rural+Urban") *
      (All_India_Index_Upto_April23__1___1[Date]=EDATE(A6,-12)),
      0
    )
  ),
"")</f>
        <v>128.6</v>
      </c>
      <c r="F6" s="8">
        <f t="shared" si="0"/>
        <v>2.1772939346812015E-2</v>
      </c>
      <c r="G6" t="str">
        <f t="shared" si="1"/>
        <v>Pre-COVID</v>
      </c>
      <c r="I6" s="45" t="s">
        <v>353</v>
      </c>
      <c r="J6" s="8">
        <f>AVERAGEIFS(
  V:V,
  W:W,
  "Pre-COVID"
)</f>
        <v>5.7610892132736666E-2</v>
      </c>
      <c r="L6" s="45" t="s">
        <v>353</v>
      </c>
      <c r="M6" s="8">
        <f>AVERAGEIFS(
  AA:AA,
  AB:AB,
  "Pre-COVID"
)</f>
        <v>4.5050195267455864E-2</v>
      </c>
      <c r="O6" s="2" cm="1">
        <f t="array" ref="O6">IFERROR(
  AVERAGE(
    INDEX(All_India_Index_Upto_April23__1___1[Cereals and products],
      MATCH(1,(All_India_Index_Upto_April23__1___1[Date]=$A6)*
              (All_India_Index_Upto_April23__1___1[Sector]="Rural+Urban"),0)),
    INDEX(All_India_Index_Upto_April23__1___1[Meat and fish],
      MATCH(1,(All_India_Index_Upto_April23__1___1[Date]=$A6)*
              (All_India_Index_Upto_April23__1___1[Sector]="Rural+Urban"),0)),
    INDEX(All_India_Index_Upto_April23__1___1[Egg],
      MATCH(1,(All_India_Index_Upto_April23__1___1[Date]=$A6)*
              (All_India_Index_Upto_April23__1___1[Sector]="Rural+Urban"),0)),
    INDEX(All_India_Index_Upto_April23__1___1[Milk and products],
      MATCH(1,(All_India_Index_Upto_April23__1___1[Date]=$A6)*
              (All_India_Index_Upto_April23__1___1[Sector]="Rural+Urban"),0)),
    INDEX(All_India_Index_Upto_April23__1___1[Oils and fats],
      MATCH(1,(All_India_Index_Upto_April23__1___1[Date]=$A6)*
              (All_India_Index_Upto_April23__1___1[Sector]="Rural+Urban"),0)),
    INDEX(All_India_Index_Upto_April23__1___1[Fruits],
      MATCH(1,(All_India_Index_Upto_April23__1___1[Date]=$A6)*
              (All_India_Index_Upto_April23__1___1[Sector]="Rural+Urban"),0)),
    INDEX(All_India_Index_Upto_April23__1___1[Vegetables],
      MATCH(1,(All_India_Index_Upto_April23__1___1[Date]=$A6)*
              (All_India_Index_Upto_April23__1___1[Sector]="Rural+Urban"),0)),
    INDEX(All_India_Index_Upto_April23__1___1[Pulses and products],
      MATCH(1,(All_India_Index_Upto_April23__1___1[Date]=$A6)*
              (All_India_Index_Upto_April23__1___1[Sector]="Rural+Urban"),0)),
    INDEX(All_India_Index_Upto_April23__1___1[Sugar and Confectionery],
      MATCH(1,(All_India_Index_Upto_April23__1___1[Date]=$A6)*
              (All_India_Index_Upto_April23__1___1[Sector]="Rural+Urban"),0)),
    INDEX(All_India_Index_Upto_April23__1___1[Spices],
      MATCH(1,(All_India_Index_Upto_April23__1___1[Date]=$A6)*
              (All_India_Index_Upto_April23__1___1[Sector]="Rural+Urban"),0)),
    INDEX(All_India_Index_Upto_April23__1___1[Non-alcoholic beverages],
      MATCH(1,(All_India_Index_Upto_April23__1___1[Date]=$A6)*
              (All_India_Index_Upto_April23__1___1[Sector]="Rural+Urban"),0)),
    INDEX(All_India_Index_Upto_April23__1___1[Prepared meals, snacks, sweets etc.],
      MATCH(1,(All_India_Index_Upto_April23__1___1[Date]=$A6)*
              (All_India_Index_Upto_April23__1___1[Sector]="Rural+Urban"),0))
  ),
"")</f>
        <v>132.15833333333333</v>
      </c>
      <c r="P6" s="2" cm="1">
        <f t="array" ref="P6">IFERROR(
  AVERAGE(
    INDEX(All_India_Index_Upto_April23__1___1[Cereals and products],
      MATCH(1,(All_India_Index_Upto_April23__1___1[Date]=EDATE($A6,-12))*
              (All_India_Index_Upto_April23__1___1[Sector]="Rural+Urban"),0)),
    INDEX(All_India_Index_Upto_April23__1___1[Meat and fish],
      MATCH(1,(All_India_Index_Upto_April23__1___1[Date]=EDATE($A6,-12))*
              (All_India_Index_Upto_April23__1___1[Sector]="Rural+Urban"),0)),
    INDEX(All_India_Index_Upto_April23__1___1[Egg],
      MATCH(1,(All_India_Index_Upto_April23__1___1[Date]=EDATE($A6,-12))*
              (All_India_Index_Upto_April23__1___1[Sector]="Rural+Urban"),0)),
    INDEX(All_India_Index_Upto_April23__1___1[Milk and products],
      MATCH(1,(All_India_Index_Upto_April23__1___1[Date]=EDATE($A6,-12))*
              (All_India_Index_Upto_April23__1___1[Sector]="Rural+Urban"),0)),
    INDEX(All_India_Index_Upto_April23__1___1[Oils and fats],
      MATCH(1,(All_India_Index_Upto_April23__1___1[Date]=EDATE($A6,-12))*
              (All_India_Index_Upto_April23__1___1[Sector]="Rural+Urban"),0)),
    INDEX(All_India_Index_Upto_April23__1___1[Fruits],
      MATCH(1,(All_India_Index_Upto_April23__1___1[Date]=EDATE($A6,-12))*
              (All_India_Index_Upto_April23__1___1[Sector]="Rural+Urban"),0)),
    INDEX(All_India_Index_Upto_April23__1___1[Vegetables],
      MATCH(1,(All_India_Index_Upto_April23__1___1[Date]=EDATE($A6,-12))*
              (All_India_Index_Upto_April23__1___1[Sector]="Rural+Urban"),0)),
    INDEX(All_India_Index_Upto_April23__1___1[Pulses and products],
      MATCH(1,(All_India_Index_Upto_April23__1___1[Date]=EDATE($A6,-12))*
              (All_India_Index_Upto_April23__1___1[Sector]="Rural+Urban"),0)),
    INDEX(All_India_Index_Upto_April23__1___1[Sugar and Confectionery],
      MATCH(1,(All_India_Index_Upto_April23__1___1[Date]=EDATE($A6,-12))*
              (All_India_Index_Upto_April23__1___1[Sector]="Rural+Urban"),0)),
    INDEX(All_India_Index_Upto_April23__1___1[Spices],
      MATCH(1,(All_India_Index_Upto_April23__1___1[Date]=EDATE($A6,-12))*
              (All_India_Index_Upto_April23__1___1[Sector]="Rural+Urban"),0)),
    INDEX(All_India_Index_Upto_April23__1___1[Non-alcoholic beverages],
      MATCH(1,(All_India_Index_Upto_April23__1___1[Date]=EDATE($A6,-12))*
              (All_India_Index_Upto_April23__1___1[Sector]="Rural+Urban"),0)),
    INDEX(All_India_Index_Upto_April23__1___1[Prepared meals, snacks, sweets etc.],
      MATCH(1,(All_India_Index_Upto_April23__1___1[Date]=EDATE($A6,-12))*
              (All_India_Index_Upto_April23__1___1[Sector]="Rural+Urban"),0))
  ),
"")</f>
        <v>133.03333333333333</v>
      </c>
      <c r="Q6" s="8">
        <f t="shared" si="2"/>
        <v>-6.5772989225757958E-3</v>
      </c>
      <c r="R6" t="str">
        <f t="shared" si="3"/>
        <v>Pre-COVID</v>
      </c>
      <c r="T6" s="2" cm="1">
        <f t="array" ref="T6">IFERROR(
  INDEX(
    All_India_Index_Upto_April23__1___1[Health],
    MATCH(
      1,
      (All_India_Index_Upto_April23__1___1[Date]=$A6) *
      (All_India_Index_Upto_April23__1___1[Sector]="Rural+Urban"),
      0
    )
  ),
"")</f>
        <v>128.4</v>
      </c>
      <c r="U6" s="2" cm="1">
        <f t="array" ref="U6">IFERROR(
  INDEX(
    All_India_Index_Upto_April23__1___1[Health],
    MATCH(
      1,
      (All_India_Index_Upto_April23__1___1[Date]=EDATE($A6,-12)) *
      (All_India_Index_Upto_April23__1___1[Sector]="Rural+Urban"),
      0
    )
  ),
"")</f>
        <v>123.7</v>
      </c>
      <c r="V6" s="8">
        <f t="shared" si="4"/>
        <v>3.7995149555375932E-2</v>
      </c>
      <c r="W6" t="str">
        <f t="shared" si="5"/>
        <v>Pre-COVID</v>
      </c>
      <c r="Y6" s="2" cm="1">
        <f t="array" ref="Y6">IFERROR(
  AVERAGE(
    INDEX(All_India_Index_Upto_April23__1___1[Pan, tobacco and intoxicants],
      MATCH(1,(All_India_Index_Upto_April23__1___1[Date]=$A6)*
              (All_India_Index_Upto_April23__1___1[Sector]="Rural+Urban"),0)),
    INDEX(All_India_Index_Upto_April23__1___1[Clothing],
      MATCH(1,(All_India_Index_Upto_April23__1___1[Date]=$A6)*
              (All_India_Index_Upto_April23__1___1[Sector]="Rural+Urban"),0)),
    INDEX(All_India_Index_Upto_April23__1___1[Footwear],
      MATCH(1,(All_India_Index_Upto_April23__1___1[Date]=$A6)*
              (All_India_Index_Upto_April23__1___1[Sector]="Rural+Urban"),0)),
    INDEX(All_India_Index_Upto_April23__1___1[Clothing and footwear],
      MATCH(1,(All_India_Index_Upto_April23__1___1[Date]=$A6)*
              (All_India_Index_Upto_April23__1___1[Sector]="Rural+Urban"),0)),
    INDEX(All_India_Index_Upto_April23__1___1[Housing],
      MATCH(1,(All_India_Index_Upto_April23__1___1[Date]=$A6)*
              (All_India_Index_Upto_April23__1___1[Sector]="Rural+Urban"),0)),
    INDEX(All_India_Index_Upto_April23__1___1[Fuel and light],
      MATCH(1,(All_India_Index_Upto_April23__1___1[Date]=$A6)*
              (All_India_Index_Upto_April23__1___1[Sector]="Rural+Urban"),0)),
    INDEX(All_India_Index_Upto_April23__1___1[Household goods and services],
      MATCH(1,(All_India_Index_Upto_April23__1___1[Date]=$A6)*
              (All_India_Index_Upto_April23__1___1[Sector]="Rural+Urban"),0)),
    INDEX(All_India_Index_Upto_April23__1___1[Health],
      MATCH(1,(All_India_Index_Upto_April23__1___1[Date]=$A6)*
              (All_India_Index_Upto_April23__1___1[Sector]="Rural+Urban"),0)),
    INDEX(All_India_Index_Upto_April23__1___1[Transport and communication],
      MATCH(1,(All_India_Index_Upto_April23__1___1[Date]=$A6)*
              (All_India_Index_Upto_April23__1___1[Sector]="Rural+Urban"),0)),
    INDEX(All_India_Index_Upto_April23__1___1[Recreation and amusement],
      MATCH(1,(All_India_Index_Upto_April23__1___1[Date]=$A6)*
              (All_India_Index_Upto_April23__1___1[Sector]="Rural+Urban"),0)),
    INDEX(All_India_Index_Upto_April23__1___1[Education],
      MATCH(1,(All_India_Index_Upto_April23__1___1[Date]=$A6)*
              (All_India_Index_Upto_April23__1___1[Sector]="Rural+Urban"),0)),
    INDEX(All_India_Index_Upto_April23__1___1[Personal care and effects],
      MATCH(1,(All_India_Index_Upto_April23__1___1[Date]=$A6)*
              (All_India_Index_Upto_April23__1___1[Sector]="Rural+Urban"),0)),
    INDEX(All_India_Index_Upto_April23__1___1[Miscellaneous],
      MATCH(1,(All_India_Index_Upto_April23__1___1[Date]=$A6)*
              (All_India_Index_Upto_April23__1___1[Sector]="Rural+Urban"),0))
  ),
"")</f>
        <v>130.6</v>
      </c>
      <c r="Z6" s="2" cm="1">
        <f t="array" ref="Z6">IFERROR(
  AVERAGE(
    INDEX(All_India_Index_Upto_April23__1___1[Pan, tobacco and intoxicants],
      MATCH(1,(All_India_Index_Upto_April23__1___1[Date]=EDATE($A6,-12))*
              (All_India_Index_Upto_April23__1___1[Sector]="Rural+Urban"),0)),
    INDEX(All_India_Index_Upto_April23__1___1[Clothing],
      MATCH(1,(All_India_Index_Upto_April23__1___1[Date]=EDATE($A6,-12))*
              (All_India_Index_Upto_April23__1___1[Sector]="Rural+Urban"),0)),
    INDEX(All_India_Index_Upto_April23__1___1[Footwear],
      MATCH(1,(All_India_Index_Upto_April23__1___1[Date]=EDATE($A6,-12))*
              (All_India_Index_Upto_April23__1___1[Sector]="Rural+Urban"),0)),
    INDEX(All_India_Index_Upto_April23__1___1[Clothing and footwear],
      MATCH(1,(All_India_Index_Upto_April23__1___1[Date]=EDATE($A6,-12))*
              (All_India_Index_Upto_April23__1___1[Sector]="Rural+Urban"),0)),
    INDEX(All_India_Index_Upto_April23__1___1[Housing],
      MATCH(1,(All_India_Index_Upto_April23__1___1[Date]=EDATE($A6,-12))*
              (All_India_Index_Upto_April23__1___1[Sector]="Rural+Urban"),0)),
    INDEX(All_India_Index_Upto_April23__1___1[Fuel and light],
      MATCH(1,(All_India_Index_Upto_April23__1___1[Date]=EDATE($A6,-12))*
              (All_India_Index_Upto_April23__1___1[Sector]="Rural+Urban"),0)),
    INDEX(All_India_Index_Upto_April23__1___1[Household goods and services],
      MATCH(1,(All_India_Index_Upto_April23__1___1[Date]=EDATE($A6,-12))*
              (All_India_Index_Upto_April23__1___1[Sector]="Rural+Urban"),0)),
    INDEX(All_India_Index_Upto_April23__1___1[Health],
      MATCH(1,(All_India_Index_Upto_April23__1___1[Date]=EDATE($A6,-12))*
              (All_India_Index_Upto_April23__1___1[Sector]="Rural+Urban"),0)),
    INDEX(All_India_Index_Upto_April23__1___1[Transport and communication],
      MATCH(1,(All_India_Index_Upto_April23__1___1[Date]=EDATE($A6,-12))*
              (All_India_Index_Upto_April23__1___1[Sector]="Rural+Urban"),0)),
    INDEX(All_India_Index_Upto_April23__1___1[Recreation and amusement],
      MATCH(1,(All_India_Index_Upto_April23__1___1[Date]=EDATE($A6,-12))*
              (All_India_Index_Upto_April23__1___1[Sector]="Rural+Urban"),0)),
    INDEX(All_India_Index_Upto_April23__1___1[Education],
      MATCH(1,(All_India_Index_Upto_April23__1___1[Date]=EDATE($A6,-12))*
              (All_India_Index_Upto_April23__1___1[Sector]="Rural+Urban"),0)),
    INDEX(All_India_Index_Upto_April23__1___1[Personal care and effects],
      MATCH(1,(All_India_Index_Upto_April23__1___1[Date]=EDATE($A6,-12))*
              (All_India_Index_Upto_April23__1___1[Sector]="Rural+Urban"),0)),
    INDEX(All_India_Index_Upto_April23__1___1[Miscellaneous],
      MATCH(1,(All_India_Index_Upto_April23__1___1[Date]=EDATE($A6,-12))*
              (All_India_Index_Upto_April23__1___1[Sector]="Rural+Urban"),0))
  ),
"")</f>
        <v>125.26666666666669</v>
      </c>
      <c r="AA6" s="8">
        <f t="shared" si="6"/>
        <v>4.2575838211814522E-2</v>
      </c>
      <c r="AB6" t="str">
        <f t="shared" si="7"/>
        <v>Pre-COVID</v>
      </c>
    </row>
    <row r="7" spans="1:32" x14ac:dyDescent="0.2">
      <c r="A7" s="22">
        <v>42887</v>
      </c>
      <c r="B7">
        <v>2017</v>
      </c>
      <c r="C7" t="s">
        <v>41</v>
      </c>
      <c r="D7" s="2" cm="1">
        <f t="array" ref="D7">IFERROR(
  INDEX(
    All_India_Index_Upto_April23__1___1[General index],
    MATCH(
      1,
      (All_India_Index_Upto_April23__1___1[Sector]="Rural+Urban") *
      (All_India_Index_Upto_April23__1___1[Date]=A7),
      0
    )
  ),
"")</f>
        <v>132</v>
      </c>
      <c r="E7" s="2" cm="1">
        <f t="array" ref="E7">IFERROR(
  INDEX(
    All_India_Index_Upto_April23__1___1[General index],
    MATCH(
      1,
      (All_India_Index_Upto_April23__1___1[Sector]="Rural+Urban") *
      (All_India_Index_Upto_April23__1___1[Date]=EDATE(A7,-12)),
      0
    )
  ),
"")</f>
        <v>130.1</v>
      </c>
      <c r="F7" s="8">
        <f t="shared" si="0"/>
        <v>1.4604150653343639E-2</v>
      </c>
      <c r="G7" t="str">
        <f t="shared" si="1"/>
        <v>Pre-COVID</v>
      </c>
      <c r="I7" s="45" t="s">
        <v>354</v>
      </c>
      <c r="J7" s="8" t="e">
        <f>AVERAGEIFS(
  V:V,
  W:W,
  "COVID"
)</f>
        <v>#N/A</v>
      </c>
      <c r="L7" s="45" t="s">
        <v>354</v>
      </c>
      <c r="M7" s="8" t="e">
        <f>AVERAGEIFS(
  AA:AA,
  AB:AB,
  "COVID"
)</f>
        <v>#N/A</v>
      </c>
      <c r="O7" s="2" cm="1">
        <f t="array" ref="O7">IFERROR(
  AVERAGE(
    INDEX(All_India_Index_Upto_April23__1___1[Cereals and products],
      MATCH(1,(All_India_Index_Upto_April23__1___1[Date]=$A7)*
              (All_India_Index_Upto_April23__1___1[Sector]="Rural+Urban"),0)),
    INDEX(All_India_Index_Upto_April23__1___1[Meat and fish],
      MATCH(1,(All_India_Index_Upto_April23__1___1[Date]=$A7)*
              (All_India_Index_Upto_April23__1___1[Sector]="Rural+Urban"),0)),
    INDEX(All_India_Index_Upto_April23__1___1[Egg],
      MATCH(1,(All_India_Index_Upto_April23__1___1[Date]=$A7)*
              (All_India_Index_Upto_April23__1___1[Sector]="Rural+Urban"),0)),
    INDEX(All_India_Index_Upto_April23__1___1[Milk and products],
      MATCH(1,(All_India_Index_Upto_April23__1___1[Date]=$A7)*
              (All_India_Index_Upto_April23__1___1[Sector]="Rural+Urban"),0)),
    INDEX(All_India_Index_Upto_April23__1___1[Oils and fats],
      MATCH(1,(All_India_Index_Upto_April23__1___1[Date]=$A7)*
              (All_India_Index_Upto_April23__1___1[Sector]="Rural+Urban"),0)),
    INDEX(All_India_Index_Upto_April23__1___1[Fruits],
      MATCH(1,(All_India_Index_Upto_April23__1___1[Date]=$A7)*
              (All_India_Index_Upto_April23__1___1[Sector]="Rural+Urban"),0)),
    INDEX(All_India_Index_Upto_April23__1___1[Vegetables],
      MATCH(1,(All_India_Index_Upto_April23__1___1[Date]=$A7)*
              (All_India_Index_Upto_April23__1___1[Sector]="Rural+Urban"),0)),
    INDEX(All_India_Index_Upto_April23__1___1[Pulses and products],
      MATCH(1,(All_India_Index_Upto_April23__1___1[Date]=$A7)*
              (All_India_Index_Upto_April23__1___1[Sector]="Rural+Urban"),0)),
    INDEX(All_India_Index_Upto_April23__1___1[Sugar and Confectionery],
      MATCH(1,(All_India_Index_Upto_April23__1___1[Date]=$A7)*
              (All_India_Index_Upto_April23__1___1[Sector]="Rural+Urban"),0)),
    INDEX(All_India_Index_Upto_April23__1___1[Spices],
      MATCH(1,(All_India_Index_Upto_April23__1___1[Date]=$A7)*
              (All_India_Index_Upto_April23__1___1[Sector]="Rural+Urban"),0)),
    INDEX(All_India_Index_Upto_April23__1___1[Non-alcoholic beverages],
      MATCH(1,(All_India_Index_Upto_April23__1___1[Date]=$A7)*
              (All_India_Index_Upto_April23__1___1[Sector]="Rural+Urban"),0)),
    INDEX(All_India_Index_Upto_April23__1___1[Prepared meals, snacks, sweets etc.],
      MATCH(1,(All_India_Index_Upto_April23__1___1[Date]=$A7)*
              (All_India_Index_Upto_April23__1___1[Sector]="Rural+Urban"),0))
  ),
"")</f>
        <v>133.29166666666666</v>
      </c>
      <c r="P7" s="2" cm="1">
        <f t="array" ref="P7">IFERROR(
  AVERAGE(
    INDEX(All_India_Index_Upto_April23__1___1[Cereals and products],
      MATCH(1,(All_India_Index_Upto_April23__1___1[Date]=EDATE($A7,-12))*
              (All_India_Index_Upto_April23__1___1[Sector]="Rural+Urban"),0)),
    INDEX(All_India_Index_Upto_April23__1___1[Meat and fish],
      MATCH(1,(All_India_Index_Upto_April23__1___1[Date]=EDATE($A7,-12))*
              (All_India_Index_Upto_April23__1___1[Sector]="Rural+Urban"),0)),
    INDEX(All_India_Index_Upto_April23__1___1[Egg],
      MATCH(1,(All_India_Index_Upto_April23__1___1[Date]=EDATE($A7,-12))*
              (All_India_Index_Upto_April23__1___1[Sector]="Rural+Urban"),0)),
    INDEX(All_India_Index_Upto_April23__1___1[Milk and products],
      MATCH(1,(All_India_Index_Upto_April23__1___1[Date]=EDATE($A7,-12))*
              (All_India_Index_Upto_April23__1___1[Sector]="Rural+Urban"),0)),
    INDEX(All_India_Index_Upto_April23__1___1[Oils and fats],
      MATCH(1,(All_India_Index_Upto_April23__1___1[Date]=EDATE($A7,-12))*
              (All_India_Index_Upto_April23__1___1[Sector]="Rural+Urban"),0)),
    INDEX(All_India_Index_Upto_April23__1___1[Fruits],
      MATCH(1,(All_India_Index_Upto_April23__1___1[Date]=EDATE($A7,-12))*
              (All_India_Index_Upto_April23__1___1[Sector]="Rural+Urban"),0)),
    INDEX(All_India_Index_Upto_April23__1___1[Vegetables],
      MATCH(1,(All_India_Index_Upto_April23__1___1[Date]=EDATE($A7,-12))*
              (All_India_Index_Upto_April23__1___1[Sector]="Rural+Urban"),0)),
    INDEX(All_India_Index_Upto_April23__1___1[Pulses and products],
      MATCH(1,(All_India_Index_Upto_April23__1___1[Date]=EDATE($A7,-12))*
              (All_India_Index_Upto_April23__1___1[Sector]="Rural+Urban"),0)),
    INDEX(All_India_Index_Upto_April23__1___1[Sugar and Confectionery],
      MATCH(1,(All_India_Index_Upto_April23__1___1[Date]=EDATE($A7,-12))*
              (All_India_Index_Upto_April23__1___1[Sector]="Rural+Urban"),0)),
    INDEX(All_India_Index_Upto_April23__1___1[Spices],
      MATCH(1,(All_India_Index_Upto_April23__1___1[Date]=EDATE($A7,-12))*
              (All_India_Index_Upto_April23__1___1[Sector]="Rural+Urban"),0)),
    INDEX(All_India_Index_Upto_April23__1___1[Non-alcoholic beverages],
      MATCH(1,(All_India_Index_Upto_April23__1___1[Date]=EDATE($A7,-12))*
              (All_India_Index_Upto_April23__1___1[Sector]="Rural+Urban"),0)),
    INDEX(All_India_Index_Upto_April23__1___1[Prepared meals, snacks, sweets etc.],
      MATCH(1,(All_India_Index_Upto_April23__1___1[Date]=EDATE($A7,-12))*
              (All_India_Index_Upto_April23__1___1[Sector]="Rural+Urban"),0))
  ),
"")</f>
        <v>135.31666666666666</v>
      </c>
      <c r="Q7" s="8">
        <f t="shared" si="2"/>
        <v>-1.4964897154822064E-2</v>
      </c>
      <c r="R7" t="str">
        <f t="shared" si="3"/>
        <v>Pre-COVID</v>
      </c>
      <c r="T7" s="2" cm="1">
        <f t="array" ref="T7">IFERROR(
  INDEX(
    All_India_Index_Upto_April23__1___1[Health],
    MATCH(
      1,
      (All_India_Index_Upto_April23__1___1[Date]=$A7) *
      (All_India_Index_Upto_April23__1___1[Sector]="Rural+Urban"),
      0
    )
  ),
"")</f>
        <v>128.5</v>
      </c>
      <c r="U7" s="2" cm="1">
        <f t="array" ref="U7">IFERROR(
  INDEX(
    All_India_Index_Upto_April23__1___1[Health],
    MATCH(
      1,
      (All_India_Index_Upto_April23__1___1[Date]=EDATE($A7,-12)) *
      (All_India_Index_Upto_April23__1___1[Sector]="Rural+Urban"),
      0
    )
  ),
"")</f>
        <v>124.1</v>
      </c>
      <c r="V7" s="8">
        <f t="shared" si="4"/>
        <v>3.5455278001611648E-2</v>
      </c>
      <c r="W7" t="str">
        <f t="shared" si="5"/>
        <v>Pre-COVID</v>
      </c>
      <c r="Y7" s="2" cm="1">
        <f t="array" ref="Y7">IFERROR(
  AVERAGE(
    INDEX(All_India_Index_Upto_April23__1___1[Pan, tobacco and intoxicants],
      MATCH(1,(All_India_Index_Upto_April23__1___1[Date]=$A7)*
              (All_India_Index_Upto_April23__1___1[Sector]="Rural+Urban"),0)),
    INDEX(All_India_Index_Upto_April23__1___1[Clothing],
      MATCH(1,(All_India_Index_Upto_April23__1___1[Date]=$A7)*
              (All_India_Index_Upto_April23__1___1[Sector]="Rural+Urban"),0)),
    INDEX(All_India_Index_Upto_April23__1___1[Footwear],
      MATCH(1,(All_India_Index_Upto_April23__1___1[Date]=$A7)*
              (All_India_Index_Upto_April23__1___1[Sector]="Rural+Urban"),0)),
    INDEX(All_India_Index_Upto_April23__1___1[Clothing and footwear],
      MATCH(1,(All_India_Index_Upto_April23__1___1[Date]=$A7)*
              (All_India_Index_Upto_April23__1___1[Sector]="Rural+Urban"),0)),
    INDEX(All_India_Index_Upto_April23__1___1[Housing],
      MATCH(1,(All_India_Index_Upto_April23__1___1[Date]=$A7)*
              (All_India_Index_Upto_April23__1___1[Sector]="Rural+Urban"),0)),
    INDEX(All_India_Index_Upto_April23__1___1[Fuel and light],
      MATCH(1,(All_India_Index_Upto_April23__1___1[Date]=$A7)*
              (All_India_Index_Upto_April23__1___1[Sector]="Rural+Urban"),0)),
    INDEX(All_India_Index_Upto_April23__1___1[Household goods and services],
      MATCH(1,(All_India_Index_Upto_April23__1___1[Date]=$A7)*
              (All_India_Index_Upto_April23__1___1[Sector]="Rural+Urban"),0)),
    INDEX(All_India_Index_Upto_April23__1___1[Health],
      MATCH(1,(All_India_Index_Upto_April23__1___1[Date]=$A7)*
              (All_India_Index_Upto_April23__1___1[Sector]="Rural+Urban"),0)),
    INDEX(All_India_Index_Upto_April23__1___1[Transport and communication],
      MATCH(1,(All_India_Index_Upto_April23__1___1[Date]=$A7)*
              (All_India_Index_Upto_April23__1___1[Sector]="Rural+Urban"),0)),
    INDEX(All_India_Index_Upto_April23__1___1[Recreation and amusement],
      MATCH(1,(All_India_Index_Upto_April23__1___1[Date]=$A7)*
              (All_India_Index_Upto_April23__1___1[Sector]="Rural+Urban"),0)),
    INDEX(All_India_Index_Upto_April23__1___1[Education],
      MATCH(1,(All_India_Index_Upto_April23__1___1[Date]=$A7)*
              (All_India_Index_Upto_April23__1___1[Sector]="Rural+Urban"),0)),
    INDEX(All_India_Index_Upto_April23__1___1[Personal care and effects],
      MATCH(1,(All_India_Index_Upto_April23__1___1[Date]=$A7)*
              (All_India_Index_Upto_April23__1___1[Sector]="Rural+Urban"),0)),
    INDEX(All_India_Index_Upto_April23__1___1[Miscellaneous],
      MATCH(1,(All_India_Index_Upto_April23__1___1[Date]=$A7)*
              (All_India_Index_Upto_April23__1___1[Sector]="Rural+Urban"),0))
  ),
"")</f>
        <v>130.78333333333336</v>
      </c>
      <c r="Z7" s="2" cm="1">
        <f t="array" ref="Z7">IFERROR(
  AVERAGE(
    INDEX(All_India_Index_Upto_April23__1___1[Pan, tobacco and intoxicants],
      MATCH(1,(All_India_Index_Upto_April23__1___1[Date]=EDATE($A7,-12))*
              (All_India_Index_Upto_April23__1___1[Sector]="Rural+Urban"),0)),
    INDEX(All_India_Index_Upto_April23__1___1[Clothing],
      MATCH(1,(All_India_Index_Upto_April23__1___1[Date]=EDATE($A7,-12))*
              (All_India_Index_Upto_April23__1___1[Sector]="Rural+Urban"),0)),
    INDEX(All_India_Index_Upto_April23__1___1[Footwear],
      MATCH(1,(All_India_Index_Upto_April23__1___1[Date]=EDATE($A7,-12))*
              (All_India_Index_Upto_April23__1___1[Sector]="Rural+Urban"),0)),
    INDEX(All_India_Index_Upto_April23__1___1[Clothing and footwear],
      MATCH(1,(All_India_Index_Upto_April23__1___1[Date]=EDATE($A7,-12))*
              (All_India_Index_Upto_April23__1___1[Sector]="Rural+Urban"),0)),
    INDEX(All_India_Index_Upto_April23__1___1[Housing],
      MATCH(1,(All_India_Index_Upto_April23__1___1[Date]=EDATE($A7,-12))*
              (All_India_Index_Upto_April23__1___1[Sector]="Rural+Urban"),0)),
    INDEX(All_India_Index_Upto_April23__1___1[Fuel and light],
      MATCH(1,(All_India_Index_Upto_April23__1___1[Date]=EDATE($A7,-12))*
              (All_India_Index_Upto_April23__1___1[Sector]="Rural+Urban"),0)),
    INDEX(All_India_Index_Upto_April23__1___1[Household goods and services],
      MATCH(1,(All_India_Index_Upto_April23__1___1[Date]=EDATE($A7,-12))*
              (All_India_Index_Upto_April23__1___1[Sector]="Rural+Urban"),0)),
    INDEX(All_India_Index_Upto_April23__1___1[Health],
      MATCH(1,(All_India_Index_Upto_April23__1___1[Date]=EDATE($A7,-12))*
              (All_India_Index_Upto_April23__1___1[Sector]="Rural+Urban"),0)),
    INDEX(All_India_Index_Upto_April23__1___1[Transport and communication],
      MATCH(1,(All_India_Index_Upto_April23__1___1[Date]=EDATE($A7,-12))*
              (All_India_Index_Upto_April23__1___1[Sector]="Rural+Urban"),0)),
    INDEX(All_India_Index_Upto_April23__1___1[Recreation and amusement],
      MATCH(1,(All_India_Index_Upto_April23__1___1[Date]=EDATE($A7,-12))*
              (All_India_Index_Upto_April23__1___1[Sector]="Rural+Urban"),0)),
    INDEX(All_India_Index_Upto_April23__1___1[Education],
      MATCH(1,(All_India_Index_Upto_April23__1___1[Date]=EDATE($A7,-12))*
              (All_India_Index_Upto_April23__1___1[Sector]="Rural+Urban"),0)),
    INDEX(All_India_Index_Upto_April23__1___1[Personal care and effects],
      MATCH(1,(All_India_Index_Upto_April23__1___1[Date]=EDATE($A7,-12))*
              (All_India_Index_Upto_April23__1___1[Sector]="Rural+Urban"),0)),
    INDEX(All_India_Index_Upto_April23__1___1[Miscellaneous],
      MATCH(1,(All_India_Index_Upto_April23__1___1[Date]=EDATE($A7,-12))*
              (All_India_Index_Upto_April23__1___1[Sector]="Rural+Urban"),0))
  ),
"")</f>
        <v>125.92500000000001</v>
      </c>
      <c r="AA7" s="8">
        <f t="shared" si="6"/>
        <v>3.8581166037985691E-2</v>
      </c>
      <c r="AB7" t="str">
        <f t="shared" si="7"/>
        <v>Pre-COVID</v>
      </c>
    </row>
    <row r="8" spans="1:32" x14ac:dyDescent="0.2">
      <c r="A8" s="22">
        <v>42917</v>
      </c>
      <c r="B8">
        <v>2017</v>
      </c>
      <c r="C8" t="s">
        <v>43</v>
      </c>
      <c r="D8" s="2" cm="1">
        <f t="array" ref="D8">IFERROR(
  INDEX(
    All_India_Index_Upto_April23__1___1[General index],
    MATCH(
      1,
      (All_India_Index_Upto_April23__1___1[Sector]="Rural+Urban") *
      (All_India_Index_Upto_April23__1___1[Date]=A8),
      0
    )
  ),
"")</f>
        <v>134.19999999999999</v>
      </c>
      <c r="E8" s="2" cm="1">
        <f t="array" ref="E8">IFERROR(
  INDEX(
    All_India_Index_Upto_April23__1___1[General index],
    MATCH(
      1,
      (All_India_Index_Upto_April23__1___1[Sector]="Rural+Urban") *
      (All_India_Index_Upto_April23__1___1[Date]=EDATE(A8,-12)),
      0
    )
  ),
"")</f>
        <v>131.1</v>
      </c>
      <c r="F8" s="8">
        <f t="shared" si="0"/>
        <v>2.3646071700991644E-2</v>
      </c>
      <c r="G8" t="str">
        <f t="shared" si="1"/>
        <v>Pre-COVID</v>
      </c>
      <c r="O8" s="2" cm="1">
        <f t="array" ref="O8">IFERROR(
  AVERAGE(
    INDEX(All_India_Index_Upto_April23__1___1[Cereals and products],
      MATCH(1,(All_India_Index_Upto_April23__1___1[Date]=$A8)*
              (All_India_Index_Upto_April23__1___1[Sector]="Rural+Urban"),0)),
    INDEX(All_India_Index_Upto_April23__1___1[Meat and fish],
      MATCH(1,(All_India_Index_Upto_April23__1___1[Date]=$A8)*
              (All_India_Index_Upto_April23__1___1[Sector]="Rural+Urban"),0)),
    INDEX(All_India_Index_Upto_April23__1___1[Egg],
      MATCH(1,(All_India_Index_Upto_April23__1___1[Date]=$A8)*
              (All_India_Index_Upto_April23__1___1[Sector]="Rural+Urban"),0)),
    INDEX(All_India_Index_Upto_April23__1___1[Milk and products],
      MATCH(1,(All_India_Index_Upto_April23__1___1[Date]=$A8)*
              (All_India_Index_Upto_April23__1___1[Sector]="Rural+Urban"),0)),
    INDEX(All_India_Index_Upto_April23__1___1[Oils and fats],
      MATCH(1,(All_India_Index_Upto_April23__1___1[Date]=$A8)*
              (All_India_Index_Upto_April23__1___1[Sector]="Rural+Urban"),0)),
    INDEX(All_India_Index_Upto_April23__1___1[Fruits],
      MATCH(1,(All_India_Index_Upto_April23__1___1[Date]=$A8)*
              (All_India_Index_Upto_April23__1___1[Sector]="Rural+Urban"),0)),
    INDEX(All_India_Index_Upto_April23__1___1[Vegetables],
      MATCH(1,(All_India_Index_Upto_April23__1___1[Date]=$A8)*
              (All_India_Index_Upto_April23__1___1[Sector]="Rural+Urban"),0)),
    INDEX(All_India_Index_Upto_April23__1___1[Pulses and products],
      MATCH(1,(All_India_Index_Upto_April23__1___1[Date]=$A8)*
              (All_India_Index_Upto_April23__1___1[Sector]="Rural+Urban"),0)),
    INDEX(All_India_Index_Upto_April23__1___1[Sugar and Confectionery],
      MATCH(1,(All_India_Index_Upto_April23__1___1[Date]=$A8)*
              (All_India_Index_Upto_April23__1___1[Sector]="Rural+Urban"),0)),
    INDEX(All_India_Index_Upto_April23__1___1[Spices],
      MATCH(1,(All_India_Index_Upto_April23__1___1[Date]=$A8)*
              (All_India_Index_Upto_April23__1___1[Sector]="Rural+Urban"),0)),
    INDEX(All_India_Index_Upto_April23__1___1[Non-alcoholic beverages],
      MATCH(1,(All_India_Index_Upto_April23__1___1[Date]=$A8)*
              (All_India_Index_Upto_April23__1___1[Sector]="Rural+Urban"),0)),
    INDEX(All_India_Index_Upto_April23__1___1[Prepared meals, snacks, sweets etc.],
      MATCH(1,(All_India_Index_Upto_April23__1___1[Date]=$A8)*
              (All_India_Index_Upto_April23__1___1[Sector]="Rural+Urban"),0))
  ),
"")</f>
        <v>135.86666666666665</v>
      </c>
      <c r="P8" s="2" cm="1">
        <f t="array" ref="P8">IFERROR(
  AVERAGE(
    INDEX(All_India_Index_Upto_April23__1___1[Cereals and products],
      MATCH(1,(All_India_Index_Upto_April23__1___1[Date]=EDATE($A8,-12))*
              (All_India_Index_Upto_April23__1___1[Sector]="Rural+Urban"),0)),
    INDEX(All_India_Index_Upto_April23__1___1[Meat and fish],
      MATCH(1,(All_India_Index_Upto_April23__1___1[Date]=EDATE($A8,-12))*
              (All_India_Index_Upto_April23__1___1[Sector]="Rural+Urban"),0)),
    INDEX(All_India_Index_Upto_April23__1___1[Egg],
      MATCH(1,(All_India_Index_Upto_April23__1___1[Date]=EDATE($A8,-12))*
              (All_India_Index_Upto_April23__1___1[Sector]="Rural+Urban"),0)),
    INDEX(All_India_Index_Upto_April23__1___1[Milk and products],
      MATCH(1,(All_India_Index_Upto_April23__1___1[Date]=EDATE($A8,-12))*
              (All_India_Index_Upto_April23__1___1[Sector]="Rural+Urban"),0)),
    INDEX(All_India_Index_Upto_April23__1___1[Oils and fats],
      MATCH(1,(All_India_Index_Upto_April23__1___1[Date]=EDATE($A8,-12))*
              (All_India_Index_Upto_April23__1___1[Sector]="Rural+Urban"),0)),
    INDEX(All_India_Index_Upto_April23__1___1[Fruits],
      MATCH(1,(All_India_Index_Upto_April23__1___1[Date]=EDATE($A8,-12))*
              (All_India_Index_Upto_April23__1___1[Sector]="Rural+Urban"),0)),
    INDEX(All_India_Index_Upto_April23__1___1[Vegetables],
      MATCH(1,(All_India_Index_Upto_April23__1___1[Date]=EDATE($A8,-12))*
              (All_India_Index_Upto_April23__1___1[Sector]="Rural+Urban"),0)),
    INDEX(All_India_Index_Upto_April23__1___1[Pulses and products],
      MATCH(1,(All_India_Index_Upto_April23__1___1[Date]=EDATE($A8,-12))*
              (All_India_Index_Upto_April23__1___1[Sector]="Rural+Urban"),0)),
    INDEX(All_India_Index_Upto_April23__1___1[Sugar and Confectionery],
      MATCH(1,(All_India_Index_Upto_April23__1___1[Date]=EDATE($A8,-12))*
              (All_India_Index_Upto_April23__1___1[Sector]="Rural+Urban"),0)),
    INDEX(All_India_Index_Upto_April23__1___1[Spices],
      MATCH(1,(All_India_Index_Upto_April23__1___1[Date]=EDATE($A8,-12))*
              (All_India_Index_Upto_April23__1___1[Sector]="Rural+Urban"),0)),
    INDEX(All_India_Index_Upto_April23__1___1[Non-alcoholic beverages],
      MATCH(1,(All_India_Index_Upto_April23__1___1[Date]=EDATE($A8,-12))*
              (All_India_Index_Upto_April23__1___1[Sector]="Rural+Urban"),0)),
    INDEX(All_India_Index_Upto_April23__1___1[Prepared meals, snacks, sweets etc.],
      MATCH(1,(All_India_Index_Upto_April23__1___1[Date]=EDATE($A8,-12))*
              (All_India_Index_Upto_April23__1___1[Sector]="Rural+Urban"),0))
  ),
"")</f>
        <v>137.09166666666667</v>
      </c>
      <c r="Q8" s="8">
        <f t="shared" si="2"/>
        <v>-8.9356270135555731E-3</v>
      </c>
      <c r="R8" t="str">
        <f t="shared" si="3"/>
        <v>Pre-COVID</v>
      </c>
      <c r="T8" s="2" cm="1">
        <f t="array" ref="T8">IFERROR(
  INDEX(
    All_India_Index_Upto_April23__1___1[Health],
    MATCH(
      1,
      (All_India_Index_Upto_April23__1___1[Date]=$A8) *
      (All_India_Index_Upto_April23__1___1[Sector]="Rural+Urban"),
      0
    )
  ),
"")</f>
        <v>129.4</v>
      </c>
      <c r="U8" s="2" cm="1">
        <f t="array" ref="U8">IFERROR(
  INDEX(
    All_India_Index_Upto_April23__1___1[Health],
    MATCH(
      1,
      (All_India_Index_Upto_April23__1___1[Date]=EDATE($A8,-12)) *
      (All_India_Index_Upto_April23__1___1[Sector]="Rural+Urban"),
      0
    )
  ),
"")</f>
        <v>124.5</v>
      </c>
      <c r="V8" s="8">
        <f t="shared" si="4"/>
        <v>3.9357429718875549E-2</v>
      </c>
      <c r="W8" t="str">
        <f t="shared" si="5"/>
        <v>Pre-COVID</v>
      </c>
      <c r="Y8" s="2" cm="1">
        <f t="array" ref="Y8">IFERROR(
  AVERAGE(
    INDEX(All_India_Index_Upto_April23__1___1[Pan, tobacco and intoxicants],
      MATCH(1,(All_India_Index_Upto_April23__1___1[Date]=$A8)*
              (All_India_Index_Upto_April23__1___1[Sector]="Rural+Urban"),0)),
    INDEX(All_India_Index_Upto_April23__1___1[Clothing],
      MATCH(1,(All_India_Index_Upto_April23__1___1[Date]=$A8)*
              (All_India_Index_Upto_April23__1___1[Sector]="Rural+Urban"),0)),
    INDEX(All_India_Index_Upto_April23__1___1[Footwear],
      MATCH(1,(All_India_Index_Upto_April23__1___1[Date]=$A8)*
              (All_India_Index_Upto_April23__1___1[Sector]="Rural+Urban"),0)),
    INDEX(All_India_Index_Upto_April23__1___1[Clothing and footwear],
      MATCH(1,(All_India_Index_Upto_April23__1___1[Date]=$A8)*
              (All_India_Index_Upto_April23__1___1[Sector]="Rural+Urban"),0)),
    INDEX(All_India_Index_Upto_April23__1___1[Housing],
      MATCH(1,(All_India_Index_Upto_April23__1___1[Date]=$A8)*
              (All_India_Index_Upto_April23__1___1[Sector]="Rural+Urban"),0)),
    INDEX(All_India_Index_Upto_April23__1___1[Fuel and light],
      MATCH(1,(All_India_Index_Upto_April23__1___1[Date]=$A8)*
              (All_India_Index_Upto_April23__1___1[Sector]="Rural+Urban"),0)),
    INDEX(All_India_Index_Upto_April23__1___1[Household goods and services],
      MATCH(1,(All_India_Index_Upto_April23__1___1[Date]=$A8)*
              (All_India_Index_Upto_April23__1___1[Sector]="Rural+Urban"),0)),
    INDEX(All_India_Index_Upto_April23__1___1[Health],
      MATCH(1,(All_India_Index_Upto_April23__1___1[Date]=$A8)*
              (All_India_Index_Upto_April23__1___1[Sector]="Rural+Urban"),0)),
    INDEX(All_India_Index_Upto_April23__1___1[Transport and communication],
      MATCH(1,(All_India_Index_Upto_April23__1___1[Date]=$A8)*
              (All_India_Index_Upto_April23__1___1[Sector]="Rural+Urban"),0)),
    INDEX(All_India_Index_Upto_April23__1___1[Recreation and amusement],
      MATCH(1,(All_India_Index_Upto_April23__1___1[Date]=$A8)*
              (All_India_Index_Upto_April23__1___1[Sector]="Rural+Urban"),0)),
    INDEX(All_India_Index_Upto_April23__1___1[Education],
      MATCH(1,(All_India_Index_Upto_April23__1___1[Date]=$A8)*
              (All_India_Index_Upto_April23__1___1[Sector]="Rural+Urban"),0)),
    INDEX(All_India_Index_Upto_April23__1___1[Personal care and effects],
      MATCH(1,(All_India_Index_Upto_April23__1___1[Date]=$A8)*
              (All_India_Index_Upto_April23__1___1[Sector]="Rural+Urban"),0)),
    INDEX(All_India_Index_Upto_April23__1___1[Miscellaneous],
      MATCH(1,(All_India_Index_Upto_April23__1___1[Date]=$A8)*
              (All_India_Index_Upto_April23__1___1[Sector]="Rural+Urban"),0))
  ),
"")</f>
        <v>131.45833333333331</v>
      </c>
      <c r="Z8" s="2" cm="1">
        <f t="array" ref="Z8">IFERROR(
  AVERAGE(
    INDEX(All_India_Index_Upto_April23__1___1[Pan, tobacco and intoxicants],
      MATCH(1,(All_India_Index_Upto_April23__1___1[Date]=EDATE($A8,-12))*
              (All_India_Index_Upto_April23__1___1[Sector]="Rural+Urban"),0)),
    INDEX(All_India_Index_Upto_April23__1___1[Clothing],
      MATCH(1,(All_India_Index_Upto_April23__1___1[Date]=EDATE($A8,-12))*
              (All_India_Index_Upto_April23__1___1[Sector]="Rural+Urban"),0)),
    INDEX(All_India_Index_Upto_April23__1___1[Footwear],
      MATCH(1,(All_India_Index_Upto_April23__1___1[Date]=EDATE($A8,-12))*
              (All_India_Index_Upto_April23__1___1[Sector]="Rural+Urban"),0)),
    INDEX(All_India_Index_Upto_April23__1___1[Clothing and footwear],
      MATCH(1,(All_India_Index_Upto_April23__1___1[Date]=EDATE($A8,-12))*
              (All_India_Index_Upto_April23__1___1[Sector]="Rural+Urban"),0)),
    INDEX(All_India_Index_Upto_April23__1___1[Housing],
      MATCH(1,(All_India_Index_Upto_April23__1___1[Date]=EDATE($A8,-12))*
              (All_India_Index_Upto_April23__1___1[Sector]="Rural+Urban"),0)),
    INDEX(All_India_Index_Upto_April23__1___1[Fuel and light],
      MATCH(1,(All_India_Index_Upto_April23__1___1[Date]=EDATE($A8,-12))*
              (All_India_Index_Upto_April23__1___1[Sector]="Rural+Urban"),0)),
    INDEX(All_India_Index_Upto_April23__1___1[Household goods and services],
      MATCH(1,(All_India_Index_Upto_April23__1___1[Date]=EDATE($A8,-12))*
              (All_India_Index_Upto_April23__1___1[Sector]="Rural+Urban"),0)),
    INDEX(All_India_Index_Upto_April23__1___1[Health],
      MATCH(1,(All_India_Index_Upto_April23__1___1[Date]=EDATE($A8,-12))*
              (All_India_Index_Upto_April23__1___1[Sector]="Rural+Urban"),0)),
    INDEX(All_India_Index_Upto_April23__1___1[Transport and communication],
      MATCH(1,(All_India_Index_Upto_April23__1___1[Date]=EDATE($A8,-12))*
              (All_India_Index_Upto_April23__1___1[Sector]="Rural+Urban"),0)),
    INDEX(All_India_Index_Upto_April23__1___1[Recreation and amusement],
      MATCH(1,(All_India_Index_Upto_April23__1___1[Date]=EDATE($A8,-12))*
              (All_India_Index_Upto_April23__1___1[Sector]="Rural+Urban"),0)),
    INDEX(All_India_Index_Upto_April23__1___1[Education],
      MATCH(1,(All_India_Index_Upto_April23__1___1[Date]=EDATE($A8,-12))*
              (All_India_Index_Upto_April23__1___1[Sector]="Rural+Urban"),0)),
    INDEX(All_India_Index_Upto_April23__1___1[Personal care and effects],
      MATCH(1,(All_India_Index_Upto_April23__1___1[Date]=EDATE($A8,-12))*
              (All_India_Index_Upto_April23__1___1[Sector]="Rural+Urban"),0)),
    INDEX(All_India_Index_Upto_April23__1___1[Miscellaneous],
      MATCH(1,(All_India_Index_Upto_April23__1___1[Date]=EDATE($A8,-12))*
              (All_India_Index_Upto_April23__1___1[Sector]="Rural+Urban"),0))
  ),
"")</f>
        <v>126.44999999999999</v>
      </c>
      <c r="AA8" s="8">
        <f t="shared" si="6"/>
        <v>3.9607222881244179E-2</v>
      </c>
      <c r="AB8" t="str">
        <f t="shared" si="7"/>
        <v>Pre-COVID</v>
      </c>
    </row>
    <row r="9" spans="1:32" x14ac:dyDescent="0.2">
      <c r="A9" s="22">
        <v>42948</v>
      </c>
      <c r="B9">
        <v>2017</v>
      </c>
      <c r="C9" t="s">
        <v>45</v>
      </c>
      <c r="D9" s="2" cm="1">
        <f t="array" ref="D9">IFERROR(
  INDEX(
    All_India_Index_Upto_April23__1___1[General index],
    MATCH(
      1,
      (All_India_Index_Upto_April23__1___1[Sector]="Rural+Urban") *
      (All_India_Index_Upto_April23__1___1[Date]=A9),
      0
    )
  ),
"")</f>
        <v>135.4</v>
      </c>
      <c r="E9" s="2" cm="1">
        <f t="array" ref="E9">IFERROR(
  INDEX(
    All_India_Index_Upto_April23__1___1[General index],
    MATCH(
      1,
      (All_India_Index_Upto_April23__1___1[Sector]="Rural+Urban") *
      (All_India_Index_Upto_April23__1___1[Date]=EDATE(A9,-12)),
      0
    )
  ),
"")</f>
        <v>131.1</v>
      </c>
      <c r="F9" s="8">
        <f t="shared" si="0"/>
        <v>3.2799389778794819E-2</v>
      </c>
      <c r="G9" t="str">
        <f t="shared" si="1"/>
        <v>Pre-COVID</v>
      </c>
      <c r="O9" s="2" cm="1">
        <f t="array" ref="O9">IFERROR(
  AVERAGE(
    INDEX(All_India_Index_Upto_April23__1___1[Cereals and products],
      MATCH(1,(All_India_Index_Upto_April23__1___1[Date]=$A9)*
              (All_India_Index_Upto_April23__1___1[Sector]="Rural+Urban"),0)),
    INDEX(All_India_Index_Upto_April23__1___1[Meat and fish],
      MATCH(1,(All_India_Index_Upto_April23__1___1[Date]=$A9)*
              (All_India_Index_Upto_April23__1___1[Sector]="Rural+Urban"),0)),
    INDEX(All_India_Index_Upto_April23__1___1[Egg],
      MATCH(1,(All_India_Index_Upto_April23__1___1[Date]=$A9)*
              (All_India_Index_Upto_April23__1___1[Sector]="Rural+Urban"),0)),
    INDEX(All_India_Index_Upto_April23__1___1[Milk and products],
      MATCH(1,(All_India_Index_Upto_April23__1___1[Date]=$A9)*
              (All_India_Index_Upto_April23__1___1[Sector]="Rural+Urban"),0)),
    INDEX(All_India_Index_Upto_April23__1___1[Oils and fats],
      MATCH(1,(All_India_Index_Upto_April23__1___1[Date]=$A9)*
              (All_India_Index_Upto_April23__1___1[Sector]="Rural+Urban"),0)),
    INDEX(All_India_Index_Upto_April23__1___1[Fruits],
      MATCH(1,(All_India_Index_Upto_April23__1___1[Date]=$A9)*
              (All_India_Index_Upto_April23__1___1[Sector]="Rural+Urban"),0)),
    INDEX(All_India_Index_Upto_April23__1___1[Vegetables],
      MATCH(1,(All_India_Index_Upto_April23__1___1[Date]=$A9)*
              (All_India_Index_Upto_April23__1___1[Sector]="Rural+Urban"),0)),
    INDEX(All_India_Index_Upto_April23__1___1[Pulses and products],
      MATCH(1,(All_India_Index_Upto_April23__1___1[Date]=$A9)*
              (All_India_Index_Upto_April23__1___1[Sector]="Rural+Urban"),0)),
    INDEX(All_India_Index_Upto_April23__1___1[Sugar and Confectionery],
      MATCH(1,(All_India_Index_Upto_April23__1___1[Date]=$A9)*
              (All_India_Index_Upto_April23__1___1[Sector]="Rural+Urban"),0)),
    INDEX(All_India_Index_Upto_April23__1___1[Spices],
      MATCH(1,(All_India_Index_Upto_April23__1___1[Date]=$A9)*
              (All_India_Index_Upto_April23__1___1[Sector]="Rural+Urban"),0)),
    INDEX(All_India_Index_Upto_April23__1___1[Non-alcoholic beverages],
      MATCH(1,(All_India_Index_Upto_April23__1___1[Date]=$A9)*
              (All_India_Index_Upto_April23__1___1[Sector]="Rural+Urban"),0)),
    INDEX(All_India_Index_Upto_April23__1___1[Prepared meals, snacks, sweets etc.],
      MATCH(1,(All_India_Index_Upto_April23__1___1[Date]=$A9)*
              (All_India_Index_Upto_April23__1___1[Sector]="Rural+Urban"),0))
  ),
"")</f>
        <v>136.93333333333334</v>
      </c>
      <c r="P9" s="2" cm="1">
        <f t="array" ref="P9">IFERROR(
  AVERAGE(
    INDEX(All_India_Index_Upto_April23__1___1[Cereals and products],
      MATCH(1,(All_India_Index_Upto_April23__1___1[Date]=EDATE($A9,-12))*
              (All_India_Index_Upto_April23__1___1[Sector]="Rural+Urban"),0)),
    INDEX(All_India_Index_Upto_April23__1___1[Meat and fish],
      MATCH(1,(All_India_Index_Upto_April23__1___1[Date]=EDATE($A9,-12))*
              (All_India_Index_Upto_April23__1___1[Sector]="Rural+Urban"),0)),
    INDEX(All_India_Index_Upto_April23__1___1[Egg],
      MATCH(1,(All_India_Index_Upto_April23__1___1[Date]=EDATE($A9,-12))*
              (All_India_Index_Upto_April23__1___1[Sector]="Rural+Urban"),0)),
    INDEX(All_India_Index_Upto_April23__1___1[Milk and products],
      MATCH(1,(All_India_Index_Upto_April23__1___1[Date]=EDATE($A9,-12))*
              (All_India_Index_Upto_April23__1___1[Sector]="Rural+Urban"),0)),
    INDEX(All_India_Index_Upto_April23__1___1[Oils and fats],
      MATCH(1,(All_India_Index_Upto_April23__1___1[Date]=EDATE($A9,-12))*
              (All_India_Index_Upto_April23__1___1[Sector]="Rural+Urban"),0)),
    INDEX(All_India_Index_Upto_April23__1___1[Fruits],
      MATCH(1,(All_India_Index_Upto_April23__1___1[Date]=EDATE($A9,-12))*
              (All_India_Index_Upto_April23__1___1[Sector]="Rural+Urban"),0)),
    INDEX(All_India_Index_Upto_April23__1___1[Vegetables],
      MATCH(1,(All_India_Index_Upto_April23__1___1[Date]=EDATE($A9,-12))*
              (All_India_Index_Upto_April23__1___1[Sector]="Rural+Urban"),0)),
    INDEX(All_India_Index_Upto_April23__1___1[Pulses and products],
      MATCH(1,(All_India_Index_Upto_April23__1___1[Date]=EDATE($A9,-12))*
              (All_India_Index_Upto_April23__1___1[Sector]="Rural+Urban"),0)),
    INDEX(All_India_Index_Upto_April23__1___1[Sugar and Confectionery],
      MATCH(1,(All_India_Index_Upto_April23__1___1[Date]=EDATE($A9,-12))*
              (All_India_Index_Upto_April23__1___1[Sector]="Rural+Urban"),0)),
    INDEX(All_India_Index_Upto_April23__1___1[Spices],
      MATCH(1,(All_India_Index_Upto_April23__1___1[Date]=EDATE($A9,-12))*
              (All_India_Index_Upto_April23__1___1[Sector]="Rural+Urban"),0)),
    INDEX(All_India_Index_Upto_April23__1___1[Non-alcoholic beverages],
      MATCH(1,(All_India_Index_Upto_April23__1___1[Date]=EDATE($A9,-12))*
              (All_India_Index_Upto_April23__1___1[Sector]="Rural+Urban"),0)),
    INDEX(All_India_Index_Upto_April23__1___1[Prepared meals, snacks, sweets etc.],
      MATCH(1,(All_India_Index_Upto_April23__1___1[Date]=EDATE($A9,-12))*
              (All_India_Index_Upto_April23__1___1[Sector]="Rural+Urban"),0))
  ),
"")</f>
        <v>136.66666666666666</v>
      </c>
      <c r="Q9" s="8">
        <f t="shared" si="2"/>
        <v>1.9512195121952191E-3</v>
      </c>
      <c r="R9" t="str">
        <f t="shared" si="3"/>
        <v>Pre-COVID</v>
      </c>
      <c r="T9" s="2" cm="1">
        <f t="array" ref="T9">IFERROR(
  INDEX(
    All_India_Index_Upto_April23__1___1[Health],
    MATCH(
      1,
      (All_India_Index_Upto_April23__1___1[Date]=$A9) *
      (All_India_Index_Upto_April23__1___1[Sector]="Rural+Urban"),
      0
    )
  ),
"")</f>
        <v>130.19999999999999</v>
      </c>
      <c r="U9" s="2" cm="1">
        <f t="array" ref="U9">IFERROR(
  INDEX(
    All_India_Index_Upto_April23__1___1[Health],
    MATCH(
      1,
      (All_India_Index_Upto_April23__1___1[Date]=EDATE($A9,-12)) *
      (All_India_Index_Upto_April23__1___1[Sector]="Rural+Urban"),
      0
    )
  ),
"")</f>
        <v>124.8</v>
      </c>
      <c r="V9" s="8">
        <f t="shared" si="4"/>
        <v>4.3269230769230699E-2</v>
      </c>
      <c r="W9" t="str">
        <f t="shared" si="5"/>
        <v>Pre-COVID</v>
      </c>
      <c r="Y9" s="2" cm="1">
        <f t="array" ref="Y9">IFERROR(
  AVERAGE(
    INDEX(All_India_Index_Upto_April23__1___1[Pan, tobacco and intoxicants],
      MATCH(1,(All_India_Index_Upto_April23__1___1[Date]=$A9)*
              (All_India_Index_Upto_April23__1___1[Sector]="Rural+Urban"),0)),
    INDEX(All_India_Index_Upto_April23__1___1[Clothing],
      MATCH(1,(All_India_Index_Upto_April23__1___1[Date]=$A9)*
              (All_India_Index_Upto_April23__1___1[Sector]="Rural+Urban"),0)),
    INDEX(All_India_Index_Upto_April23__1___1[Footwear],
      MATCH(1,(All_India_Index_Upto_April23__1___1[Date]=$A9)*
              (All_India_Index_Upto_April23__1___1[Sector]="Rural+Urban"),0)),
    INDEX(All_India_Index_Upto_April23__1___1[Clothing and footwear],
      MATCH(1,(All_India_Index_Upto_April23__1___1[Date]=$A9)*
              (All_India_Index_Upto_April23__1___1[Sector]="Rural+Urban"),0)),
    INDEX(All_India_Index_Upto_April23__1___1[Housing],
      MATCH(1,(All_India_Index_Upto_April23__1___1[Date]=$A9)*
              (All_India_Index_Upto_April23__1___1[Sector]="Rural+Urban"),0)),
    INDEX(All_India_Index_Upto_April23__1___1[Fuel and light],
      MATCH(1,(All_India_Index_Upto_April23__1___1[Date]=$A9)*
              (All_India_Index_Upto_April23__1___1[Sector]="Rural+Urban"),0)),
    INDEX(All_India_Index_Upto_April23__1___1[Household goods and services],
      MATCH(1,(All_India_Index_Upto_April23__1___1[Date]=$A9)*
              (All_India_Index_Upto_April23__1___1[Sector]="Rural+Urban"),0)),
    INDEX(All_India_Index_Upto_April23__1___1[Health],
      MATCH(1,(All_India_Index_Upto_April23__1___1[Date]=$A9)*
              (All_India_Index_Upto_April23__1___1[Sector]="Rural+Urban"),0)),
    INDEX(All_India_Index_Upto_April23__1___1[Transport and communication],
      MATCH(1,(All_India_Index_Upto_April23__1___1[Date]=$A9)*
              (All_India_Index_Upto_April23__1___1[Sector]="Rural+Urban"),0)),
    INDEX(All_India_Index_Upto_April23__1___1[Recreation and amusement],
      MATCH(1,(All_India_Index_Upto_April23__1___1[Date]=$A9)*
              (All_India_Index_Upto_April23__1___1[Sector]="Rural+Urban"),0)),
    INDEX(All_India_Index_Upto_April23__1___1[Education],
      MATCH(1,(All_India_Index_Upto_April23__1___1[Date]=$A9)*
              (All_India_Index_Upto_April23__1___1[Sector]="Rural+Urban"),0)),
    INDEX(All_India_Index_Upto_April23__1___1[Personal care and effects],
      MATCH(1,(All_India_Index_Upto_April23__1___1[Date]=$A9)*
              (All_India_Index_Upto_April23__1___1[Sector]="Rural+Urban"),0)),
    INDEX(All_India_Index_Upto_April23__1___1[Miscellaneous],
      MATCH(1,(All_India_Index_Upto_April23__1___1[Date]=$A9)*
              (All_India_Index_Upto_April23__1___1[Sector]="Rural+Urban"),0))
  ),
"")</f>
        <v>132.39166666666665</v>
      </c>
      <c r="Z9" s="2" cm="1">
        <f t="array" ref="Z9">IFERROR(
  AVERAGE(
    INDEX(All_India_Index_Upto_April23__1___1[Pan, tobacco and intoxicants],
      MATCH(1,(All_India_Index_Upto_April23__1___1[Date]=EDATE($A9,-12))*
              (All_India_Index_Upto_April23__1___1[Sector]="Rural+Urban"),0)),
    INDEX(All_India_Index_Upto_April23__1___1[Clothing],
      MATCH(1,(All_India_Index_Upto_April23__1___1[Date]=EDATE($A9,-12))*
              (All_India_Index_Upto_April23__1___1[Sector]="Rural+Urban"),0)),
    INDEX(All_India_Index_Upto_April23__1___1[Footwear],
      MATCH(1,(All_India_Index_Upto_April23__1___1[Date]=EDATE($A9,-12))*
              (All_India_Index_Upto_April23__1___1[Sector]="Rural+Urban"),0)),
    INDEX(All_India_Index_Upto_April23__1___1[Clothing and footwear],
      MATCH(1,(All_India_Index_Upto_April23__1___1[Date]=EDATE($A9,-12))*
              (All_India_Index_Upto_April23__1___1[Sector]="Rural+Urban"),0)),
    INDEX(All_India_Index_Upto_April23__1___1[Housing],
      MATCH(1,(All_India_Index_Upto_April23__1___1[Date]=EDATE($A9,-12))*
              (All_India_Index_Upto_April23__1___1[Sector]="Rural+Urban"),0)),
    INDEX(All_India_Index_Upto_April23__1___1[Fuel and light],
      MATCH(1,(All_India_Index_Upto_April23__1___1[Date]=EDATE($A9,-12))*
              (All_India_Index_Upto_April23__1___1[Sector]="Rural+Urban"),0)),
    INDEX(All_India_Index_Upto_April23__1___1[Household goods and services],
      MATCH(1,(All_India_Index_Upto_April23__1___1[Date]=EDATE($A9,-12))*
              (All_India_Index_Upto_April23__1___1[Sector]="Rural+Urban"),0)),
    INDEX(All_India_Index_Upto_April23__1___1[Health],
      MATCH(1,(All_India_Index_Upto_April23__1___1[Date]=EDATE($A9,-12))*
              (All_India_Index_Upto_April23__1___1[Sector]="Rural+Urban"),0)),
    INDEX(All_India_Index_Upto_April23__1___1[Transport and communication],
      MATCH(1,(All_India_Index_Upto_April23__1___1[Date]=EDATE($A9,-12))*
              (All_India_Index_Upto_April23__1___1[Sector]="Rural+Urban"),0)),
    INDEX(All_India_Index_Upto_April23__1___1[Recreation and amusement],
      MATCH(1,(All_India_Index_Upto_April23__1___1[Date]=EDATE($A9,-12))*
              (All_India_Index_Upto_April23__1___1[Sector]="Rural+Urban"),0)),
    INDEX(All_India_Index_Upto_April23__1___1[Education],
      MATCH(1,(All_India_Index_Upto_April23__1___1[Date]=EDATE($A9,-12))*
              (All_India_Index_Upto_April23__1___1[Sector]="Rural+Urban"),0)),
    INDEX(All_India_Index_Upto_April23__1___1[Personal care and effects],
      MATCH(1,(All_India_Index_Upto_April23__1___1[Date]=EDATE($A9,-12))*
              (All_India_Index_Upto_April23__1___1[Sector]="Rural+Urban"),0)),
    INDEX(All_India_Index_Upto_April23__1___1[Miscellaneous],
      MATCH(1,(All_India_Index_Upto_April23__1___1[Date]=EDATE($A9,-12))*
              (All_India_Index_Upto_April23__1___1[Sector]="Rural+Urban"),0))
  ),
"")</f>
        <v>126.88333333333333</v>
      </c>
      <c r="AA9" s="8">
        <f t="shared" si="6"/>
        <v>4.3412583738342253E-2</v>
      </c>
      <c r="AB9" t="str">
        <f t="shared" si="7"/>
        <v>Pre-COVID</v>
      </c>
    </row>
    <row r="10" spans="1:32" x14ac:dyDescent="0.2">
      <c r="A10" s="22">
        <v>42979</v>
      </c>
      <c r="B10">
        <v>2017</v>
      </c>
      <c r="C10" t="s">
        <v>47</v>
      </c>
      <c r="D10" s="2" cm="1">
        <f t="array" ref="D10">IFERROR(
  INDEX(
    All_India_Index_Upto_April23__1___1[General index],
    MATCH(
      1,
      (All_India_Index_Upto_April23__1___1[Sector]="Rural+Urban") *
      (All_India_Index_Upto_April23__1___1[Date]=A10),
      0
    )
  ),
"")</f>
        <v>135.19999999999999</v>
      </c>
      <c r="E10" s="2" cm="1">
        <f t="array" ref="E10">IFERROR(
  INDEX(
    All_India_Index_Upto_April23__1___1[General index],
    MATCH(
      1,
      (All_India_Index_Upto_April23__1___1[Sector]="Rural+Urban") *
      (All_India_Index_Upto_April23__1___1[Date]=EDATE(A10,-12)),
      0
    )
  ),
"")</f>
        <v>130.9</v>
      </c>
      <c r="F10" s="8">
        <f t="shared" si="0"/>
        <v>3.2849503437738514E-2</v>
      </c>
      <c r="G10" t="str">
        <f t="shared" si="1"/>
        <v>Pre-COVID</v>
      </c>
      <c r="O10" s="2" cm="1">
        <f t="array" ref="O10">IFERROR(
  AVERAGE(
    INDEX(All_India_Index_Upto_April23__1___1[Cereals and products],
      MATCH(1,(All_India_Index_Upto_April23__1___1[Date]=$A10)*
              (All_India_Index_Upto_April23__1___1[Sector]="Rural+Urban"),0)),
    INDEX(All_India_Index_Upto_April23__1___1[Meat and fish],
      MATCH(1,(All_India_Index_Upto_April23__1___1[Date]=$A10)*
              (All_India_Index_Upto_April23__1___1[Sector]="Rural+Urban"),0)),
    INDEX(All_India_Index_Upto_April23__1___1[Egg],
      MATCH(1,(All_India_Index_Upto_April23__1___1[Date]=$A10)*
              (All_India_Index_Upto_April23__1___1[Sector]="Rural+Urban"),0)),
    INDEX(All_India_Index_Upto_April23__1___1[Milk and products],
      MATCH(1,(All_India_Index_Upto_April23__1___1[Date]=$A10)*
              (All_India_Index_Upto_April23__1___1[Sector]="Rural+Urban"),0)),
    INDEX(All_India_Index_Upto_April23__1___1[Oils and fats],
      MATCH(1,(All_India_Index_Upto_April23__1___1[Date]=$A10)*
              (All_India_Index_Upto_April23__1___1[Sector]="Rural+Urban"),0)),
    INDEX(All_India_Index_Upto_April23__1___1[Fruits],
      MATCH(1,(All_India_Index_Upto_April23__1___1[Date]=$A10)*
              (All_India_Index_Upto_April23__1___1[Sector]="Rural+Urban"),0)),
    INDEX(All_India_Index_Upto_April23__1___1[Vegetables],
      MATCH(1,(All_India_Index_Upto_April23__1___1[Date]=$A10)*
              (All_India_Index_Upto_April23__1___1[Sector]="Rural+Urban"),0)),
    INDEX(All_India_Index_Upto_April23__1___1[Pulses and products],
      MATCH(1,(All_India_Index_Upto_April23__1___1[Date]=$A10)*
              (All_India_Index_Upto_April23__1___1[Sector]="Rural+Urban"),0)),
    INDEX(All_India_Index_Upto_April23__1___1[Sugar and Confectionery],
      MATCH(1,(All_India_Index_Upto_April23__1___1[Date]=$A10)*
              (All_India_Index_Upto_April23__1___1[Sector]="Rural+Urban"),0)),
    INDEX(All_India_Index_Upto_April23__1___1[Spices],
      MATCH(1,(All_India_Index_Upto_April23__1___1[Date]=$A10)*
              (All_India_Index_Upto_April23__1___1[Sector]="Rural+Urban"),0)),
    INDEX(All_India_Index_Upto_April23__1___1[Non-alcoholic beverages],
      MATCH(1,(All_India_Index_Upto_April23__1___1[Date]=$A10)*
              (All_India_Index_Upto_April23__1___1[Sector]="Rural+Urban"),0)),
    INDEX(All_India_Index_Upto_April23__1___1[Prepared meals, snacks, sweets etc.],
      MATCH(1,(All_India_Index_Upto_April23__1___1[Date]=$A10)*
              (All_India_Index_Upto_April23__1___1[Sector]="Rural+Urban"),0))
  ),
"")</f>
        <v>135.91666666666666</v>
      </c>
      <c r="P10" s="2" cm="1">
        <f t="array" ref="P10">IFERROR(
  AVERAGE(
    INDEX(All_India_Index_Upto_April23__1___1[Cereals and products],
      MATCH(1,(All_India_Index_Upto_April23__1___1[Date]=EDATE($A10,-12))*
              (All_India_Index_Upto_April23__1___1[Sector]="Rural+Urban"),0)),
    INDEX(All_India_Index_Upto_April23__1___1[Meat and fish],
      MATCH(1,(All_India_Index_Upto_April23__1___1[Date]=EDATE($A10,-12))*
              (All_India_Index_Upto_April23__1___1[Sector]="Rural+Urban"),0)),
    INDEX(All_India_Index_Upto_April23__1___1[Egg],
      MATCH(1,(All_India_Index_Upto_April23__1___1[Date]=EDATE($A10,-12))*
              (All_India_Index_Upto_April23__1___1[Sector]="Rural+Urban"),0)),
    INDEX(All_India_Index_Upto_April23__1___1[Milk and products],
      MATCH(1,(All_India_Index_Upto_April23__1___1[Date]=EDATE($A10,-12))*
              (All_India_Index_Upto_April23__1___1[Sector]="Rural+Urban"),0)),
    INDEX(All_India_Index_Upto_April23__1___1[Oils and fats],
      MATCH(1,(All_India_Index_Upto_April23__1___1[Date]=EDATE($A10,-12))*
              (All_India_Index_Upto_April23__1___1[Sector]="Rural+Urban"),0)),
    INDEX(All_India_Index_Upto_April23__1___1[Fruits],
      MATCH(1,(All_India_Index_Upto_April23__1___1[Date]=EDATE($A10,-12))*
              (All_India_Index_Upto_April23__1___1[Sector]="Rural+Urban"),0)),
    INDEX(All_India_Index_Upto_April23__1___1[Vegetables],
      MATCH(1,(All_India_Index_Upto_April23__1___1[Date]=EDATE($A10,-12))*
              (All_India_Index_Upto_April23__1___1[Sector]="Rural+Urban"),0)),
    INDEX(All_India_Index_Upto_April23__1___1[Pulses and products],
      MATCH(1,(All_India_Index_Upto_April23__1___1[Date]=EDATE($A10,-12))*
              (All_India_Index_Upto_April23__1___1[Sector]="Rural+Urban"),0)),
    INDEX(All_India_Index_Upto_April23__1___1[Sugar and Confectionery],
      MATCH(1,(All_India_Index_Upto_April23__1___1[Date]=EDATE($A10,-12))*
              (All_India_Index_Upto_April23__1___1[Sector]="Rural+Urban"),0)),
    INDEX(All_India_Index_Upto_April23__1___1[Spices],
      MATCH(1,(All_India_Index_Upto_April23__1___1[Date]=EDATE($A10,-12))*
              (All_India_Index_Upto_April23__1___1[Sector]="Rural+Urban"),0)),
    INDEX(All_India_Index_Upto_April23__1___1[Non-alcoholic beverages],
      MATCH(1,(All_India_Index_Upto_April23__1___1[Date]=EDATE($A10,-12))*
              (All_India_Index_Upto_April23__1___1[Sector]="Rural+Urban"),0)),
    INDEX(All_India_Index_Upto_April23__1___1[Prepared meals, snacks, sweets etc.],
      MATCH(1,(All_India_Index_Upto_April23__1___1[Date]=EDATE($A10,-12))*
              (All_India_Index_Upto_April23__1___1[Sector]="Rural+Urban"),0))
  ),
"")</f>
        <v>135.59166666666667</v>
      </c>
      <c r="Q10" s="8">
        <f t="shared" si="2"/>
        <v>2.3969024645073217E-3</v>
      </c>
      <c r="R10" t="str">
        <f t="shared" si="3"/>
        <v>Pre-COVID</v>
      </c>
      <c r="T10" s="2" cm="1">
        <f t="array" ref="T10">IFERROR(
  INDEX(
    All_India_Index_Upto_April23__1___1[Health],
    MATCH(
      1,
      (All_India_Index_Upto_April23__1___1[Date]=$A10) *
      (All_India_Index_Upto_April23__1___1[Sector]="Rural+Urban"),
      0
    )
  ),
"")</f>
        <v>130.6</v>
      </c>
      <c r="U10" s="2" cm="1">
        <f t="array" ref="U10">IFERROR(
  INDEX(
    All_India_Index_Upto_April23__1___1[Health],
    MATCH(
      1,
      (All_India_Index_Upto_April23__1___1[Date]=EDATE($A10,-12)) *
      (All_India_Index_Upto_April23__1___1[Sector]="Rural+Urban"),
      0
    )
  ),
"")</f>
        <v>125.4</v>
      </c>
      <c r="V10" s="8">
        <f t="shared" si="4"/>
        <v>4.1467304625199271E-2</v>
      </c>
      <c r="W10" t="str">
        <f t="shared" si="5"/>
        <v>Pre-COVID</v>
      </c>
      <c r="Y10" s="2" cm="1">
        <f t="array" ref="Y10">IFERROR(
  AVERAGE(
    INDEX(All_India_Index_Upto_April23__1___1[Pan, tobacco and intoxicants],
      MATCH(1,(All_India_Index_Upto_April23__1___1[Date]=$A10)*
              (All_India_Index_Upto_April23__1___1[Sector]="Rural+Urban"),0)),
    INDEX(All_India_Index_Upto_April23__1___1[Clothing],
      MATCH(1,(All_India_Index_Upto_April23__1___1[Date]=$A10)*
              (All_India_Index_Upto_April23__1___1[Sector]="Rural+Urban"),0)),
    INDEX(All_India_Index_Upto_April23__1___1[Footwear],
      MATCH(1,(All_India_Index_Upto_April23__1___1[Date]=$A10)*
              (All_India_Index_Upto_April23__1___1[Sector]="Rural+Urban"),0)),
    INDEX(All_India_Index_Upto_April23__1___1[Clothing and footwear],
      MATCH(1,(All_India_Index_Upto_April23__1___1[Date]=$A10)*
              (All_India_Index_Upto_April23__1___1[Sector]="Rural+Urban"),0)),
    INDEX(All_India_Index_Upto_April23__1___1[Housing],
      MATCH(1,(All_India_Index_Upto_April23__1___1[Date]=$A10)*
              (All_India_Index_Upto_April23__1___1[Sector]="Rural+Urban"),0)),
    INDEX(All_India_Index_Upto_April23__1___1[Fuel and light],
      MATCH(1,(All_India_Index_Upto_April23__1___1[Date]=$A10)*
              (All_India_Index_Upto_April23__1___1[Sector]="Rural+Urban"),0)),
    INDEX(All_India_Index_Upto_April23__1___1[Household goods and services],
      MATCH(1,(All_India_Index_Upto_April23__1___1[Date]=$A10)*
              (All_India_Index_Upto_April23__1___1[Sector]="Rural+Urban"),0)),
    INDEX(All_India_Index_Upto_April23__1___1[Health],
      MATCH(1,(All_India_Index_Upto_April23__1___1[Date]=$A10)*
              (All_India_Index_Upto_April23__1___1[Sector]="Rural+Urban"),0)),
    INDEX(All_India_Index_Upto_April23__1___1[Transport and communication],
      MATCH(1,(All_India_Index_Upto_April23__1___1[Date]=$A10)*
              (All_India_Index_Upto_April23__1___1[Sector]="Rural+Urban"),0)),
    INDEX(All_India_Index_Upto_April23__1___1[Recreation and amusement],
      MATCH(1,(All_India_Index_Upto_April23__1___1[Date]=$A10)*
              (All_India_Index_Upto_April23__1___1[Sector]="Rural+Urban"),0)),
    INDEX(All_India_Index_Upto_April23__1___1[Education],
      MATCH(1,(All_India_Index_Upto_April23__1___1[Date]=$A10)*
              (All_India_Index_Upto_April23__1___1[Sector]="Rural+Urban"),0)),
    INDEX(All_India_Index_Upto_April23__1___1[Personal care and effects],
      MATCH(1,(All_India_Index_Upto_April23__1___1[Date]=$A10)*
              (All_India_Index_Upto_April23__1___1[Sector]="Rural+Urban"),0)),
    INDEX(All_India_Index_Upto_April23__1___1[Miscellaneous],
      MATCH(1,(All_India_Index_Upto_April23__1___1[Date]=$A10)*
              (All_India_Index_Upto_April23__1___1[Sector]="Rural+Urban"),0))
  ),
"")</f>
        <v>133.08333333333334</v>
      </c>
      <c r="Z10" s="2" cm="1">
        <f t="array" ref="Z10">IFERROR(
  AVERAGE(
    INDEX(All_India_Index_Upto_April23__1___1[Pan, tobacco and intoxicants],
      MATCH(1,(All_India_Index_Upto_April23__1___1[Date]=EDATE($A10,-12))*
              (All_India_Index_Upto_April23__1___1[Sector]="Rural+Urban"),0)),
    INDEX(All_India_Index_Upto_April23__1___1[Clothing],
      MATCH(1,(All_India_Index_Upto_April23__1___1[Date]=EDATE($A10,-12))*
              (All_India_Index_Upto_April23__1___1[Sector]="Rural+Urban"),0)),
    INDEX(All_India_Index_Upto_April23__1___1[Footwear],
      MATCH(1,(All_India_Index_Upto_April23__1___1[Date]=EDATE($A10,-12))*
              (All_India_Index_Upto_April23__1___1[Sector]="Rural+Urban"),0)),
    INDEX(All_India_Index_Upto_April23__1___1[Clothing and footwear],
      MATCH(1,(All_India_Index_Upto_April23__1___1[Date]=EDATE($A10,-12))*
              (All_India_Index_Upto_April23__1___1[Sector]="Rural+Urban"),0)),
    INDEX(All_India_Index_Upto_April23__1___1[Housing],
      MATCH(1,(All_India_Index_Upto_April23__1___1[Date]=EDATE($A10,-12))*
              (All_India_Index_Upto_April23__1___1[Sector]="Rural+Urban"),0)),
    INDEX(All_India_Index_Upto_April23__1___1[Fuel and light],
      MATCH(1,(All_India_Index_Upto_April23__1___1[Date]=EDATE($A10,-12))*
              (All_India_Index_Upto_April23__1___1[Sector]="Rural+Urban"),0)),
    INDEX(All_India_Index_Upto_April23__1___1[Household goods and services],
      MATCH(1,(All_India_Index_Upto_April23__1___1[Date]=EDATE($A10,-12))*
              (All_India_Index_Upto_April23__1___1[Sector]="Rural+Urban"),0)),
    INDEX(All_India_Index_Upto_April23__1___1[Health],
      MATCH(1,(All_India_Index_Upto_April23__1___1[Date]=EDATE($A10,-12))*
              (All_India_Index_Upto_April23__1___1[Sector]="Rural+Urban"),0)),
    INDEX(All_India_Index_Upto_April23__1___1[Transport and communication],
      MATCH(1,(All_India_Index_Upto_April23__1___1[Date]=EDATE($A10,-12))*
              (All_India_Index_Upto_April23__1___1[Sector]="Rural+Urban"),0)),
    INDEX(All_India_Index_Upto_April23__1___1[Recreation and amusement],
      MATCH(1,(All_India_Index_Upto_April23__1___1[Date]=EDATE($A10,-12))*
              (All_India_Index_Upto_April23__1___1[Sector]="Rural+Urban"),0)),
    INDEX(All_India_Index_Upto_April23__1___1[Education],
      MATCH(1,(All_India_Index_Upto_April23__1___1[Date]=EDATE($A10,-12))*
              (All_India_Index_Upto_April23__1___1[Sector]="Rural+Urban"),0)),
    INDEX(All_India_Index_Upto_April23__1___1[Personal care and effects],
      MATCH(1,(All_India_Index_Upto_April23__1___1[Date]=EDATE($A10,-12))*
              (All_India_Index_Upto_April23__1___1[Sector]="Rural+Urban"),0)),
    INDEX(All_India_Index_Upto_April23__1___1[Miscellaneous],
      MATCH(1,(All_India_Index_Upto_April23__1___1[Date]=EDATE($A10,-12))*
              (All_India_Index_Upto_April23__1___1[Sector]="Rural+Urban"),0))
  ),
"")</f>
        <v>127.44166666666666</v>
      </c>
      <c r="AA10" s="8">
        <f t="shared" si="6"/>
        <v>4.4268619629896137E-2</v>
      </c>
      <c r="AB10" t="str">
        <f t="shared" si="7"/>
        <v>Pre-COVID</v>
      </c>
    </row>
    <row r="11" spans="1:32" x14ac:dyDescent="0.2">
      <c r="A11" s="22">
        <v>43009</v>
      </c>
      <c r="B11">
        <v>2017</v>
      </c>
      <c r="C11" t="s">
        <v>49</v>
      </c>
      <c r="D11" s="2" cm="1">
        <f t="array" ref="D11">IFERROR(
  INDEX(
    All_India_Index_Upto_April23__1___1[General index],
    MATCH(
      1,
      (All_India_Index_Upto_April23__1___1[Sector]="Rural+Urban") *
      (All_India_Index_Upto_April23__1___1[Date]=A11),
      0
    )
  ),
"")</f>
        <v>136.1</v>
      </c>
      <c r="E11" s="2" cm="1">
        <f t="array" ref="E11">IFERROR(
  INDEX(
    All_India_Index_Upto_April23__1___1[General index],
    MATCH(
      1,
      (All_India_Index_Upto_April23__1___1[Sector]="Rural+Urban") *
      (All_India_Index_Upto_April23__1___1[Date]=EDATE(A11,-12)),
      0
    )
  ),
"")</f>
        <v>131.4</v>
      </c>
      <c r="F11" s="8">
        <f t="shared" si="0"/>
        <v>3.5768645357686424E-2</v>
      </c>
      <c r="G11" t="str">
        <f t="shared" si="1"/>
        <v>Pre-COVID</v>
      </c>
      <c r="O11" s="2" cm="1">
        <f t="array" ref="O11">IFERROR(
  AVERAGE(
    INDEX(All_India_Index_Upto_April23__1___1[Cereals and products],
      MATCH(1,(All_India_Index_Upto_April23__1___1[Date]=$A11)*
              (All_India_Index_Upto_April23__1___1[Sector]="Rural+Urban"),0)),
    INDEX(All_India_Index_Upto_April23__1___1[Meat and fish],
      MATCH(1,(All_India_Index_Upto_April23__1___1[Date]=$A11)*
              (All_India_Index_Upto_April23__1___1[Sector]="Rural+Urban"),0)),
    INDEX(All_India_Index_Upto_April23__1___1[Egg],
      MATCH(1,(All_India_Index_Upto_April23__1___1[Date]=$A11)*
              (All_India_Index_Upto_April23__1___1[Sector]="Rural+Urban"),0)),
    INDEX(All_India_Index_Upto_April23__1___1[Milk and products],
      MATCH(1,(All_India_Index_Upto_April23__1___1[Date]=$A11)*
              (All_India_Index_Upto_April23__1___1[Sector]="Rural+Urban"),0)),
    INDEX(All_India_Index_Upto_April23__1___1[Oils and fats],
      MATCH(1,(All_India_Index_Upto_April23__1___1[Date]=$A11)*
              (All_India_Index_Upto_April23__1___1[Sector]="Rural+Urban"),0)),
    INDEX(All_India_Index_Upto_April23__1___1[Fruits],
      MATCH(1,(All_India_Index_Upto_April23__1___1[Date]=$A11)*
              (All_India_Index_Upto_April23__1___1[Sector]="Rural+Urban"),0)),
    INDEX(All_India_Index_Upto_April23__1___1[Vegetables],
      MATCH(1,(All_India_Index_Upto_April23__1___1[Date]=$A11)*
              (All_India_Index_Upto_April23__1___1[Sector]="Rural+Urban"),0)),
    INDEX(All_India_Index_Upto_April23__1___1[Pulses and products],
      MATCH(1,(All_India_Index_Upto_April23__1___1[Date]=$A11)*
              (All_India_Index_Upto_April23__1___1[Sector]="Rural+Urban"),0)),
    INDEX(All_India_Index_Upto_April23__1___1[Sugar and Confectionery],
      MATCH(1,(All_India_Index_Upto_April23__1___1[Date]=$A11)*
              (All_India_Index_Upto_April23__1___1[Sector]="Rural+Urban"),0)),
    INDEX(All_India_Index_Upto_April23__1___1[Spices],
      MATCH(1,(All_India_Index_Upto_April23__1___1[Date]=$A11)*
              (All_India_Index_Upto_April23__1___1[Sector]="Rural+Urban"),0)),
    INDEX(All_India_Index_Upto_April23__1___1[Non-alcoholic beverages],
      MATCH(1,(All_India_Index_Upto_April23__1___1[Date]=$A11)*
              (All_India_Index_Upto_April23__1___1[Sector]="Rural+Urban"),0)),
    INDEX(All_India_Index_Upto_April23__1___1[Prepared meals, snacks, sweets etc.],
      MATCH(1,(All_India_Index_Upto_April23__1___1[Date]=$A11)*
              (All_India_Index_Upto_April23__1___1[Sector]="Rural+Urban"),0))
  ),
"")</f>
        <v>136.63333333333333</v>
      </c>
      <c r="P11" s="2" cm="1">
        <f t="array" ref="P11">IFERROR(
  AVERAGE(
    INDEX(All_India_Index_Upto_April23__1___1[Cereals and products],
      MATCH(1,(All_India_Index_Upto_April23__1___1[Date]=EDATE($A11,-12))*
              (All_India_Index_Upto_April23__1___1[Sector]="Rural+Urban"),0)),
    INDEX(All_India_Index_Upto_April23__1___1[Meat and fish],
      MATCH(1,(All_India_Index_Upto_April23__1___1[Date]=EDATE($A11,-12))*
              (All_India_Index_Upto_April23__1___1[Sector]="Rural+Urban"),0)),
    INDEX(All_India_Index_Upto_April23__1___1[Egg],
      MATCH(1,(All_India_Index_Upto_April23__1___1[Date]=EDATE($A11,-12))*
              (All_India_Index_Upto_April23__1___1[Sector]="Rural+Urban"),0)),
    INDEX(All_India_Index_Upto_April23__1___1[Milk and products],
      MATCH(1,(All_India_Index_Upto_April23__1___1[Date]=EDATE($A11,-12))*
              (All_India_Index_Upto_April23__1___1[Sector]="Rural+Urban"),0)),
    INDEX(All_India_Index_Upto_April23__1___1[Oils and fats],
      MATCH(1,(All_India_Index_Upto_April23__1___1[Date]=EDATE($A11,-12))*
              (All_India_Index_Upto_April23__1___1[Sector]="Rural+Urban"),0)),
    INDEX(All_India_Index_Upto_April23__1___1[Fruits],
      MATCH(1,(All_India_Index_Upto_April23__1___1[Date]=EDATE($A11,-12))*
              (All_India_Index_Upto_April23__1___1[Sector]="Rural+Urban"),0)),
    INDEX(All_India_Index_Upto_April23__1___1[Vegetables],
      MATCH(1,(All_India_Index_Upto_April23__1___1[Date]=EDATE($A11,-12))*
              (All_India_Index_Upto_April23__1___1[Sector]="Rural+Urban"),0)),
    INDEX(All_India_Index_Upto_April23__1___1[Pulses and products],
      MATCH(1,(All_India_Index_Upto_April23__1___1[Date]=EDATE($A11,-12))*
              (All_India_Index_Upto_April23__1___1[Sector]="Rural+Urban"),0)),
    INDEX(All_India_Index_Upto_April23__1___1[Sugar and Confectionery],
      MATCH(1,(All_India_Index_Upto_April23__1___1[Date]=EDATE($A11,-12))*
              (All_India_Index_Upto_April23__1___1[Sector]="Rural+Urban"),0)),
    INDEX(All_India_Index_Upto_April23__1___1[Spices],
      MATCH(1,(All_India_Index_Upto_April23__1___1[Date]=EDATE($A11,-12))*
              (All_India_Index_Upto_April23__1___1[Sector]="Rural+Urban"),0)),
    INDEX(All_India_Index_Upto_April23__1___1[Non-alcoholic beverages],
      MATCH(1,(All_India_Index_Upto_April23__1___1[Date]=EDATE($A11,-12))*
              (All_India_Index_Upto_April23__1___1[Sector]="Rural+Urban"),0)),
    INDEX(All_India_Index_Upto_April23__1___1[Prepared meals, snacks, sweets etc.],
      MATCH(1,(All_India_Index_Upto_April23__1___1[Date]=EDATE($A11,-12))*
              (All_India_Index_Upto_April23__1___1[Sector]="Rural+Urban"),0))
  ),
"")</f>
        <v>135.81666666666663</v>
      </c>
      <c r="Q11" s="8">
        <f t="shared" si="2"/>
        <v>6.013007731010123E-3</v>
      </c>
      <c r="R11" t="str">
        <f t="shared" si="3"/>
        <v>Pre-COVID</v>
      </c>
      <c r="T11" s="2" cm="1">
        <f t="array" ref="T11">IFERROR(
  INDEX(
    All_India_Index_Upto_April23__1___1[Health],
    MATCH(
      1,
      (All_India_Index_Upto_April23__1___1[Date]=$A11) *
      (All_India_Index_Upto_April23__1___1[Sector]="Rural+Urban"),
      0
    )
  ),
"")</f>
        <v>131.30000000000001</v>
      </c>
      <c r="U11" s="2" cm="1">
        <f t="array" ref="U11">IFERROR(
  INDEX(
    All_India_Index_Upto_April23__1___1[Health],
    MATCH(
      1,
      (All_India_Index_Upto_April23__1___1[Date]=EDATE($A11,-12)) *
      (All_India_Index_Upto_April23__1___1[Sector]="Rural+Urban"),
      0
    )
  ),
"")</f>
        <v>126.1</v>
      </c>
      <c r="V11" s="8">
        <f t="shared" si="4"/>
        <v>4.1237113402061994E-2</v>
      </c>
      <c r="W11" t="str">
        <f t="shared" si="5"/>
        <v>Pre-COVID</v>
      </c>
      <c r="Y11" s="2" cm="1">
        <f t="array" ref="Y11">IFERROR(
  AVERAGE(
    INDEX(All_India_Index_Upto_April23__1___1[Pan, tobacco and intoxicants],
      MATCH(1,(All_India_Index_Upto_April23__1___1[Date]=$A11)*
              (All_India_Index_Upto_April23__1___1[Sector]="Rural+Urban"),0)),
    INDEX(All_India_Index_Upto_April23__1___1[Clothing],
      MATCH(1,(All_India_Index_Upto_April23__1___1[Date]=$A11)*
              (All_India_Index_Upto_April23__1___1[Sector]="Rural+Urban"),0)),
    INDEX(All_India_Index_Upto_April23__1___1[Footwear],
      MATCH(1,(All_India_Index_Upto_April23__1___1[Date]=$A11)*
              (All_India_Index_Upto_April23__1___1[Sector]="Rural+Urban"),0)),
    INDEX(All_India_Index_Upto_April23__1___1[Clothing and footwear],
      MATCH(1,(All_India_Index_Upto_April23__1___1[Date]=$A11)*
              (All_India_Index_Upto_April23__1___1[Sector]="Rural+Urban"),0)),
    INDEX(All_India_Index_Upto_April23__1___1[Housing],
      MATCH(1,(All_India_Index_Upto_April23__1___1[Date]=$A11)*
              (All_India_Index_Upto_April23__1___1[Sector]="Rural+Urban"),0)),
    INDEX(All_India_Index_Upto_April23__1___1[Fuel and light],
      MATCH(1,(All_India_Index_Upto_April23__1___1[Date]=$A11)*
              (All_India_Index_Upto_April23__1___1[Sector]="Rural+Urban"),0)),
    INDEX(All_India_Index_Upto_April23__1___1[Household goods and services],
      MATCH(1,(All_India_Index_Upto_April23__1___1[Date]=$A11)*
              (All_India_Index_Upto_April23__1___1[Sector]="Rural+Urban"),0)),
    INDEX(All_India_Index_Upto_April23__1___1[Health],
      MATCH(1,(All_India_Index_Upto_April23__1___1[Date]=$A11)*
              (All_India_Index_Upto_April23__1___1[Sector]="Rural+Urban"),0)),
    INDEX(All_India_Index_Upto_April23__1___1[Transport and communication],
      MATCH(1,(All_India_Index_Upto_April23__1___1[Date]=$A11)*
              (All_India_Index_Upto_April23__1___1[Sector]="Rural+Urban"),0)),
    INDEX(All_India_Index_Upto_April23__1___1[Recreation and amusement],
      MATCH(1,(All_India_Index_Upto_April23__1___1[Date]=$A11)*
              (All_India_Index_Upto_April23__1___1[Sector]="Rural+Urban"),0)),
    INDEX(All_India_Index_Upto_April23__1___1[Education],
      MATCH(1,(All_India_Index_Upto_April23__1___1[Date]=$A11)*
              (All_India_Index_Upto_April23__1___1[Sector]="Rural+Urban"),0)),
    INDEX(All_India_Index_Upto_April23__1___1[Personal care and effects],
      MATCH(1,(All_India_Index_Upto_April23__1___1[Date]=$A11)*
              (All_India_Index_Upto_April23__1___1[Sector]="Rural+Urban"),0)),
    INDEX(All_India_Index_Upto_April23__1___1[Miscellaneous],
      MATCH(1,(All_India_Index_Upto_April23__1___1[Date]=$A11)*
              (All_India_Index_Upto_April23__1___1[Sector]="Rural+Urban"),0))
  ),
"")</f>
        <v>133.63333333333335</v>
      </c>
      <c r="Z11" s="2" cm="1">
        <f t="array" ref="Z11">IFERROR(
  AVERAGE(
    INDEX(All_India_Index_Upto_April23__1___1[Pan, tobacco and intoxicants],
      MATCH(1,(All_India_Index_Upto_April23__1___1[Date]=EDATE($A11,-12))*
              (All_India_Index_Upto_April23__1___1[Sector]="Rural+Urban"),0)),
    INDEX(All_India_Index_Upto_April23__1___1[Clothing],
      MATCH(1,(All_India_Index_Upto_April23__1___1[Date]=EDATE($A11,-12))*
              (All_India_Index_Upto_April23__1___1[Sector]="Rural+Urban"),0)),
    INDEX(All_India_Index_Upto_April23__1___1[Footwear],
      MATCH(1,(All_India_Index_Upto_April23__1___1[Date]=EDATE($A11,-12))*
              (All_India_Index_Upto_April23__1___1[Sector]="Rural+Urban"),0)),
    INDEX(All_India_Index_Upto_April23__1___1[Clothing and footwear],
      MATCH(1,(All_India_Index_Upto_April23__1___1[Date]=EDATE($A11,-12))*
              (All_India_Index_Upto_April23__1___1[Sector]="Rural+Urban"),0)),
    INDEX(All_India_Index_Upto_April23__1___1[Housing],
      MATCH(1,(All_India_Index_Upto_April23__1___1[Date]=EDATE($A11,-12))*
              (All_India_Index_Upto_April23__1___1[Sector]="Rural+Urban"),0)),
    INDEX(All_India_Index_Upto_April23__1___1[Fuel and light],
      MATCH(1,(All_India_Index_Upto_April23__1___1[Date]=EDATE($A11,-12))*
              (All_India_Index_Upto_April23__1___1[Sector]="Rural+Urban"),0)),
    INDEX(All_India_Index_Upto_April23__1___1[Household goods and services],
      MATCH(1,(All_India_Index_Upto_April23__1___1[Date]=EDATE($A11,-12))*
              (All_India_Index_Upto_April23__1___1[Sector]="Rural+Urban"),0)),
    INDEX(All_India_Index_Upto_April23__1___1[Health],
      MATCH(1,(All_India_Index_Upto_April23__1___1[Date]=EDATE($A11,-12))*
              (All_India_Index_Upto_April23__1___1[Sector]="Rural+Urban"),0)),
    INDEX(All_India_Index_Upto_April23__1___1[Transport and communication],
      MATCH(1,(All_India_Index_Upto_April23__1___1[Date]=EDATE($A11,-12))*
              (All_India_Index_Upto_April23__1___1[Sector]="Rural+Urban"),0)),
    INDEX(All_India_Index_Upto_April23__1___1[Recreation and amusement],
      MATCH(1,(All_India_Index_Upto_April23__1___1[Date]=EDATE($A11,-12))*
              (All_India_Index_Upto_April23__1___1[Sector]="Rural+Urban"),0)),
    INDEX(All_India_Index_Upto_April23__1___1[Education],
      MATCH(1,(All_India_Index_Upto_April23__1___1[Date]=EDATE($A11,-12))*
              (All_India_Index_Upto_April23__1___1[Sector]="Rural+Urban"),0)),
    INDEX(All_India_Index_Upto_April23__1___1[Personal care and effects],
      MATCH(1,(All_India_Index_Upto_April23__1___1[Date]=EDATE($A11,-12))*
              (All_India_Index_Upto_April23__1___1[Sector]="Rural+Urban"),0)),
    INDEX(All_India_Index_Upto_April23__1___1[Miscellaneous],
      MATCH(1,(All_India_Index_Upto_April23__1___1[Date]=EDATE($A11,-12))*
              (All_India_Index_Upto_April23__1___1[Sector]="Rural+Urban"),0))
  ),
"")</f>
        <v>128.02500000000001</v>
      </c>
      <c r="AA11" s="8">
        <f t="shared" si="6"/>
        <v>4.380654820022143E-2</v>
      </c>
      <c r="AB11" t="str">
        <f t="shared" si="7"/>
        <v>Pre-COVID</v>
      </c>
    </row>
    <row r="12" spans="1:32" x14ac:dyDescent="0.2">
      <c r="A12" s="22">
        <v>43040</v>
      </c>
      <c r="B12">
        <v>2017</v>
      </c>
      <c r="C12" t="s">
        <v>51</v>
      </c>
      <c r="D12" s="2" cm="1">
        <f t="array" ref="D12">IFERROR(
  INDEX(
    All_India_Index_Upto_April23__1___1[General index],
    MATCH(
      1,
      (All_India_Index_Upto_April23__1___1[Sector]="Rural+Urban") *
      (All_India_Index_Upto_April23__1___1[Date]=A12),
      0
    )
  ),
"")</f>
        <v>137.6</v>
      </c>
      <c r="E12" s="2" cm="1">
        <f t="array" ref="E12">IFERROR(
  INDEX(
    All_India_Index_Upto_April23__1___1[General index],
    MATCH(
      1,
      (All_India_Index_Upto_April23__1___1[Sector]="Rural+Urban") *
      (All_India_Index_Upto_April23__1___1[Date]=EDATE(A12,-12)),
      0
    )
  ),
"")</f>
        <v>131.19999999999999</v>
      </c>
      <c r="F12" s="8">
        <f t="shared" si="0"/>
        <v>4.8780487804878092E-2</v>
      </c>
      <c r="G12" t="str">
        <f t="shared" si="1"/>
        <v>Pre-COVID</v>
      </c>
      <c r="O12" s="2" cm="1">
        <f t="array" ref="O12">IFERROR(
  AVERAGE(
    INDEX(All_India_Index_Upto_April23__1___1[Cereals and products],
      MATCH(1,(All_India_Index_Upto_April23__1___1[Date]=$A12)*
              (All_India_Index_Upto_April23__1___1[Sector]="Rural+Urban"),0)),
    INDEX(All_India_Index_Upto_April23__1___1[Meat and fish],
      MATCH(1,(All_India_Index_Upto_April23__1___1[Date]=$A12)*
              (All_India_Index_Upto_April23__1___1[Sector]="Rural+Urban"),0)),
    INDEX(All_India_Index_Upto_April23__1___1[Egg],
      MATCH(1,(All_India_Index_Upto_April23__1___1[Date]=$A12)*
              (All_India_Index_Upto_April23__1___1[Sector]="Rural+Urban"),0)),
    INDEX(All_India_Index_Upto_April23__1___1[Milk and products],
      MATCH(1,(All_India_Index_Upto_April23__1___1[Date]=$A12)*
              (All_India_Index_Upto_April23__1___1[Sector]="Rural+Urban"),0)),
    INDEX(All_India_Index_Upto_April23__1___1[Oils and fats],
      MATCH(1,(All_India_Index_Upto_April23__1___1[Date]=$A12)*
              (All_India_Index_Upto_April23__1___1[Sector]="Rural+Urban"),0)),
    INDEX(All_India_Index_Upto_April23__1___1[Fruits],
      MATCH(1,(All_India_Index_Upto_April23__1___1[Date]=$A12)*
              (All_India_Index_Upto_April23__1___1[Sector]="Rural+Urban"),0)),
    INDEX(All_India_Index_Upto_April23__1___1[Vegetables],
      MATCH(1,(All_India_Index_Upto_April23__1___1[Date]=$A12)*
              (All_India_Index_Upto_April23__1___1[Sector]="Rural+Urban"),0)),
    INDEX(All_India_Index_Upto_April23__1___1[Pulses and products],
      MATCH(1,(All_India_Index_Upto_April23__1___1[Date]=$A12)*
              (All_India_Index_Upto_April23__1___1[Sector]="Rural+Urban"),0)),
    INDEX(All_India_Index_Upto_April23__1___1[Sugar and Confectionery],
      MATCH(1,(All_India_Index_Upto_April23__1___1[Date]=$A12)*
              (All_India_Index_Upto_April23__1___1[Sector]="Rural+Urban"),0)),
    INDEX(All_India_Index_Upto_April23__1___1[Spices],
      MATCH(1,(All_India_Index_Upto_April23__1___1[Date]=$A12)*
              (All_India_Index_Upto_April23__1___1[Sector]="Rural+Urban"),0)),
    INDEX(All_India_Index_Upto_April23__1___1[Non-alcoholic beverages],
      MATCH(1,(All_India_Index_Upto_April23__1___1[Date]=$A12)*
              (All_India_Index_Upto_April23__1___1[Sector]="Rural+Urban"),0)),
    INDEX(All_India_Index_Upto_April23__1___1[Prepared meals, snacks, sweets etc.],
      MATCH(1,(All_India_Index_Upto_April23__1___1[Date]=$A12)*
              (All_India_Index_Upto_April23__1___1[Sector]="Rural+Urban"),0))
  ),
"")</f>
        <v>138.84166666666667</v>
      </c>
      <c r="P12" s="2" cm="1">
        <f t="array" ref="P12">IFERROR(
  AVERAGE(
    INDEX(All_India_Index_Upto_April23__1___1[Cereals and products],
      MATCH(1,(All_India_Index_Upto_April23__1___1[Date]=EDATE($A12,-12))*
              (All_India_Index_Upto_April23__1___1[Sector]="Rural+Urban"),0)),
    INDEX(All_India_Index_Upto_April23__1___1[Meat and fish],
      MATCH(1,(All_India_Index_Upto_April23__1___1[Date]=EDATE($A12,-12))*
              (All_India_Index_Upto_April23__1___1[Sector]="Rural+Urban"),0)),
    INDEX(All_India_Index_Upto_April23__1___1[Egg],
      MATCH(1,(All_India_Index_Upto_April23__1___1[Date]=EDATE($A12,-12))*
              (All_India_Index_Upto_April23__1___1[Sector]="Rural+Urban"),0)),
    INDEX(All_India_Index_Upto_April23__1___1[Milk and products],
      MATCH(1,(All_India_Index_Upto_April23__1___1[Date]=EDATE($A12,-12))*
              (All_India_Index_Upto_April23__1___1[Sector]="Rural+Urban"),0)),
    INDEX(All_India_Index_Upto_April23__1___1[Oils and fats],
      MATCH(1,(All_India_Index_Upto_April23__1___1[Date]=EDATE($A12,-12))*
              (All_India_Index_Upto_April23__1___1[Sector]="Rural+Urban"),0)),
    INDEX(All_India_Index_Upto_April23__1___1[Fruits],
      MATCH(1,(All_India_Index_Upto_April23__1___1[Date]=EDATE($A12,-12))*
              (All_India_Index_Upto_April23__1___1[Sector]="Rural+Urban"),0)),
    INDEX(All_India_Index_Upto_April23__1___1[Vegetables],
      MATCH(1,(All_India_Index_Upto_April23__1___1[Date]=EDATE($A12,-12))*
              (All_India_Index_Upto_April23__1___1[Sector]="Rural+Urban"),0)),
    INDEX(All_India_Index_Upto_April23__1___1[Pulses and products],
      MATCH(1,(All_India_Index_Upto_April23__1___1[Date]=EDATE($A12,-12))*
              (All_India_Index_Upto_April23__1___1[Sector]="Rural+Urban"),0)),
    INDEX(All_India_Index_Upto_April23__1___1[Sugar and Confectionery],
      MATCH(1,(All_India_Index_Upto_April23__1___1[Date]=EDATE($A12,-12))*
              (All_India_Index_Upto_April23__1___1[Sector]="Rural+Urban"),0)),
    INDEX(All_India_Index_Upto_April23__1___1[Spices],
      MATCH(1,(All_India_Index_Upto_April23__1___1[Date]=EDATE($A12,-12))*
              (All_India_Index_Upto_April23__1___1[Sector]="Rural+Urban"),0)),
    INDEX(All_India_Index_Upto_April23__1___1[Non-alcoholic beverages],
      MATCH(1,(All_India_Index_Upto_April23__1___1[Date]=EDATE($A12,-12))*
              (All_India_Index_Upto_April23__1___1[Sector]="Rural+Urban"),0)),
    INDEX(All_India_Index_Upto_April23__1___1[Prepared meals, snacks, sweets etc.],
      MATCH(1,(All_India_Index_Upto_April23__1___1[Date]=EDATE($A12,-12))*
              (All_India_Index_Upto_April23__1___1[Sector]="Rural+Urban"),0))
  ),
"")</f>
        <v>135.30833333333334</v>
      </c>
      <c r="Q12" s="8">
        <f t="shared" si="2"/>
        <v>2.6113198250908406E-2</v>
      </c>
      <c r="R12" t="str">
        <f t="shared" si="3"/>
        <v>Pre-COVID</v>
      </c>
      <c r="T12" s="2" cm="1">
        <f t="array" ref="T12">IFERROR(
  INDEX(
    All_India_Index_Upto_April23__1___1[Health],
    MATCH(
      1,
      (All_India_Index_Upto_April23__1___1[Date]=$A12) *
      (All_India_Index_Upto_April23__1___1[Sector]="Rural+Urban"),
      0
    )
  ),
"")</f>
        <v>132.6</v>
      </c>
      <c r="U12" s="2" cm="1">
        <f t="array" ref="U12">IFERROR(
  INDEX(
    All_India_Index_Upto_April23__1___1[Health],
    MATCH(
      1,
      (All_India_Index_Upto_April23__1___1[Date]=EDATE($A12,-12)) *
      (All_India_Index_Upto_April23__1___1[Sector]="Rural+Urban"),
      0
    )
  ),
"")</f>
        <v>126.4</v>
      </c>
      <c r="V12" s="8">
        <f t="shared" si="4"/>
        <v>4.9050632911392313E-2</v>
      </c>
      <c r="W12" t="str">
        <f t="shared" si="5"/>
        <v>Pre-COVID</v>
      </c>
      <c r="Y12" s="2" cm="1">
        <f t="array" ref="Y12">IFERROR(
  AVERAGE(
    INDEX(All_India_Index_Upto_April23__1___1[Pan, tobacco and intoxicants],
      MATCH(1,(All_India_Index_Upto_April23__1___1[Date]=$A12)*
              (All_India_Index_Upto_April23__1___1[Sector]="Rural+Urban"),0)),
    INDEX(All_India_Index_Upto_April23__1___1[Clothing],
      MATCH(1,(All_India_Index_Upto_April23__1___1[Date]=$A12)*
              (All_India_Index_Upto_April23__1___1[Sector]="Rural+Urban"),0)),
    INDEX(All_India_Index_Upto_April23__1___1[Footwear],
      MATCH(1,(All_India_Index_Upto_April23__1___1[Date]=$A12)*
              (All_India_Index_Upto_April23__1___1[Sector]="Rural+Urban"),0)),
    INDEX(All_India_Index_Upto_April23__1___1[Clothing and footwear],
      MATCH(1,(All_India_Index_Upto_April23__1___1[Date]=$A12)*
              (All_India_Index_Upto_April23__1___1[Sector]="Rural+Urban"),0)),
    INDEX(All_India_Index_Upto_April23__1___1[Housing],
      MATCH(1,(All_India_Index_Upto_April23__1___1[Date]=$A12)*
              (All_India_Index_Upto_April23__1___1[Sector]="Rural+Urban"),0)),
    INDEX(All_India_Index_Upto_April23__1___1[Fuel and light],
      MATCH(1,(All_India_Index_Upto_April23__1___1[Date]=$A12)*
              (All_India_Index_Upto_April23__1___1[Sector]="Rural+Urban"),0)),
    INDEX(All_India_Index_Upto_April23__1___1[Household goods and services],
      MATCH(1,(All_India_Index_Upto_April23__1___1[Date]=$A12)*
              (All_India_Index_Upto_April23__1___1[Sector]="Rural+Urban"),0)),
    INDEX(All_India_Index_Upto_April23__1___1[Health],
      MATCH(1,(All_India_Index_Upto_April23__1___1[Date]=$A12)*
              (All_India_Index_Upto_April23__1___1[Sector]="Rural+Urban"),0)),
    INDEX(All_India_Index_Upto_April23__1___1[Transport and communication],
      MATCH(1,(All_India_Index_Upto_April23__1___1[Date]=$A12)*
              (All_India_Index_Upto_April23__1___1[Sector]="Rural+Urban"),0)),
    INDEX(All_India_Index_Upto_April23__1___1[Recreation and amusement],
      MATCH(1,(All_India_Index_Upto_April23__1___1[Date]=$A12)*
              (All_India_Index_Upto_April23__1___1[Sector]="Rural+Urban"),0)),
    INDEX(All_India_Index_Upto_April23__1___1[Education],
      MATCH(1,(All_India_Index_Upto_April23__1___1[Date]=$A12)*
              (All_India_Index_Upto_April23__1___1[Sector]="Rural+Urban"),0)),
    INDEX(All_India_Index_Upto_April23__1___1[Personal care and effects],
      MATCH(1,(All_India_Index_Upto_April23__1___1[Date]=$A12)*
              (All_India_Index_Upto_April23__1___1[Sector]="Rural+Urban"),0)),
    INDEX(All_India_Index_Upto_April23__1___1[Miscellaneous],
      MATCH(1,(All_India_Index_Upto_April23__1___1[Date]=$A12)*
              (All_India_Index_Upto_April23__1___1[Sector]="Rural+Urban"),0))
  ),
"")</f>
        <v>134.67499999999998</v>
      </c>
      <c r="Z12" s="2" cm="1">
        <f t="array" ref="Z12">IFERROR(
  AVERAGE(
    INDEX(All_India_Index_Upto_April23__1___1[Pan, tobacco and intoxicants],
      MATCH(1,(All_India_Index_Upto_April23__1___1[Date]=EDATE($A12,-12))*
              (All_India_Index_Upto_April23__1___1[Sector]="Rural+Urban"),0)),
    INDEX(All_India_Index_Upto_April23__1___1[Clothing],
      MATCH(1,(All_India_Index_Upto_April23__1___1[Date]=EDATE($A12,-12))*
              (All_India_Index_Upto_April23__1___1[Sector]="Rural+Urban"),0)),
    INDEX(All_India_Index_Upto_April23__1___1[Footwear],
      MATCH(1,(All_India_Index_Upto_April23__1___1[Date]=EDATE($A12,-12))*
              (All_India_Index_Upto_April23__1___1[Sector]="Rural+Urban"),0)),
    INDEX(All_India_Index_Upto_April23__1___1[Clothing and footwear],
      MATCH(1,(All_India_Index_Upto_April23__1___1[Date]=EDATE($A12,-12))*
              (All_India_Index_Upto_April23__1___1[Sector]="Rural+Urban"),0)),
    INDEX(All_India_Index_Upto_April23__1___1[Housing],
      MATCH(1,(All_India_Index_Upto_April23__1___1[Date]=EDATE($A12,-12))*
              (All_India_Index_Upto_April23__1___1[Sector]="Rural+Urban"),0)),
    INDEX(All_India_Index_Upto_April23__1___1[Fuel and light],
      MATCH(1,(All_India_Index_Upto_April23__1___1[Date]=EDATE($A12,-12))*
              (All_India_Index_Upto_April23__1___1[Sector]="Rural+Urban"),0)),
    INDEX(All_India_Index_Upto_April23__1___1[Household goods and services],
      MATCH(1,(All_India_Index_Upto_April23__1___1[Date]=EDATE($A12,-12))*
              (All_India_Index_Upto_April23__1___1[Sector]="Rural+Urban"),0)),
    INDEX(All_India_Index_Upto_April23__1___1[Health],
      MATCH(1,(All_India_Index_Upto_April23__1___1[Date]=EDATE($A12,-12))*
              (All_India_Index_Upto_April23__1___1[Sector]="Rural+Urban"),0)),
    INDEX(All_India_Index_Upto_April23__1___1[Transport and communication],
      MATCH(1,(All_India_Index_Upto_April23__1___1[Date]=EDATE($A12,-12))*
              (All_India_Index_Upto_April23__1___1[Sector]="Rural+Urban"),0)),
    INDEX(All_India_Index_Upto_April23__1___1[Recreation and amusement],
      MATCH(1,(All_India_Index_Upto_April23__1___1[Date]=EDATE($A12,-12))*
              (All_India_Index_Upto_April23__1___1[Sector]="Rural+Urban"),0)),
    INDEX(All_India_Index_Upto_April23__1___1[Education],
      MATCH(1,(All_India_Index_Upto_April23__1___1[Date]=EDATE($A12,-12))*
              (All_India_Index_Upto_April23__1___1[Sector]="Rural+Urban"),0)),
    INDEX(All_India_Index_Upto_April23__1___1[Personal care and effects],
      MATCH(1,(All_India_Index_Upto_April23__1___1[Date]=EDATE($A12,-12))*
              (All_India_Index_Upto_April23__1___1[Sector]="Rural+Urban"),0)),
    INDEX(All_India_Index_Upto_April23__1___1[Miscellaneous],
      MATCH(1,(All_India_Index_Upto_April23__1___1[Date]=EDATE($A12,-12))*
              (All_India_Index_Upto_April23__1___1[Sector]="Rural+Urban"),0))
  ),
"")</f>
        <v>128.41666666666666</v>
      </c>
      <c r="AA12" s="8">
        <f t="shared" si="6"/>
        <v>4.8734587929915585E-2</v>
      </c>
      <c r="AB12" t="str">
        <f t="shared" si="7"/>
        <v>Pre-COVID</v>
      </c>
    </row>
    <row r="13" spans="1:32" x14ac:dyDescent="0.2">
      <c r="A13" s="22">
        <v>43070</v>
      </c>
      <c r="B13">
        <v>2017</v>
      </c>
      <c r="C13" t="s">
        <v>53</v>
      </c>
      <c r="D13" s="2" cm="1">
        <f t="array" ref="D13">IFERROR(
  INDEX(
    All_India_Index_Upto_April23__1___1[General index],
    MATCH(
      1,
      (All_India_Index_Upto_April23__1___1[Sector]="Rural+Urban") *
      (All_India_Index_Upto_April23__1___1[Date]=A13),
      0
    )
  ),
"")</f>
        <v>137.19999999999999</v>
      </c>
      <c r="E13" s="2" cm="1">
        <f t="array" ref="E13">IFERROR(
  INDEX(
    All_India_Index_Upto_April23__1___1[General index],
    MATCH(
      1,
      (All_India_Index_Upto_April23__1___1[Sector]="Rural+Urban") *
      (All_India_Index_Upto_April23__1___1[Date]=EDATE(A13,-12)),
      0
    )
  ),
"")</f>
        <v>130.4</v>
      </c>
      <c r="F13" s="8">
        <f t="shared" si="0"/>
        <v>5.2147239263803602E-2</v>
      </c>
      <c r="G13" t="str">
        <f t="shared" si="1"/>
        <v>Pre-COVID</v>
      </c>
      <c r="O13" s="2" cm="1">
        <f t="array" ref="O13">IFERROR(
  AVERAGE(
    INDEX(All_India_Index_Upto_April23__1___1[Cereals and products],
      MATCH(1,(All_India_Index_Upto_April23__1___1[Date]=$A13)*
              (All_India_Index_Upto_April23__1___1[Sector]="Rural+Urban"),0)),
    INDEX(All_India_Index_Upto_April23__1___1[Meat and fish],
      MATCH(1,(All_India_Index_Upto_April23__1___1[Date]=$A13)*
              (All_India_Index_Upto_April23__1___1[Sector]="Rural+Urban"),0)),
    INDEX(All_India_Index_Upto_April23__1___1[Egg],
      MATCH(1,(All_India_Index_Upto_April23__1___1[Date]=$A13)*
              (All_India_Index_Upto_April23__1___1[Sector]="Rural+Urban"),0)),
    INDEX(All_India_Index_Upto_April23__1___1[Milk and products],
      MATCH(1,(All_India_Index_Upto_April23__1___1[Date]=$A13)*
              (All_India_Index_Upto_April23__1___1[Sector]="Rural+Urban"),0)),
    INDEX(All_India_Index_Upto_April23__1___1[Oils and fats],
      MATCH(1,(All_India_Index_Upto_April23__1___1[Date]=$A13)*
              (All_India_Index_Upto_April23__1___1[Sector]="Rural+Urban"),0)),
    INDEX(All_India_Index_Upto_April23__1___1[Fruits],
      MATCH(1,(All_India_Index_Upto_April23__1___1[Date]=$A13)*
              (All_India_Index_Upto_April23__1___1[Sector]="Rural+Urban"),0)),
    INDEX(All_India_Index_Upto_April23__1___1[Vegetables],
      MATCH(1,(All_India_Index_Upto_April23__1___1[Date]=$A13)*
              (All_India_Index_Upto_April23__1___1[Sector]="Rural+Urban"),0)),
    INDEX(All_India_Index_Upto_April23__1___1[Pulses and products],
      MATCH(1,(All_India_Index_Upto_April23__1___1[Date]=$A13)*
              (All_India_Index_Upto_April23__1___1[Sector]="Rural+Urban"),0)),
    INDEX(All_India_Index_Upto_April23__1___1[Sugar and Confectionery],
      MATCH(1,(All_India_Index_Upto_April23__1___1[Date]=$A13)*
              (All_India_Index_Upto_April23__1___1[Sector]="Rural+Urban"),0)),
    INDEX(All_India_Index_Upto_April23__1___1[Spices],
      MATCH(1,(All_India_Index_Upto_April23__1___1[Date]=$A13)*
              (All_India_Index_Upto_April23__1___1[Sector]="Rural+Urban"),0)),
    INDEX(All_India_Index_Upto_April23__1___1[Non-alcoholic beverages],
      MATCH(1,(All_India_Index_Upto_April23__1___1[Date]=$A13)*
              (All_India_Index_Upto_April23__1___1[Sector]="Rural+Urban"),0)),
    INDEX(All_India_Index_Upto_April23__1___1[Prepared meals, snacks, sweets etc.],
      MATCH(1,(All_India_Index_Upto_April23__1___1[Date]=$A13)*
              (All_India_Index_Upto_April23__1___1[Sector]="Rural+Urban"),0))
  ),
"")</f>
        <v>137.87499999999997</v>
      </c>
      <c r="P13" s="2" cm="1">
        <f t="array" ref="P13">IFERROR(
  AVERAGE(
    INDEX(All_India_Index_Upto_April23__1___1[Cereals and products],
      MATCH(1,(All_India_Index_Upto_April23__1___1[Date]=EDATE($A13,-12))*
              (All_India_Index_Upto_April23__1___1[Sector]="Rural+Urban"),0)),
    INDEX(All_India_Index_Upto_April23__1___1[Meat and fish],
      MATCH(1,(All_India_Index_Upto_April23__1___1[Date]=EDATE($A13,-12))*
              (All_India_Index_Upto_April23__1___1[Sector]="Rural+Urban"),0)),
    INDEX(All_India_Index_Upto_April23__1___1[Egg],
      MATCH(1,(All_India_Index_Upto_April23__1___1[Date]=EDATE($A13,-12))*
              (All_India_Index_Upto_April23__1___1[Sector]="Rural+Urban"),0)),
    INDEX(All_India_Index_Upto_April23__1___1[Milk and products],
      MATCH(1,(All_India_Index_Upto_April23__1___1[Date]=EDATE($A13,-12))*
              (All_India_Index_Upto_April23__1___1[Sector]="Rural+Urban"),0)),
    INDEX(All_India_Index_Upto_April23__1___1[Oils and fats],
      MATCH(1,(All_India_Index_Upto_April23__1___1[Date]=EDATE($A13,-12))*
              (All_India_Index_Upto_April23__1___1[Sector]="Rural+Urban"),0)),
    INDEX(All_India_Index_Upto_April23__1___1[Fruits],
      MATCH(1,(All_India_Index_Upto_April23__1___1[Date]=EDATE($A13,-12))*
              (All_India_Index_Upto_April23__1___1[Sector]="Rural+Urban"),0)),
    INDEX(All_India_Index_Upto_April23__1___1[Vegetables],
      MATCH(1,(All_India_Index_Upto_April23__1___1[Date]=EDATE($A13,-12))*
              (All_India_Index_Upto_April23__1___1[Sector]="Rural+Urban"),0)),
    INDEX(All_India_Index_Upto_April23__1___1[Pulses and products],
      MATCH(1,(All_India_Index_Upto_April23__1___1[Date]=EDATE($A13,-12))*
              (All_India_Index_Upto_April23__1___1[Sector]="Rural+Urban"),0)),
    INDEX(All_India_Index_Upto_April23__1___1[Sugar and Confectionery],
      MATCH(1,(All_India_Index_Upto_April23__1___1[Date]=EDATE($A13,-12))*
              (All_India_Index_Upto_April23__1___1[Sector]="Rural+Urban"),0)),
    INDEX(All_India_Index_Upto_April23__1___1[Spices],
      MATCH(1,(All_India_Index_Upto_April23__1___1[Date]=EDATE($A13,-12))*
              (All_India_Index_Upto_April23__1___1[Sector]="Rural+Urban"),0)),
    INDEX(All_India_Index_Upto_April23__1___1[Non-alcoholic beverages],
      MATCH(1,(All_India_Index_Upto_April23__1___1[Date]=EDATE($A13,-12))*
              (All_India_Index_Upto_April23__1___1[Sector]="Rural+Urban"),0)),
    INDEX(All_India_Index_Upto_April23__1___1[Prepared meals, snacks, sweets etc.],
      MATCH(1,(All_India_Index_Upto_April23__1___1[Date]=EDATE($A13,-12))*
              (All_India_Index_Upto_April23__1___1[Sector]="Rural+Urban"),0))
  ),
"")</f>
        <v>133.89166666666668</v>
      </c>
      <c r="Q13" s="8">
        <f t="shared" si="2"/>
        <v>2.9750420115764918E-2</v>
      </c>
      <c r="R13" t="str">
        <f t="shared" si="3"/>
        <v>Pre-COVID</v>
      </c>
      <c r="T13" s="2" cm="1">
        <f t="array" ref="T13">IFERROR(
  INDEX(
    All_India_Index_Upto_April23__1___1[Health],
    MATCH(
      1,
      (All_India_Index_Upto_April23__1___1[Date]=$A13) *
      (All_India_Index_Upto_April23__1___1[Sector]="Rural+Urban"),
      0
    )
  ),
"")</f>
        <v>133.1</v>
      </c>
      <c r="U13" s="2" cm="1">
        <f t="array" ref="U13">IFERROR(
  INDEX(
    All_India_Index_Upto_April23__1___1[Health],
    MATCH(
      1,
      (All_India_Index_Upto_April23__1___1[Date]=EDATE($A13,-12)) *
      (All_India_Index_Upto_April23__1___1[Sector]="Rural+Urban"),
      0
    )
  ),
"")</f>
        <v>126.9</v>
      </c>
      <c r="V13" s="8">
        <f t="shared" si="4"/>
        <v>4.8857368006304087E-2</v>
      </c>
      <c r="W13" t="str">
        <f t="shared" si="5"/>
        <v>Pre-COVID</v>
      </c>
      <c r="Y13" s="2" cm="1">
        <f t="array" ref="Y13">IFERROR(
  AVERAGE(
    INDEX(All_India_Index_Upto_April23__1___1[Pan, tobacco and intoxicants],
      MATCH(1,(All_India_Index_Upto_April23__1___1[Date]=$A13)*
              (All_India_Index_Upto_April23__1___1[Sector]="Rural+Urban"),0)),
    INDEX(All_India_Index_Upto_April23__1___1[Clothing],
      MATCH(1,(All_India_Index_Upto_April23__1___1[Date]=$A13)*
              (All_India_Index_Upto_April23__1___1[Sector]="Rural+Urban"),0)),
    INDEX(All_India_Index_Upto_April23__1___1[Footwear],
      MATCH(1,(All_India_Index_Upto_April23__1___1[Date]=$A13)*
              (All_India_Index_Upto_April23__1___1[Sector]="Rural+Urban"),0)),
    INDEX(All_India_Index_Upto_April23__1___1[Clothing and footwear],
      MATCH(1,(All_India_Index_Upto_April23__1___1[Date]=$A13)*
              (All_India_Index_Upto_April23__1___1[Sector]="Rural+Urban"),0)),
    INDEX(All_India_Index_Upto_April23__1___1[Housing],
      MATCH(1,(All_India_Index_Upto_April23__1___1[Date]=$A13)*
              (All_India_Index_Upto_April23__1___1[Sector]="Rural+Urban"),0)),
    INDEX(All_India_Index_Upto_April23__1___1[Fuel and light],
      MATCH(1,(All_India_Index_Upto_April23__1___1[Date]=$A13)*
              (All_India_Index_Upto_April23__1___1[Sector]="Rural+Urban"),0)),
    INDEX(All_India_Index_Upto_April23__1___1[Household goods and services],
      MATCH(1,(All_India_Index_Upto_April23__1___1[Date]=$A13)*
              (All_India_Index_Upto_April23__1___1[Sector]="Rural+Urban"),0)),
    INDEX(All_India_Index_Upto_April23__1___1[Health],
      MATCH(1,(All_India_Index_Upto_April23__1___1[Date]=$A13)*
              (All_India_Index_Upto_April23__1___1[Sector]="Rural+Urban"),0)),
    INDEX(All_India_Index_Upto_April23__1___1[Transport and communication],
      MATCH(1,(All_India_Index_Upto_April23__1___1[Date]=$A13)*
              (All_India_Index_Upto_April23__1___1[Sector]="Rural+Urban"),0)),
    INDEX(All_India_Index_Upto_April23__1___1[Recreation and amusement],
      MATCH(1,(All_India_Index_Upto_April23__1___1[Date]=$A13)*
              (All_India_Index_Upto_April23__1___1[Sector]="Rural+Urban"),0)),
    INDEX(All_India_Index_Upto_April23__1___1[Education],
      MATCH(1,(All_India_Index_Upto_April23__1___1[Date]=$A13)*
              (All_India_Index_Upto_April23__1___1[Sector]="Rural+Urban"),0)),
    INDEX(All_India_Index_Upto_April23__1___1[Personal care and effects],
      MATCH(1,(All_India_Index_Upto_April23__1___1[Date]=$A13)*
              (All_India_Index_Upto_April23__1___1[Sector]="Rural+Urban"),0)),
    INDEX(All_India_Index_Upto_April23__1___1[Miscellaneous],
      MATCH(1,(All_India_Index_Upto_April23__1___1[Date]=$A13)*
              (All_India_Index_Upto_April23__1___1[Sector]="Rural+Urban"),0))
  ),
"")</f>
        <v>134.99166666666667</v>
      </c>
      <c r="Z13" s="2" cm="1">
        <f t="array" ref="Z13">IFERROR(
  AVERAGE(
    INDEX(All_India_Index_Upto_April23__1___1[Pan, tobacco and intoxicants],
      MATCH(1,(All_India_Index_Upto_April23__1___1[Date]=EDATE($A13,-12))*
              (All_India_Index_Upto_April23__1___1[Sector]="Rural+Urban"),0)),
    INDEX(All_India_Index_Upto_April23__1___1[Clothing],
      MATCH(1,(All_India_Index_Upto_April23__1___1[Date]=EDATE($A13,-12))*
              (All_India_Index_Upto_April23__1___1[Sector]="Rural+Urban"),0)),
    INDEX(All_India_Index_Upto_April23__1___1[Footwear],
      MATCH(1,(All_India_Index_Upto_April23__1___1[Date]=EDATE($A13,-12))*
              (All_India_Index_Upto_April23__1___1[Sector]="Rural+Urban"),0)),
    INDEX(All_India_Index_Upto_April23__1___1[Clothing and footwear],
      MATCH(1,(All_India_Index_Upto_April23__1___1[Date]=EDATE($A13,-12))*
              (All_India_Index_Upto_April23__1___1[Sector]="Rural+Urban"),0)),
    INDEX(All_India_Index_Upto_April23__1___1[Housing],
      MATCH(1,(All_India_Index_Upto_April23__1___1[Date]=EDATE($A13,-12))*
              (All_India_Index_Upto_April23__1___1[Sector]="Rural+Urban"),0)),
    INDEX(All_India_Index_Upto_April23__1___1[Fuel and light],
      MATCH(1,(All_India_Index_Upto_April23__1___1[Date]=EDATE($A13,-12))*
              (All_India_Index_Upto_April23__1___1[Sector]="Rural+Urban"),0)),
    INDEX(All_India_Index_Upto_April23__1___1[Household goods and services],
      MATCH(1,(All_India_Index_Upto_April23__1___1[Date]=EDATE($A13,-12))*
              (All_India_Index_Upto_April23__1___1[Sector]="Rural+Urban"),0)),
    INDEX(All_India_Index_Upto_April23__1___1[Health],
      MATCH(1,(All_India_Index_Upto_April23__1___1[Date]=EDATE($A13,-12))*
              (All_India_Index_Upto_April23__1___1[Sector]="Rural+Urban"),0)),
    INDEX(All_India_Index_Upto_April23__1___1[Transport and communication],
      MATCH(1,(All_India_Index_Upto_April23__1___1[Date]=EDATE($A13,-12))*
              (All_India_Index_Upto_April23__1___1[Sector]="Rural+Urban"),0)),
    INDEX(All_India_Index_Upto_April23__1___1[Recreation and amusement],
      MATCH(1,(All_India_Index_Upto_April23__1___1[Date]=EDATE($A13,-12))*
              (All_India_Index_Upto_April23__1___1[Sector]="Rural+Urban"),0)),
    INDEX(All_India_Index_Upto_April23__1___1[Education],
      MATCH(1,(All_India_Index_Upto_April23__1___1[Date]=EDATE($A13,-12))*
              (All_India_Index_Upto_April23__1___1[Sector]="Rural+Urban"),0)),
    INDEX(All_India_Index_Upto_April23__1___1[Personal care and effects],
      MATCH(1,(All_India_Index_Upto_April23__1___1[Date]=EDATE($A13,-12))*
              (All_India_Index_Upto_April23__1___1[Sector]="Rural+Urban"),0)),
    INDEX(All_India_Index_Upto_April23__1___1[Miscellaneous],
      MATCH(1,(All_India_Index_Upto_April23__1___1[Date]=EDATE($A13,-12))*
              (All_India_Index_Upto_April23__1___1[Sector]="Rural+Urban"),0))
  ),
"")</f>
        <v>128.80000000000001</v>
      </c>
      <c r="AA13" s="8">
        <f t="shared" si="6"/>
        <v>4.8071946169772221E-2</v>
      </c>
      <c r="AB13" t="str">
        <f t="shared" si="7"/>
        <v>Pre-COVID</v>
      </c>
    </row>
    <row r="14" spans="1:32" x14ac:dyDescent="0.2">
      <c r="A14" s="22">
        <v>43101</v>
      </c>
      <c r="B14">
        <v>2018</v>
      </c>
      <c r="C14" t="s">
        <v>31</v>
      </c>
      <c r="D14" s="2" cm="1">
        <f t="array" ref="D14">IFERROR(
  INDEX(
    All_India_Index_Upto_April23__1___1[General index],
    MATCH(
      1,
      (All_India_Index_Upto_April23__1___1[Sector]="Rural+Urban") *
      (All_India_Index_Upto_April23__1___1[Date]=A14),
      0
    )
  ),
"")</f>
        <v>136.9</v>
      </c>
      <c r="E14" s="2" cm="1">
        <f t="array" ref="E14">IFERROR(
  INDEX(
    All_India_Index_Upto_April23__1___1[General index],
    MATCH(
      1,
      (All_India_Index_Upto_April23__1___1[Sector]="Rural+Urban") *
      (All_India_Index_Upto_April23__1___1[Date]=EDATE(A14,-12)),
      0
    )
  ),
"")</f>
        <v>130.30000000000001</v>
      </c>
      <c r="F14" s="8">
        <f t="shared" si="0"/>
        <v>5.0652340752110447E-2</v>
      </c>
      <c r="G14" t="str">
        <f t="shared" si="1"/>
        <v>Pre-COVID</v>
      </c>
      <c r="O14" s="2" cm="1">
        <f t="array" ref="O14">IFERROR(
  AVERAGE(
    INDEX(All_India_Index_Upto_April23__1___1[Cereals and products],
      MATCH(1,(All_India_Index_Upto_April23__1___1[Date]=$A14)*
              (All_India_Index_Upto_April23__1___1[Sector]="Rural+Urban"),0)),
    INDEX(All_India_Index_Upto_April23__1___1[Meat and fish],
      MATCH(1,(All_India_Index_Upto_April23__1___1[Date]=$A14)*
              (All_India_Index_Upto_April23__1___1[Sector]="Rural+Urban"),0)),
    INDEX(All_India_Index_Upto_April23__1___1[Egg],
      MATCH(1,(All_India_Index_Upto_April23__1___1[Date]=$A14)*
              (All_India_Index_Upto_April23__1___1[Sector]="Rural+Urban"),0)),
    INDEX(All_India_Index_Upto_April23__1___1[Milk and products],
      MATCH(1,(All_India_Index_Upto_April23__1___1[Date]=$A14)*
              (All_India_Index_Upto_April23__1___1[Sector]="Rural+Urban"),0)),
    INDEX(All_India_Index_Upto_April23__1___1[Oils and fats],
      MATCH(1,(All_India_Index_Upto_April23__1___1[Date]=$A14)*
              (All_India_Index_Upto_April23__1___1[Sector]="Rural+Urban"),0)),
    INDEX(All_India_Index_Upto_April23__1___1[Fruits],
      MATCH(1,(All_India_Index_Upto_April23__1___1[Date]=$A14)*
              (All_India_Index_Upto_April23__1___1[Sector]="Rural+Urban"),0)),
    INDEX(All_India_Index_Upto_April23__1___1[Vegetables],
      MATCH(1,(All_India_Index_Upto_April23__1___1[Date]=$A14)*
              (All_India_Index_Upto_April23__1___1[Sector]="Rural+Urban"),0)),
    INDEX(All_India_Index_Upto_April23__1___1[Pulses and products],
      MATCH(1,(All_India_Index_Upto_April23__1___1[Date]=$A14)*
              (All_India_Index_Upto_April23__1___1[Sector]="Rural+Urban"),0)),
    INDEX(All_India_Index_Upto_April23__1___1[Sugar and Confectionery],
      MATCH(1,(All_India_Index_Upto_April23__1___1[Date]=$A14)*
              (All_India_Index_Upto_April23__1___1[Sector]="Rural+Urban"),0)),
    INDEX(All_India_Index_Upto_April23__1___1[Spices],
      MATCH(1,(All_India_Index_Upto_April23__1___1[Date]=$A14)*
              (All_India_Index_Upto_April23__1___1[Sector]="Rural+Urban"),0)),
    INDEX(All_India_Index_Upto_April23__1___1[Non-alcoholic beverages],
      MATCH(1,(All_India_Index_Upto_April23__1___1[Date]=$A14)*
              (All_India_Index_Upto_April23__1___1[Sector]="Rural+Urban"),0)),
    INDEX(All_India_Index_Upto_April23__1___1[Prepared meals, snacks, sweets etc.],
      MATCH(1,(All_India_Index_Upto_April23__1___1[Date]=$A14)*
              (All_India_Index_Upto_April23__1___1[Sector]="Rural+Urban"),0))
  ),
"")</f>
        <v>136.72499999999999</v>
      </c>
      <c r="P14" s="2" cm="1">
        <f t="array" ref="P14">IFERROR(
  AVERAGE(
    INDEX(All_India_Index_Upto_April23__1___1[Cereals and products],
      MATCH(1,(All_India_Index_Upto_April23__1___1[Date]=EDATE($A14,-12))*
              (All_India_Index_Upto_April23__1___1[Sector]="Rural+Urban"),0)),
    INDEX(All_India_Index_Upto_April23__1___1[Meat and fish],
      MATCH(1,(All_India_Index_Upto_April23__1___1[Date]=EDATE($A14,-12))*
              (All_India_Index_Upto_April23__1___1[Sector]="Rural+Urban"),0)),
    INDEX(All_India_Index_Upto_April23__1___1[Egg],
      MATCH(1,(All_India_Index_Upto_April23__1___1[Date]=EDATE($A14,-12))*
              (All_India_Index_Upto_April23__1___1[Sector]="Rural+Urban"),0)),
    INDEX(All_India_Index_Upto_April23__1___1[Milk and products],
      MATCH(1,(All_India_Index_Upto_April23__1___1[Date]=EDATE($A14,-12))*
              (All_India_Index_Upto_April23__1___1[Sector]="Rural+Urban"),0)),
    INDEX(All_India_Index_Upto_April23__1___1[Oils and fats],
      MATCH(1,(All_India_Index_Upto_April23__1___1[Date]=EDATE($A14,-12))*
              (All_India_Index_Upto_April23__1___1[Sector]="Rural+Urban"),0)),
    INDEX(All_India_Index_Upto_April23__1___1[Fruits],
      MATCH(1,(All_India_Index_Upto_April23__1___1[Date]=EDATE($A14,-12))*
              (All_India_Index_Upto_April23__1___1[Sector]="Rural+Urban"),0)),
    INDEX(All_India_Index_Upto_April23__1___1[Vegetables],
      MATCH(1,(All_India_Index_Upto_April23__1___1[Date]=EDATE($A14,-12))*
              (All_India_Index_Upto_April23__1___1[Sector]="Rural+Urban"),0)),
    INDEX(All_India_Index_Upto_April23__1___1[Pulses and products],
      MATCH(1,(All_India_Index_Upto_April23__1___1[Date]=EDATE($A14,-12))*
              (All_India_Index_Upto_April23__1___1[Sector]="Rural+Urban"),0)),
    INDEX(All_India_Index_Upto_April23__1___1[Sugar and Confectionery],
      MATCH(1,(All_India_Index_Upto_April23__1___1[Date]=EDATE($A14,-12))*
              (All_India_Index_Upto_April23__1___1[Sector]="Rural+Urban"),0)),
    INDEX(All_India_Index_Upto_April23__1___1[Spices],
      MATCH(1,(All_India_Index_Upto_April23__1___1[Date]=EDATE($A14,-12))*
              (All_India_Index_Upto_April23__1___1[Sector]="Rural+Urban"),0)),
    INDEX(All_India_Index_Upto_April23__1___1[Non-alcoholic beverages],
      MATCH(1,(All_India_Index_Upto_April23__1___1[Date]=EDATE($A14,-12))*
              (All_India_Index_Upto_April23__1___1[Sector]="Rural+Urban"),0)),
    INDEX(All_India_Index_Upto_April23__1___1[Prepared meals, snacks, sweets etc.],
      MATCH(1,(All_India_Index_Upto_April23__1___1[Date]=EDATE($A14,-12))*
              (All_India_Index_Upto_April23__1___1[Sector]="Rural+Urban"),0))
  ),
"")</f>
        <v>132.84999999999997</v>
      </c>
      <c r="Q14" s="8">
        <f t="shared" si="2"/>
        <v>2.9168234851336315E-2</v>
      </c>
      <c r="R14" t="str">
        <f t="shared" si="3"/>
        <v>Pre-COVID</v>
      </c>
      <c r="T14" s="2" cm="1">
        <f t="array" ref="T14">IFERROR(
  INDEX(
    All_India_Index_Upto_April23__1___1[Health],
    MATCH(
      1,
      (All_India_Index_Upto_April23__1___1[Date]=$A14) *
      (All_India_Index_Upto_April23__1___1[Sector]="Rural+Urban"),
      0
    )
  ),
"")</f>
        <v>133.30000000000001</v>
      </c>
      <c r="U14" s="2" cm="1">
        <f t="array" ref="U14">IFERROR(
  INDEX(
    All_India_Index_Upto_April23__1___1[Health],
    MATCH(
      1,
      (All_India_Index_Upto_April23__1___1[Date]=EDATE($A14,-12)) *
      (All_India_Index_Upto_April23__1___1[Sector]="Rural+Urban"),
      0
    )
  ),
"")</f>
        <v>127.1</v>
      </c>
      <c r="V14" s="8">
        <f t="shared" si="4"/>
        <v>4.8780487804878182E-2</v>
      </c>
      <c r="W14" t="str">
        <f t="shared" si="5"/>
        <v>Pre-COVID</v>
      </c>
      <c r="Y14" s="2" cm="1">
        <f t="array" ref="Y14">IFERROR(
  AVERAGE(
    INDEX(All_India_Index_Upto_April23__1___1[Pan, tobacco and intoxicants],
      MATCH(1,(All_India_Index_Upto_April23__1___1[Date]=$A14)*
              (All_India_Index_Upto_April23__1___1[Sector]="Rural+Urban"),0)),
    INDEX(All_India_Index_Upto_April23__1___1[Clothing],
      MATCH(1,(All_India_Index_Upto_April23__1___1[Date]=$A14)*
              (All_India_Index_Upto_April23__1___1[Sector]="Rural+Urban"),0)),
    INDEX(All_India_Index_Upto_April23__1___1[Footwear],
      MATCH(1,(All_India_Index_Upto_April23__1___1[Date]=$A14)*
              (All_India_Index_Upto_April23__1___1[Sector]="Rural+Urban"),0)),
    INDEX(All_India_Index_Upto_April23__1___1[Clothing and footwear],
      MATCH(1,(All_India_Index_Upto_April23__1___1[Date]=$A14)*
              (All_India_Index_Upto_April23__1___1[Sector]="Rural+Urban"),0)),
    INDEX(All_India_Index_Upto_April23__1___1[Housing],
      MATCH(1,(All_India_Index_Upto_April23__1___1[Date]=$A14)*
              (All_India_Index_Upto_April23__1___1[Sector]="Rural+Urban"),0)),
    INDEX(All_India_Index_Upto_April23__1___1[Fuel and light],
      MATCH(1,(All_India_Index_Upto_April23__1___1[Date]=$A14)*
              (All_India_Index_Upto_April23__1___1[Sector]="Rural+Urban"),0)),
    INDEX(All_India_Index_Upto_April23__1___1[Household goods and services],
      MATCH(1,(All_India_Index_Upto_April23__1___1[Date]=$A14)*
              (All_India_Index_Upto_April23__1___1[Sector]="Rural+Urban"),0)),
    INDEX(All_India_Index_Upto_April23__1___1[Health],
      MATCH(1,(All_India_Index_Upto_April23__1___1[Date]=$A14)*
              (All_India_Index_Upto_April23__1___1[Sector]="Rural+Urban"),0)),
    INDEX(All_India_Index_Upto_April23__1___1[Transport and communication],
      MATCH(1,(All_India_Index_Upto_April23__1___1[Date]=$A14)*
              (All_India_Index_Upto_April23__1___1[Sector]="Rural+Urban"),0)),
    INDEX(All_India_Index_Upto_April23__1___1[Recreation and amusement],
      MATCH(1,(All_India_Index_Upto_April23__1___1[Date]=$A14)*
              (All_India_Index_Upto_April23__1___1[Sector]="Rural+Urban"),0)),
    INDEX(All_India_Index_Upto_April23__1___1[Education],
      MATCH(1,(All_India_Index_Upto_April23__1___1[Date]=$A14)*
              (All_India_Index_Upto_April23__1___1[Sector]="Rural+Urban"),0)),
    INDEX(All_India_Index_Upto_April23__1___1[Personal care and effects],
      MATCH(1,(All_India_Index_Upto_April23__1___1[Date]=$A14)*
              (All_India_Index_Upto_April23__1___1[Sector]="Rural+Urban"),0)),
    INDEX(All_India_Index_Upto_April23__1___1[Miscellaneous],
      MATCH(1,(All_India_Index_Upto_April23__1___1[Date]=$A14)*
              (All_India_Index_Upto_April23__1___1[Sector]="Rural+Urban"),0))
  ),
"")</f>
        <v>135.43333333333331</v>
      </c>
      <c r="Z14" s="2" cm="1">
        <f t="array" ref="Z14">IFERROR(
  AVERAGE(
    INDEX(All_India_Index_Upto_April23__1___1[Pan, tobacco and intoxicants],
      MATCH(1,(All_India_Index_Upto_April23__1___1[Date]=EDATE($A14,-12))*
              (All_India_Index_Upto_April23__1___1[Sector]="Rural+Urban"),0)),
    INDEX(All_India_Index_Upto_April23__1___1[Clothing],
      MATCH(1,(All_India_Index_Upto_April23__1___1[Date]=EDATE($A14,-12))*
              (All_India_Index_Upto_April23__1___1[Sector]="Rural+Urban"),0)),
    INDEX(All_India_Index_Upto_April23__1___1[Footwear],
      MATCH(1,(All_India_Index_Upto_April23__1___1[Date]=EDATE($A14,-12))*
              (All_India_Index_Upto_April23__1___1[Sector]="Rural+Urban"),0)),
    INDEX(All_India_Index_Upto_April23__1___1[Clothing and footwear],
      MATCH(1,(All_India_Index_Upto_April23__1___1[Date]=EDATE($A14,-12))*
              (All_India_Index_Upto_April23__1___1[Sector]="Rural+Urban"),0)),
    INDEX(All_India_Index_Upto_April23__1___1[Housing],
      MATCH(1,(All_India_Index_Upto_April23__1___1[Date]=EDATE($A14,-12))*
              (All_India_Index_Upto_April23__1___1[Sector]="Rural+Urban"),0)),
    INDEX(All_India_Index_Upto_April23__1___1[Fuel and light],
      MATCH(1,(All_India_Index_Upto_April23__1___1[Date]=EDATE($A14,-12))*
              (All_India_Index_Upto_April23__1___1[Sector]="Rural+Urban"),0)),
    INDEX(All_India_Index_Upto_April23__1___1[Household goods and services],
      MATCH(1,(All_India_Index_Upto_April23__1___1[Date]=EDATE($A14,-12))*
              (All_India_Index_Upto_April23__1___1[Sector]="Rural+Urban"),0)),
    INDEX(All_India_Index_Upto_April23__1___1[Health],
      MATCH(1,(All_India_Index_Upto_April23__1___1[Date]=EDATE($A14,-12))*
              (All_India_Index_Upto_April23__1___1[Sector]="Rural+Urban"),0)),
    INDEX(All_India_Index_Upto_April23__1___1[Transport and communication],
      MATCH(1,(All_India_Index_Upto_April23__1___1[Date]=EDATE($A14,-12))*
              (All_India_Index_Upto_April23__1___1[Sector]="Rural+Urban"),0)),
    INDEX(All_India_Index_Upto_April23__1___1[Recreation and amusement],
      MATCH(1,(All_India_Index_Upto_April23__1___1[Date]=EDATE($A14,-12))*
              (All_India_Index_Upto_April23__1___1[Sector]="Rural+Urban"),0)),
    INDEX(All_India_Index_Upto_April23__1___1[Education],
      MATCH(1,(All_India_Index_Upto_April23__1___1[Date]=EDATE($A14,-12))*
              (All_India_Index_Upto_April23__1___1[Sector]="Rural+Urban"),0)),
    INDEX(All_India_Index_Upto_April23__1___1[Personal care and effects],
      MATCH(1,(All_India_Index_Upto_April23__1___1[Date]=EDATE($A14,-12))*
              (All_India_Index_Upto_April23__1___1[Sector]="Rural+Urban"),0)),
    INDEX(All_India_Index_Upto_April23__1___1[Miscellaneous],
      MATCH(1,(All_India_Index_Upto_April23__1___1[Date]=EDATE($A14,-12))*
              (All_India_Index_Upto_April23__1___1[Sector]="Rural+Urban"),0))
  ),
"")</f>
        <v>129.17500000000001</v>
      </c>
      <c r="AA14" s="8">
        <f t="shared" si="6"/>
        <v>4.8448487194374272E-2</v>
      </c>
      <c r="AB14" t="str">
        <f t="shared" si="7"/>
        <v>Pre-COVID</v>
      </c>
    </row>
    <row r="15" spans="1:32" x14ac:dyDescent="0.2">
      <c r="A15" s="22">
        <v>43132</v>
      </c>
      <c r="B15">
        <v>2018</v>
      </c>
      <c r="C15" t="s">
        <v>35</v>
      </c>
      <c r="D15" s="2" cm="1">
        <f t="array" ref="D15">IFERROR(
  INDEX(
    All_India_Index_Upto_April23__1___1[General index],
    MATCH(
      1,
      (All_India_Index_Upto_April23__1___1[Sector]="Rural+Urban") *
      (All_India_Index_Upto_April23__1___1[Date]=A15),
      0
    )
  ),
"")</f>
        <v>136.4</v>
      </c>
      <c r="E15" s="2" cm="1">
        <f t="array" ref="E15">IFERROR(
  INDEX(
    All_India_Index_Upto_April23__1___1[General index],
    MATCH(
      1,
      (All_India_Index_Upto_April23__1___1[Sector]="Rural+Urban") *
      (All_India_Index_Upto_April23__1___1[Date]=EDATE(A15,-12)),
      0
    )
  ),
"")</f>
        <v>130.6</v>
      </c>
      <c r="F15" s="8">
        <f t="shared" si="0"/>
        <v>4.4410413476263511E-2</v>
      </c>
      <c r="G15" t="str">
        <f t="shared" si="1"/>
        <v>Pre-COVID</v>
      </c>
      <c r="O15" s="2" cm="1">
        <f t="array" ref="O15">IFERROR(
  AVERAGE(
    INDEX(All_India_Index_Upto_April23__1___1[Cereals and products],
      MATCH(1,(All_India_Index_Upto_April23__1___1[Date]=$A15)*
              (All_India_Index_Upto_April23__1___1[Sector]="Rural+Urban"),0)),
    INDEX(All_India_Index_Upto_April23__1___1[Meat and fish],
      MATCH(1,(All_India_Index_Upto_April23__1___1[Date]=$A15)*
              (All_India_Index_Upto_April23__1___1[Sector]="Rural+Urban"),0)),
    INDEX(All_India_Index_Upto_April23__1___1[Egg],
      MATCH(1,(All_India_Index_Upto_April23__1___1[Date]=$A15)*
              (All_India_Index_Upto_April23__1___1[Sector]="Rural+Urban"),0)),
    INDEX(All_India_Index_Upto_April23__1___1[Milk and products],
      MATCH(1,(All_India_Index_Upto_April23__1___1[Date]=$A15)*
              (All_India_Index_Upto_April23__1___1[Sector]="Rural+Urban"),0)),
    INDEX(All_India_Index_Upto_April23__1___1[Oils and fats],
      MATCH(1,(All_India_Index_Upto_April23__1___1[Date]=$A15)*
              (All_India_Index_Upto_April23__1___1[Sector]="Rural+Urban"),0)),
    INDEX(All_India_Index_Upto_April23__1___1[Fruits],
      MATCH(1,(All_India_Index_Upto_April23__1___1[Date]=$A15)*
              (All_India_Index_Upto_April23__1___1[Sector]="Rural+Urban"),0)),
    INDEX(All_India_Index_Upto_April23__1___1[Vegetables],
      MATCH(1,(All_India_Index_Upto_April23__1___1[Date]=$A15)*
              (All_India_Index_Upto_April23__1___1[Sector]="Rural+Urban"),0)),
    INDEX(All_India_Index_Upto_April23__1___1[Pulses and products],
      MATCH(1,(All_India_Index_Upto_April23__1___1[Date]=$A15)*
              (All_India_Index_Upto_April23__1___1[Sector]="Rural+Urban"),0)),
    INDEX(All_India_Index_Upto_April23__1___1[Sugar and Confectionery],
      MATCH(1,(All_India_Index_Upto_April23__1___1[Date]=$A15)*
              (All_India_Index_Upto_April23__1___1[Sector]="Rural+Urban"),0)),
    INDEX(All_India_Index_Upto_April23__1___1[Spices],
      MATCH(1,(All_India_Index_Upto_April23__1___1[Date]=$A15)*
              (All_India_Index_Upto_April23__1___1[Sector]="Rural+Urban"),0)),
    INDEX(All_India_Index_Upto_April23__1___1[Non-alcoholic beverages],
      MATCH(1,(All_India_Index_Upto_April23__1___1[Date]=$A15)*
              (All_India_Index_Upto_April23__1___1[Sector]="Rural+Urban"),0)),
    INDEX(All_India_Index_Upto_April23__1___1[Prepared meals, snacks, sweets etc.],
      MATCH(1,(All_India_Index_Upto_April23__1___1[Date]=$A15)*
              (All_India_Index_Upto_April23__1___1[Sector]="Rural+Urban"),0))
  ),
"")</f>
        <v>135.23333333333332</v>
      </c>
      <c r="P15" s="2" cm="1">
        <f t="array" ref="P15">IFERROR(
  AVERAGE(
    INDEX(All_India_Index_Upto_April23__1___1[Cereals and products],
      MATCH(1,(All_India_Index_Upto_April23__1___1[Date]=EDATE($A15,-12))*
              (All_India_Index_Upto_April23__1___1[Sector]="Rural+Urban"),0)),
    INDEX(All_India_Index_Upto_April23__1___1[Meat and fish],
      MATCH(1,(All_India_Index_Upto_April23__1___1[Date]=EDATE($A15,-12))*
              (All_India_Index_Upto_April23__1___1[Sector]="Rural+Urban"),0)),
    INDEX(All_India_Index_Upto_April23__1___1[Egg],
      MATCH(1,(All_India_Index_Upto_April23__1___1[Date]=EDATE($A15,-12))*
              (All_India_Index_Upto_April23__1___1[Sector]="Rural+Urban"),0)),
    INDEX(All_India_Index_Upto_April23__1___1[Milk and products],
      MATCH(1,(All_India_Index_Upto_April23__1___1[Date]=EDATE($A15,-12))*
              (All_India_Index_Upto_April23__1___1[Sector]="Rural+Urban"),0)),
    INDEX(All_India_Index_Upto_April23__1___1[Oils and fats],
      MATCH(1,(All_India_Index_Upto_April23__1___1[Date]=EDATE($A15,-12))*
              (All_India_Index_Upto_April23__1___1[Sector]="Rural+Urban"),0)),
    INDEX(All_India_Index_Upto_April23__1___1[Fruits],
      MATCH(1,(All_India_Index_Upto_April23__1___1[Date]=EDATE($A15,-12))*
              (All_India_Index_Upto_April23__1___1[Sector]="Rural+Urban"),0)),
    INDEX(All_India_Index_Upto_April23__1___1[Vegetables],
      MATCH(1,(All_India_Index_Upto_April23__1___1[Date]=EDATE($A15,-12))*
              (All_India_Index_Upto_April23__1___1[Sector]="Rural+Urban"),0)),
    INDEX(All_India_Index_Upto_April23__1___1[Pulses and products],
      MATCH(1,(All_India_Index_Upto_April23__1___1[Date]=EDATE($A15,-12))*
              (All_India_Index_Upto_April23__1___1[Sector]="Rural+Urban"),0)),
    INDEX(All_India_Index_Upto_April23__1___1[Sugar and Confectionery],
      MATCH(1,(All_India_Index_Upto_April23__1___1[Date]=EDATE($A15,-12))*
              (All_India_Index_Upto_April23__1___1[Sector]="Rural+Urban"),0)),
    INDEX(All_India_Index_Upto_April23__1___1[Spices],
      MATCH(1,(All_India_Index_Upto_April23__1___1[Date]=EDATE($A15,-12))*
              (All_India_Index_Upto_April23__1___1[Sector]="Rural+Urban"),0)),
    INDEX(All_India_Index_Upto_April23__1___1[Non-alcoholic beverages],
      MATCH(1,(All_India_Index_Upto_April23__1___1[Date]=EDATE($A15,-12))*
              (All_India_Index_Upto_April23__1___1[Sector]="Rural+Urban"),0)),
    INDEX(All_India_Index_Upto_April23__1___1[Prepared meals, snacks, sweets etc.],
      MATCH(1,(All_India_Index_Upto_April23__1___1[Date]=EDATE($A15,-12))*
              (All_India_Index_Upto_April23__1___1[Sector]="Rural+Urban"),0))
  ),
"")</f>
        <v>132.44166666666669</v>
      </c>
      <c r="Q15" s="8">
        <f t="shared" si="2"/>
        <v>2.1078462216069679E-2</v>
      </c>
      <c r="R15" t="str">
        <f t="shared" si="3"/>
        <v>Pre-COVID</v>
      </c>
      <c r="T15" s="2" cm="1">
        <f t="array" ref="T15">IFERROR(
  INDEX(
    All_India_Index_Upto_April23__1___1[Health],
    MATCH(
      1,
      (All_India_Index_Upto_April23__1___1[Date]=$A15) *
      (All_India_Index_Upto_April23__1___1[Sector]="Rural+Urban"),
      0
    )
  ),
"")</f>
        <v>133.80000000000001</v>
      </c>
      <c r="U15" s="2" cm="1">
        <f t="array" ref="U15">IFERROR(
  INDEX(
    All_India_Index_Upto_April23__1___1[Health],
    MATCH(
      1,
      (All_India_Index_Upto_April23__1___1[Date]=EDATE($A15,-12)) *
      (All_India_Index_Upto_April23__1___1[Sector]="Rural+Urban"),
      0
    )
  ),
"")</f>
        <v>127.4</v>
      </c>
      <c r="V15" s="8">
        <f t="shared" si="4"/>
        <v>5.0235478806907423E-2</v>
      </c>
      <c r="W15" t="str">
        <f t="shared" si="5"/>
        <v>Pre-COVID</v>
      </c>
      <c r="Y15" s="2" cm="1">
        <f t="array" ref="Y15">IFERROR(
  AVERAGE(
    INDEX(All_India_Index_Upto_April23__1___1[Pan, tobacco and intoxicants],
      MATCH(1,(All_India_Index_Upto_April23__1___1[Date]=$A15)*
              (All_India_Index_Upto_April23__1___1[Sector]="Rural+Urban"),0)),
    INDEX(All_India_Index_Upto_April23__1___1[Clothing],
      MATCH(1,(All_India_Index_Upto_April23__1___1[Date]=$A15)*
              (All_India_Index_Upto_April23__1___1[Sector]="Rural+Urban"),0)),
    INDEX(All_India_Index_Upto_April23__1___1[Footwear],
      MATCH(1,(All_India_Index_Upto_April23__1___1[Date]=$A15)*
              (All_India_Index_Upto_April23__1___1[Sector]="Rural+Urban"),0)),
    INDEX(All_India_Index_Upto_April23__1___1[Clothing and footwear],
      MATCH(1,(All_India_Index_Upto_April23__1___1[Date]=$A15)*
              (All_India_Index_Upto_April23__1___1[Sector]="Rural+Urban"),0)),
    INDEX(All_India_Index_Upto_April23__1___1[Housing],
      MATCH(1,(All_India_Index_Upto_April23__1___1[Date]=$A15)*
              (All_India_Index_Upto_April23__1___1[Sector]="Rural+Urban"),0)),
    INDEX(All_India_Index_Upto_April23__1___1[Fuel and light],
      MATCH(1,(All_India_Index_Upto_April23__1___1[Date]=$A15)*
              (All_India_Index_Upto_April23__1___1[Sector]="Rural+Urban"),0)),
    INDEX(All_India_Index_Upto_April23__1___1[Household goods and services],
      MATCH(1,(All_India_Index_Upto_April23__1___1[Date]=$A15)*
              (All_India_Index_Upto_April23__1___1[Sector]="Rural+Urban"),0)),
    INDEX(All_India_Index_Upto_April23__1___1[Health],
      MATCH(1,(All_India_Index_Upto_April23__1___1[Date]=$A15)*
              (All_India_Index_Upto_April23__1___1[Sector]="Rural+Urban"),0)),
    INDEX(All_India_Index_Upto_April23__1___1[Transport and communication],
      MATCH(1,(All_India_Index_Upto_April23__1___1[Date]=$A15)*
              (All_India_Index_Upto_April23__1___1[Sector]="Rural+Urban"),0)),
    INDEX(All_India_Index_Upto_April23__1___1[Recreation and amusement],
      MATCH(1,(All_India_Index_Upto_April23__1___1[Date]=$A15)*
              (All_India_Index_Upto_April23__1___1[Sector]="Rural+Urban"),0)),
    INDEX(All_India_Index_Upto_April23__1___1[Education],
      MATCH(1,(All_India_Index_Upto_April23__1___1[Date]=$A15)*
              (All_India_Index_Upto_April23__1___1[Sector]="Rural+Urban"),0)),
    INDEX(All_India_Index_Upto_April23__1___1[Personal care and effects],
      MATCH(1,(All_India_Index_Upto_April23__1___1[Date]=$A15)*
              (All_India_Index_Upto_April23__1___1[Sector]="Rural+Urban"),0)),
    INDEX(All_India_Index_Upto_April23__1___1[Miscellaneous],
      MATCH(1,(All_India_Index_Upto_April23__1___1[Date]=$A15)*
              (All_India_Index_Upto_April23__1___1[Sector]="Rural+Urban"),0))
  ),
"")</f>
        <v>135.75000000000003</v>
      </c>
      <c r="Z15" s="2" cm="1">
        <f t="array" ref="Z15">IFERROR(
  AVERAGE(
    INDEX(All_India_Index_Upto_April23__1___1[Pan, tobacco and intoxicants],
      MATCH(1,(All_India_Index_Upto_April23__1___1[Date]=EDATE($A15,-12))*
              (All_India_Index_Upto_April23__1___1[Sector]="Rural+Urban"),0)),
    INDEX(All_India_Index_Upto_April23__1___1[Clothing],
      MATCH(1,(All_India_Index_Upto_April23__1___1[Date]=EDATE($A15,-12))*
              (All_India_Index_Upto_April23__1___1[Sector]="Rural+Urban"),0)),
    INDEX(All_India_Index_Upto_April23__1___1[Footwear],
      MATCH(1,(All_India_Index_Upto_April23__1___1[Date]=EDATE($A15,-12))*
              (All_India_Index_Upto_April23__1___1[Sector]="Rural+Urban"),0)),
    INDEX(All_India_Index_Upto_April23__1___1[Clothing and footwear],
      MATCH(1,(All_India_Index_Upto_April23__1___1[Date]=EDATE($A15,-12))*
              (All_India_Index_Upto_April23__1___1[Sector]="Rural+Urban"),0)),
    INDEX(All_India_Index_Upto_April23__1___1[Housing],
      MATCH(1,(All_India_Index_Upto_April23__1___1[Date]=EDATE($A15,-12))*
              (All_India_Index_Upto_April23__1___1[Sector]="Rural+Urban"),0)),
    INDEX(All_India_Index_Upto_April23__1___1[Fuel and light],
      MATCH(1,(All_India_Index_Upto_April23__1___1[Date]=EDATE($A15,-12))*
              (All_India_Index_Upto_April23__1___1[Sector]="Rural+Urban"),0)),
    INDEX(All_India_Index_Upto_April23__1___1[Household goods and services],
      MATCH(1,(All_India_Index_Upto_April23__1___1[Date]=EDATE($A15,-12))*
              (All_India_Index_Upto_April23__1___1[Sector]="Rural+Urban"),0)),
    INDEX(All_India_Index_Upto_April23__1___1[Health],
      MATCH(1,(All_India_Index_Upto_April23__1___1[Date]=EDATE($A15,-12))*
              (All_India_Index_Upto_April23__1___1[Sector]="Rural+Urban"),0)),
    INDEX(All_India_Index_Upto_April23__1___1[Transport and communication],
      MATCH(1,(All_India_Index_Upto_April23__1___1[Date]=EDATE($A15,-12))*
              (All_India_Index_Upto_April23__1___1[Sector]="Rural+Urban"),0)),
    INDEX(All_India_Index_Upto_April23__1___1[Recreation and amusement],
      MATCH(1,(All_India_Index_Upto_April23__1___1[Date]=EDATE($A15,-12))*
              (All_India_Index_Upto_April23__1___1[Sector]="Rural+Urban"),0)),
    INDEX(All_India_Index_Upto_April23__1___1[Education],
      MATCH(1,(All_India_Index_Upto_April23__1___1[Date]=EDATE($A15,-12))*
              (All_India_Index_Upto_April23__1___1[Sector]="Rural+Urban"),0)),
    INDEX(All_India_Index_Upto_April23__1___1[Personal care and effects],
      MATCH(1,(All_India_Index_Upto_April23__1___1[Date]=EDATE($A15,-12))*
              (All_India_Index_Upto_April23__1___1[Sector]="Rural+Urban"),0)),
    INDEX(All_India_Index_Upto_April23__1___1[Miscellaneous],
      MATCH(1,(All_India_Index_Upto_April23__1___1[Date]=EDATE($A15,-12))*
              (All_India_Index_Upto_April23__1___1[Sector]="Rural+Urban"),0))
  ),
"")</f>
        <v>129.6</v>
      </c>
      <c r="AA15" s="8">
        <f t="shared" si="6"/>
        <v>4.745370370370397E-2</v>
      </c>
      <c r="AB15" t="str">
        <f t="shared" si="7"/>
        <v>Pre-COVID</v>
      </c>
    </row>
    <row r="16" spans="1:32" x14ac:dyDescent="0.2">
      <c r="A16" s="22">
        <v>43160</v>
      </c>
      <c r="B16">
        <v>2018</v>
      </c>
      <c r="C16" t="s">
        <v>37</v>
      </c>
      <c r="D16" s="2" cm="1">
        <f t="array" ref="D16">IFERROR(
  INDEX(
    All_India_Index_Upto_April23__1___1[General index],
    MATCH(
      1,
      (All_India_Index_Upto_April23__1___1[Sector]="Rural+Urban") *
      (All_India_Index_Upto_April23__1___1[Date]=A16),
      0
    )
  ),
"")</f>
        <v>136.5</v>
      </c>
      <c r="E16" s="2" cm="1">
        <f t="array" ref="E16">IFERROR(
  INDEX(
    All_India_Index_Upto_April23__1___1[General index],
    MATCH(
      1,
      (All_India_Index_Upto_April23__1___1[Sector]="Rural+Urban") *
      (All_India_Index_Upto_April23__1___1[Date]=EDATE(A16,-12)),
      0
    )
  ),
"")</f>
        <v>130.9</v>
      </c>
      <c r="F16" s="8">
        <f t="shared" si="0"/>
        <v>4.2780748663101553E-2</v>
      </c>
      <c r="G16" t="str">
        <f t="shared" si="1"/>
        <v>Pre-COVID</v>
      </c>
      <c r="O16" s="2" cm="1">
        <f t="array" ref="O16">IFERROR(
  AVERAGE(
    INDEX(All_India_Index_Upto_April23__1___1[Cereals and products],
      MATCH(1,(All_India_Index_Upto_April23__1___1[Date]=$A16)*
              (All_India_Index_Upto_April23__1___1[Sector]="Rural+Urban"),0)),
    INDEX(All_India_Index_Upto_April23__1___1[Meat and fish],
      MATCH(1,(All_India_Index_Upto_April23__1___1[Date]=$A16)*
              (All_India_Index_Upto_April23__1___1[Sector]="Rural+Urban"),0)),
    INDEX(All_India_Index_Upto_April23__1___1[Egg],
      MATCH(1,(All_India_Index_Upto_April23__1___1[Date]=$A16)*
              (All_India_Index_Upto_April23__1___1[Sector]="Rural+Urban"),0)),
    INDEX(All_India_Index_Upto_April23__1___1[Milk and products],
      MATCH(1,(All_India_Index_Upto_April23__1___1[Date]=$A16)*
              (All_India_Index_Upto_April23__1___1[Sector]="Rural+Urban"),0)),
    INDEX(All_India_Index_Upto_April23__1___1[Oils and fats],
      MATCH(1,(All_India_Index_Upto_April23__1___1[Date]=$A16)*
              (All_India_Index_Upto_April23__1___1[Sector]="Rural+Urban"),0)),
    INDEX(All_India_Index_Upto_April23__1___1[Fruits],
      MATCH(1,(All_India_Index_Upto_April23__1___1[Date]=$A16)*
              (All_India_Index_Upto_April23__1___1[Sector]="Rural+Urban"),0)),
    INDEX(All_India_Index_Upto_April23__1___1[Vegetables],
      MATCH(1,(All_India_Index_Upto_April23__1___1[Date]=$A16)*
              (All_India_Index_Upto_April23__1___1[Sector]="Rural+Urban"),0)),
    INDEX(All_India_Index_Upto_April23__1___1[Pulses and products],
      MATCH(1,(All_India_Index_Upto_April23__1___1[Date]=$A16)*
              (All_India_Index_Upto_April23__1___1[Sector]="Rural+Urban"),0)),
    INDEX(All_India_Index_Upto_April23__1___1[Sugar and Confectionery],
      MATCH(1,(All_India_Index_Upto_April23__1___1[Date]=$A16)*
              (All_India_Index_Upto_April23__1___1[Sector]="Rural+Urban"),0)),
    INDEX(All_India_Index_Upto_April23__1___1[Spices],
      MATCH(1,(All_India_Index_Upto_April23__1___1[Date]=$A16)*
              (All_India_Index_Upto_April23__1___1[Sector]="Rural+Urban"),0)),
    INDEX(All_India_Index_Upto_April23__1___1[Non-alcoholic beverages],
      MATCH(1,(All_India_Index_Upto_April23__1___1[Date]=$A16)*
              (All_India_Index_Upto_April23__1___1[Sector]="Rural+Urban"),0)),
    INDEX(All_India_Index_Upto_April23__1___1[Prepared meals, snacks, sweets etc.],
      MATCH(1,(All_India_Index_Upto_April23__1___1[Date]=$A16)*
              (All_India_Index_Upto_April23__1___1[Sector]="Rural+Urban"),0))
  ),
"")</f>
        <v>134.9</v>
      </c>
      <c r="P16" s="2" cm="1">
        <f t="array" ref="P16">IFERROR(
  AVERAGE(
    INDEX(All_India_Index_Upto_April23__1___1[Cereals and products],
      MATCH(1,(All_India_Index_Upto_April23__1___1[Date]=EDATE($A16,-12))*
              (All_India_Index_Upto_April23__1___1[Sector]="Rural+Urban"),0)),
    INDEX(All_India_Index_Upto_April23__1___1[Meat and fish],
      MATCH(1,(All_India_Index_Upto_April23__1___1[Date]=EDATE($A16,-12))*
              (All_India_Index_Upto_April23__1___1[Sector]="Rural+Urban"),0)),
    INDEX(All_India_Index_Upto_April23__1___1[Egg],
      MATCH(1,(All_India_Index_Upto_April23__1___1[Date]=EDATE($A16,-12))*
              (All_India_Index_Upto_April23__1___1[Sector]="Rural+Urban"),0)),
    INDEX(All_India_Index_Upto_April23__1___1[Milk and products],
      MATCH(1,(All_India_Index_Upto_April23__1___1[Date]=EDATE($A16,-12))*
              (All_India_Index_Upto_April23__1___1[Sector]="Rural+Urban"),0)),
    INDEX(All_India_Index_Upto_April23__1___1[Oils and fats],
      MATCH(1,(All_India_Index_Upto_April23__1___1[Date]=EDATE($A16,-12))*
              (All_India_Index_Upto_April23__1___1[Sector]="Rural+Urban"),0)),
    INDEX(All_India_Index_Upto_April23__1___1[Fruits],
      MATCH(1,(All_India_Index_Upto_April23__1___1[Date]=EDATE($A16,-12))*
              (All_India_Index_Upto_April23__1___1[Sector]="Rural+Urban"),0)),
    INDEX(All_India_Index_Upto_April23__1___1[Vegetables],
      MATCH(1,(All_India_Index_Upto_April23__1___1[Date]=EDATE($A16,-12))*
              (All_India_Index_Upto_April23__1___1[Sector]="Rural+Urban"),0)),
    INDEX(All_India_Index_Upto_April23__1___1[Pulses and products],
      MATCH(1,(All_India_Index_Upto_April23__1___1[Date]=EDATE($A16,-12))*
              (All_India_Index_Upto_April23__1___1[Sector]="Rural+Urban"),0)),
    INDEX(All_India_Index_Upto_April23__1___1[Sugar and Confectionery],
      MATCH(1,(All_India_Index_Upto_April23__1___1[Date]=EDATE($A16,-12))*
              (All_India_Index_Upto_April23__1___1[Sector]="Rural+Urban"),0)),
    INDEX(All_India_Index_Upto_April23__1___1[Spices],
      MATCH(1,(All_India_Index_Upto_April23__1___1[Date]=EDATE($A16,-12))*
              (All_India_Index_Upto_April23__1___1[Sector]="Rural+Urban"),0)),
    INDEX(All_India_Index_Upto_April23__1___1[Non-alcoholic beverages],
      MATCH(1,(All_India_Index_Upto_April23__1___1[Date]=EDATE($A16,-12))*
              (All_India_Index_Upto_April23__1___1[Sector]="Rural+Urban"),0)),
    INDEX(All_India_Index_Upto_April23__1___1[Prepared meals, snacks, sweets etc.],
      MATCH(1,(All_India_Index_Upto_April23__1___1[Date]=EDATE($A16,-12))*
              (All_India_Index_Upto_April23__1___1[Sector]="Rural+Urban"),0))
  ),
"")</f>
        <v>132.15</v>
      </c>
      <c r="Q16" s="8">
        <f t="shared" si="2"/>
        <v>2.0809685962920921E-2</v>
      </c>
      <c r="R16" t="str">
        <f t="shared" si="3"/>
        <v>Pre-COVID</v>
      </c>
      <c r="T16" s="2" cm="1">
        <f t="array" ref="T16">IFERROR(
  INDEX(
    All_India_Index_Upto_April23__1___1[Health],
    MATCH(
      1,
      (All_India_Index_Upto_April23__1___1[Date]=$A16) *
      (All_India_Index_Upto_April23__1___1[Sector]="Rural+Urban"),
      0
    )
  ),
"")</f>
        <v>134.30000000000001</v>
      </c>
      <c r="U16" s="2" cm="1">
        <f t="array" ref="U16">IFERROR(
  INDEX(
    All_India_Index_Upto_April23__1___1[Health],
    MATCH(
      1,
      (All_India_Index_Upto_April23__1___1[Date]=EDATE($A16,-12)) *
      (All_India_Index_Upto_April23__1___1[Sector]="Rural+Urban"),
      0
    )
  ),
"")</f>
        <v>127.8</v>
      </c>
      <c r="V16" s="8">
        <f t="shared" si="4"/>
        <v>5.0860719874804491E-2</v>
      </c>
      <c r="W16" t="str">
        <f t="shared" si="5"/>
        <v>Pre-COVID</v>
      </c>
      <c r="Y16" s="2" cm="1">
        <f t="array" ref="Y16">IFERROR(
  AVERAGE(
    INDEX(All_India_Index_Upto_April23__1___1[Pan, tobacco and intoxicants],
      MATCH(1,(All_India_Index_Upto_April23__1___1[Date]=$A16)*
              (All_India_Index_Upto_April23__1___1[Sector]="Rural+Urban"),0)),
    INDEX(All_India_Index_Upto_April23__1___1[Clothing],
      MATCH(1,(All_India_Index_Upto_April23__1___1[Date]=$A16)*
              (All_India_Index_Upto_April23__1___1[Sector]="Rural+Urban"),0)),
    INDEX(All_India_Index_Upto_April23__1___1[Footwear],
      MATCH(1,(All_India_Index_Upto_April23__1___1[Date]=$A16)*
              (All_India_Index_Upto_April23__1___1[Sector]="Rural+Urban"),0)),
    INDEX(All_India_Index_Upto_April23__1___1[Clothing and footwear],
      MATCH(1,(All_India_Index_Upto_April23__1___1[Date]=$A16)*
              (All_India_Index_Upto_April23__1___1[Sector]="Rural+Urban"),0)),
    INDEX(All_India_Index_Upto_April23__1___1[Housing],
      MATCH(1,(All_India_Index_Upto_April23__1___1[Date]=$A16)*
              (All_India_Index_Upto_April23__1___1[Sector]="Rural+Urban"),0)),
    INDEX(All_India_Index_Upto_April23__1___1[Fuel and light],
      MATCH(1,(All_India_Index_Upto_April23__1___1[Date]=$A16)*
              (All_India_Index_Upto_April23__1___1[Sector]="Rural+Urban"),0)),
    INDEX(All_India_Index_Upto_April23__1___1[Household goods and services],
      MATCH(1,(All_India_Index_Upto_April23__1___1[Date]=$A16)*
              (All_India_Index_Upto_April23__1___1[Sector]="Rural+Urban"),0)),
    INDEX(All_India_Index_Upto_April23__1___1[Health],
      MATCH(1,(All_India_Index_Upto_April23__1___1[Date]=$A16)*
              (All_India_Index_Upto_April23__1___1[Sector]="Rural+Urban"),0)),
    INDEX(All_India_Index_Upto_April23__1___1[Transport and communication],
      MATCH(1,(All_India_Index_Upto_April23__1___1[Date]=$A16)*
              (All_India_Index_Upto_April23__1___1[Sector]="Rural+Urban"),0)),
    INDEX(All_India_Index_Upto_April23__1___1[Recreation and amusement],
      MATCH(1,(All_India_Index_Upto_April23__1___1[Date]=$A16)*
              (All_India_Index_Upto_April23__1___1[Sector]="Rural+Urban"),0)),
    INDEX(All_India_Index_Upto_April23__1___1[Education],
      MATCH(1,(All_India_Index_Upto_April23__1___1[Date]=$A16)*
              (All_India_Index_Upto_April23__1___1[Sector]="Rural+Urban"),0)),
    INDEX(All_India_Index_Upto_April23__1___1[Personal care and effects],
      MATCH(1,(All_India_Index_Upto_April23__1___1[Date]=$A16)*
              (All_India_Index_Upto_April23__1___1[Sector]="Rural+Urban"),0)),
    INDEX(All_India_Index_Upto_April23__1___1[Miscellaneous],
      MATCH(1,(All_India_Index_Upto_April23__1___1[Date]=$A16)*
              (All_India_Index_Upto_April23__1___1[Sector]="Rural+Urban"),0))
  ),
"")</f>
        <v>136.33333333333334</v>
      </c>
      <c r="Z16" s="2" cm="1">
        <f t="array" ref="Z16">IFERROR(
  AVERAGE(
    INDEX(All_India_Index_Upto_April23__1___1[Pan, tobacco and intoxicants],
      MATCH(1,(All_India_Index_Upto_April23__1___1[Date]=EDATE($A16,-12))*
              (All_India_Index_Upto_April23__1___1[Sector]="Rural+Urban"),0)),
    INDEX(All_India_Index_Upto_April23__1___1[Clothing],
      MATCH(1,(All_India_Index_Upto_April23__1___1[Date]=EDATE($A16,-12))*
              (All_India_Index_Upto_April23__1___1[Sector]="Rural+Urban"),0)),
    INDEX(All_India_Index_Upto_April23__1___1[Footwear],
      MATCH(1,(All_India_Index_Upto_April23__1___1[Date]=EDATE($A16,-12))*
              (All_India_Index_Upto_April23__1___1[Sector]="Rural+Urban"),0)),
    INDEX(All_India_Index_Upto_April23__1___1[Clothing and footwear],
      MATCH(1,(All_India_Index_Upto_April23__1___1[Date]=EDATE($A16,-12))*
              (All_India_Index_Upto_April23__1___1[Sector]="Rural+Urban"),0)),
    INDEX(All_India_Index_Upto_April23__1___1[Housing],
      MATCH(1,(All_India_Index_Upto_April23__1___1[Date]=EDATE($A16,-12))*
              (All_India_Index_Upto_April23__1___1[Sector]="Rural+Urban"),0)),
    INDEX(All_India_Index_Upto_April23__1___1[Fuel and light],
      MATCH(1,(All_India_Index_Upto_April23__1___1[Date]=EDATE($A16,-12))*
              (All_India_Index_Upto_April23__1___1[Sector]="Rural+Urban"),0)),
    INDEX(All_India_Index_Upto_April23__1___1[Household goods and services],
      MATCH(1,(All_India_Index_Upto_April23__1___1[Date]=EDATE($A16,-12))*
              (All_India_Index_Upto_April23__1___1[Sector]="Rural+Urban"),0)),
    INDEX(All_India_Index_Upto_April23__1___1[Health],
      MATCH(1,(All_India_Index_Upto_April23__1___1[Date]=EDATE($A16,-12))*
              (All_India_Index_Upto_April23__1___1[Sector]="Rural+Urban"),0)),
    INDEX(All_India_Index_Upto_April23__1___1[Transport and communication],
      MATCH(1,(All_India_Index_Upto_April23__1___1[Date]=EDATE($A16,-12))*
              (All_India_Index_Upto_April23__1___1[Sector]="Rural+Urban"),0)),
    INDEX(All_India_Index_Upto_April23__1___1[Recreation and amusement],
      MATCH(1,(All_India_Index_Upto_April23__1___1[Date]=EDATE($A16,-12))*
              (All_India_Index_Upto_April23__1___1[Sector]="Rural+Urban"),0)),
    INDEX(All_India_Index_Upto_April23__1___1[Education],
      MATCH(1,(All_India_Index_Upto_April23__1___1[Date]=EDATE($A16,-12))*
              (All_India_Index_Upto_April23__1___1[Sector]="Rural+Urban"),0)),
    INDEX(All_India_Index_Upto_April23__1___1[Personal care and effects],
      MATCH(1,(All_India_Index_Upto_April23__1___1[Date]=EDATE($A16,-12))*
              (All_India_Index_Upto_April23__1___1[Sector]="Rural+Urban"),0)),
    INDEX(All_India_Index_Upto_April23__1___1[Miscellaneous],
      MATCH(1,(All_India_Index_Upto_April23__1___1[Date]=EDATE($A16,-12))*
              (All_India_Index_Upto_April23__1___1[Sector]="Rural+Urban"),0))
  ),
"")</f>
        <v>130.04166666666666</v>
      </c>
      <c r="AA16" s="8">
        <f t="shared" si="6"/>
        <v>4.8381928868952408E-2</v>
      </c>
      <c r="AB16" t="str">
        <f t="shared" si="7"/>
        <v>Pre-COVID</v>
      </c>
    </row>
    <row r="17" spans="1:28" x14ac:dyDescent="0.2">
      <c r="A17" s="22">
        <v>43191</v>
      </c>
      <c r="B17">
        <v>2018</v>
      </c>
      <c r="C17" t="s">
        <v>38</v>
      </c>
      <c r="D17" s="2" cm="1">
        <f t="array" ref="D17">IFERROR(
  INDEX(
    All_India_Index_Upto_April23__1___1[General index],
    MATCH(
      1,
      (All_India_Index_Upto_April23__1___1[Sector]="Rural+Urban") *
      (All_India_Index_Upto_April23__1___1[Date]=A17),
      0
    )
  ),
"")</f>
        <v>137.1</v>
      </c>
      <c r="E17" s="2" cm="1">
        <f t="array" ref="E17">IFERROR(
  INDEX(
    All_India_Index_Upto_April23__1___1[General index],
    MATCH(
      1,
      (All_India_Index_Upto_April23__1___1[Sector]="Rural+Urban") *
      (All_India_Index_Upto_April23__1___1[Date]=EDATE(A17,-12)),
      0
    )
  ),
"")</f>
        <v>131.1</v>
      </c>
      <c r="F17" s="8">
        <f t="shared" si="0"/>
        <v>4.5766590389016093E-2</v>
      </c>
      <c r="G17" t="str">
        <f t="shared" si="1"/>
        <v>Pre-COVID</v>
      </c>
      <c r="O17" s="2" cm="1">
        <f t="array" ref="O17">IFERROR(
  AVERAGE(
    INDEX(All_India_Index_Upto_April23__1___1[Cereals and products],
      MATCH(1,(All_India_Index_Upto_April23__1___1[Date]=$A17)*
              (All_India_Index_Upto_April23__1___1[Sector]="Rural+Urban"),0)),
    INDEX(All_India_Index_Upto_April23__1___1[Meat and fish],
      MATCH(1,(All_India_Index_Upto_April23__1___1[Date]=$A17)*
              (All_India_Index_Upto_April23__1___1[Sector]="Rural+Urban"),0)),
    INDEX(All_India_Index_Upto_April23__1___1[Egg],
      MATCH(1,(All_India_Index_Upto_April23__1___1[Date]=$A17)*
              (All_India_Index_Upto_April23__1___1[Sector]="Rural+Urban"),0)),
    INDEX(All_India_Index_Upto_April23__1___1[Milk and products],
      MATCH(1,(All_India_Index_Upto_April23__1___1[Date]=$A17)*
              (All_India_Index_Upto_April23__1___1[Sector]="Rural+Urban"),0)),
    INDEX(All_India_Index_Upto_April23__1___1[Oils and fats],
      MATCH(1,(All_India_Index_Upto_April23__1___1[Date]=$A17)*
              (All_India_Index_Upto_April23__1___1[Sector]="Rural+Urban"),0)),
    INDEX(All_India_Index_Upto_April23__1___1[Fruits],
      MATCH(1,(All_India_Index_Upto_April23__1___1[Date]=$A17)*
              (All_India_Index_Upto_April23__1___1[Sector]="Rural+Urban"),0)),
    INDEX(All_India_Index_Upto_April23__1___1[Vegetables],
      MATCH(1,(All_India_Index_Upto_April23__1___1[Date]=$A17)*
              (All_India_Index_Upto_April23__1___1[Sector]="Rural+Urban"),0)),
    INDEX(All_India_Index_Upto_April23__1___1[Pulses and products],
      MATCH(1,(All_India_Index_Upto_April23__1___1[Date]=$A17)*
              (All_India_Index_Upto_April23__1___1[Sector]="Rural+Urban"),0)),
    INDEX(All_India_Index_Upto_April23__1___1[Sugar and Confectionery],
      MATCH(1,(All_India_Index_Upto_April23__1___1[Date]=$A17)*
              (All_India_Index_Upto_April23__1___1[Sector]="Rural+Urban"),0)),
    INDEX(All_India_Index_Upto_April23__1___1[Spices],
      MATCH(1,(All_India_Index_Upto_April23__1___1[Date]=$A17)*
              (All_India_Index_Upto_April23__1___1[Sector]="Rural+Urban"),0)),
    INDEX(All_India_Index_Upto_April23__1___1[Non-alcoholic beverages],
      MATCH(1,(All_India_Index_Upto_April23__1___1[Date]=$A17)*
              (All_India_Index_Upto_April23__1___1[Sector]="Rural+Urban"),0)),
    INDEX(All_India_Index_Upto_April23__1___1[Prepared meals, snacks, sweets etc.],
      MATCH(1,(All_India_Index_Upto_April23__1___1[Date]=$A17)*
              (All_India_Index_Upto_April23__1___1[Sector]="Rural+Urban"),0))
  ),
"")</f>
        <v>134.96666666666667</v>
      </c>
      <c r="P17" s="2" cm="1">
        <f t="array" ref="P17">IFERROR(
  AVERAGE(
    INDEX(All_India_Index_Upto_April23__1___1[Cereals and products],
      MATCH(1,(All_India_Index_Upto_April23__1___1[Date]=EDATE($A17,-12))*
              (All_India_Index_Upto_April23__1___1[Sector]="Rural+Urban"),0)),
    INDEX(All_India_Index_Upto_April23__1___1[Meat and fish],
      MATCH(1,(All_India_Index_Upto_April23__1___1[Date]=EDATE($A17,-12))*
              (All_India_Index_Upto_April23__1___1[Sector]="Rural+Urban"),0)),
    INDEX(All_India_Index_Upto_April23__1___1[Egg],
      MATCH(1,(All_India_Index_Upto_April23__1___1[Date]=EDATE($A17,-12))*
              (All_India_Index_Upto_April23__1___1[Sector]="Rural+Urban"),0)),
    INDEX(All_India_Index_Upto_April23__1___1[Milk and products],
      MATCH(1,(All_India_Index_Upto_April23__1___1[Date]=EDATE($A17,-12))*
              (All_India_Index_Upto_April23__1___1[Sector]="Rural+Urban"),0)),
    INDEX(All_India_Index_Upto_April23__1___1[Oils and fats],
      MATCH(1,(All_India_Index_Upto_April23__1___1[Date]=EDATE($A17,-12))*
              (All_India_Index_Upto_April23__1___1[Sector]="Rural+Urban"),0)),
    INDEX(All_India_Index_Upto_April23__1___1[Fruits],
      MATCH(1,(All_India_Index_Upto_April23__1___1[Date]=EDATE($A17,-12))*
              (All_India_Index_Upto_April23__1___1[Sector]="Rural+Urban"),0)),
    INDEX(All_India_Index_Upto_April23__1___1[Vegetables],
      MATCH(1,(All_India_Index_Upto_April23__1___1[Date]=EDATE($A17,-12))*
              (All_India_Index_Upto_April23__1___1[Sector]="Rural+Urban"),0)),
    INDEX(All_India_Index_Upto_April23__1___1[Pulses and products],
      MATCH(1,(All_India_Index_Upto_April23__1___1[Date]=EDATE($A17,-12))*
              (All_India_Index_Upto_April23__1___1[Sector]="Rural+Urban"),0)),
    INDEX(All_India_Index_Upto_April23__1___1[Sugar and Confectionery],
      MATCH(1,(All_India_Index_Upto_April23__1___1[Date]=EDATE($A17,-12))*
              (All_India_Index_Upto_April23__1___1[Sector]="Rural+Urban"),0)),
    INDEX(All_India_Index_Upto_April23__1___1[Spices],
      MATCH(1,(All_India_Index_Upto_April23__1___1[Date]=EDATE($A17,-12))*
              (All_India_Index_Upto_April23__1___1[Sector]="Rural+Urban"),0)),
    INDEX(All_India_Index_Upto_April23__1___1[Non-alcoholic beverages],
      MATCH(1,(All_India_Index_Upto_April23__1___1[Date]=EDATE($A17,-12))*
              (All_India_Index_Upto_April23__1___1[Sector]="Rural+Urban"),0)),
    INDEX(All_India_Index_Upto_April23__1___1[Prepared meals, snacks, sweets etc.],
      MATCH(1,(All_India_Index_Upto_April23__1___1[Date]=EDATE($A17,-12))*
              (All_India_Index_Upto_April23__1___1[Sector]="Rural+Urban"),0))
  ),
"")</f>
        <v>132.07500000000002</v>
      </c>
      <c r="Q17" s="8">
        <f t="shared" si="2"/>
        <v>2.1894125812353973E-2</v>
      </c>
      <c r="R17" t="str">
        <f t="shared" si="3"/>
        <v>Pre-COVID</v>
      </c>
      <c r="T17" s="2" cm="1">
        <f t="array" ref="T17">IFERROR(
  INDEX(
    All_India_Index_Upto_April23__1___1[Health],
    MATCH(
      1,
      (All_India_Index_Upto_April23__1___1[Date]=$A17) *
      (All_India_Index_Upto_April23__1___1[Sector]="Rural+Urban"),
      0
    )
  ),
"")</f>
        <v>135.19999999999999</v>
      </c>
      <c r="U17" s="2" cm="1">
        <f t="array" ref="U17">IFERROR(
  INDEX(
    All_India_Index_Upto_April23__1___1[Health],
    MATCH(
      1,
      (All_India_Index_Upto_April23__1___1[Date]=EDATE($A17,-12)) *
      (All_India_Index_Upto_April23__1___1[Sector]="Rural+Urban"),
      0
    )
  ),
"")</f>
        <v>128.1</v>
      </c>
      <c r="V17" s="8">
        <f t="shared" si="4"/>
        <v>5.5425448868071776E-2</v>
      </c>
      <c r="W17" t="str">
        <f t="shared" si="5"/>
        <v>Pre-COVID</v>
      </c>
      <c r="Y17" s="2" cm="1">
        <f t="array" ref="Y17">IFERROR(
  AVERAGE(
    INDEX(All_India_Index_Upto_April23__1___1[Pan, tobacco and intoxicants],
      MATCH(1,(All_India_Index_Upto_April23__1___1[Date]=$A17)*
              (All_India_Index_Upto_April23__1___1[Sector]="Rural+Urban"),0)),
    INDEX(All_India_Index_Upto_April23__1___1[Clothing],
      MATCH(1,(All_India_Index_Upto_April23__1___1[Date]=$A17)*
              (All_India_Index_Upto_April23__1___1[Sector]="Rural+Urban"),0)),
    INDEX(All_India_Index_Upto_April23__1___1[Footwear],
      MATCH(1,(All_India_Index_Upto_April23__1___1[Date]=$A17)*
              (All_India_Index_Upto_April23__1___1[Sector]="Rural+Urban"),0)),
    INDEX(All_India_Index_Upto_April23__1___1[Clothing and footwear],
      MATCH(1,(All_India_Index_Upto_April23__1___1[Date]=$A17)*
              (All_India_Index_Upto_April23__1___1[Sector]="Rural+Urban"),0)),
    INDEX(All_India_Index_Upto_April23__1___1[Housing],
      MATCH(1,(All_India_Index_Upto_April23__1___1[Date]=$A17)*
              (All_India_Index_Upto_April23__1___1[Sector]="Rural+Urban"),0)),
    INDEX(All_India_Index_Upto_April23__1___1[Fuel and light],
      MATCH(1,(All_India_Index_Upto_April23__1___1[Date]=$A17)*
              (All_India_Index_Upto_April23__1___1[Sector]="Rural+Urban"),0)),
    INDEX(All_India_Index_Upto_April23__1___1[Household goods and services],
      MATCH(1,(All_India_Index_Upto_April23__1___1[Date]=$A17)*
              (All_India_Index_Upto_April23__1___1[Sector]="Rural+Urban"),0)),
    INDEX(All_India_Index_Upto_April23__1___1[Health],
      MATCH(1,(All_India_Index_Upto_April23__1___1[Date]=$A17)*
              (All_India_Index_Upto_April23__1___1[Sector]="Rural+Urban"),0)),
    INDEX(All_India_Index_Upto_April23__1___1[Transport and communication],
      MATCH(1,(All_India_Index_Upto_April23__1___1[Date]=$A17)*
              (All_India_Index_Upto_April23__1___1[Sector]="Rural+Urban"),0)),
    INDEX(All_India_Index_Upto_April23__1___1[Recreation and amusement],
      MATCH(1,(All_India_Index_Upto_April23__1___1[Date]=$A17)*
              (All_India_Index_Upto_April23__1___1[Sector]="Rural+Urban"),0)),
    INDEX(All_India_Index_Upto_April23__1___1[Education],
      MATCH(1,(All_India_Index_Upto_April23__1___1[Date]=$A17)*
              (All_India_Index_Upto_April23__1___1[Sector]="Rural+Urban"),0)),
    INDEX(All_India_Index_Upto_April23__1___1[Personal care and effects],
      MATCH(1,(All_India_Index_Upto_April23__1___1[Date]=$A17)*
              (All_India_Index_Upto_April23__1___1[Sector]="Rural+Urban"),0)),
    INDEX(All_India_Index_Upto_April23__1___1[Miscellaneous],
      MATCH(1,(All_India_Index_Upto_April23__1___1[Date]=$A17)*
              (All_India_Index_Upto_April23__1___1[Sector]="Rural+Urban"),0))
  ),
"")</f>
        <v>137.19166666666669</v>
      </c>
      <c r="Z17" s="2" cm="1">
        <f t="array" ref="Z17">IFERROR(
  AVERAGE(
    INDEX(All_India_Index_Upto_April23__1___1[Pan, tobacco and intoxicants],
      MATCH(1,(All_India_Index_Upto_April23__1___1[Date]=EDATE($A17,-12))*
              (All_India_Index_Upto_April23__1___1[Sector]="Rural+Urban"),0)),
    INDEX(All_India_Index_Upto_April23__1___1[Clothing],
      MATCH(1,(All_India_Index_Upto_April23__1___1[Date]=EDATE($A17,-12))*
              (All_India_Index_Upto_April23__1___1[Sector]="Rural+Urban"),0)),
    INDEX(All_India_Index_Upto_April23__1___1[Footwear],
      MATCH(1,(All_India_Index_Upto_April23__1___1[Date]=EDATE($A17,-12))*
              (All_India_Index_Upto_April23__1___1[Sector]="Rural+Urban"),0)),
    INDEX(All_India_Index_Upto_April23__1___1[Clothing and footwear],
      MATCH(1,(All_India_Index_Upto_April23__1___1[Date]=EDATE($A17,-12))*
              (All_India_Index_Upto_April23__1___1[Sector]="Rural+Urban"),0)),
    INDEX(All_India_Index_Upto_April23__1___1[Housing],
      MATCH(1,(All_India_Index_Upto_April23__1___1[Date]=EDATE($A17,-12))*
              (All_India_Index_Upto_April23__1___1[Sector]="Rural+Urban"),0)),
    INDEX(All_India_Index_Upto_April23__1___1[Fuel and light],
      MATCH(1,(All_India_Index_Upto_April23__1___1[Date]=EDATE($A17,-12))*
              (All_India_Index_Upto_April23__1___1[Sector]="Rural+Urban"),0)),
    INDEX(All_India_Index_Upto_April23__1___1[Household goods and services],
      MATCH(1,(All_India_Index_Upto_April23__1___1[Date]=EDATE($A17,-12))*
              (All_India_Index_Upto_April23__1___1[Sector]="Rural+Urban"),0)),
    INDEX(All_India_Index_Upto_April23__1___1[Health],
      MATCH(1,(All_India_Index_Upto_April23__1___1[Date]=EDATE($A17,-12))*
              (All_India_Index_Upto_April23__1___1[Sector]="Rural+Urban"),0)),
    INDEX(All_India_Index_Upto_April23__1___1[Transport and communication],
      MATCH(1,(All_India_Index_Upto_April23__1___1[Date]=EDATE($A17,-12))*
              (All_India_Index_Upto_April23__1___1[Sector]="Rural+Urban"),0)),
    INDEX(All_India_Index_Upto_April23__1___1[Recreation and amusement],
      MATCH(1,(All_India_Index_Upto_April23__1___1[Date]=EDATE($A17,-12))*
              (All_India_Index_Upto_April23__1___1[Sector]="Rural+Urban"),0)),
    INDEX(All_India_Index_Upto_April23__1___1[Education],
      MATCH(1,(All_India_Index_Upto_April23__1___1[Date]=EDATE($A17,-12))*
              (All_India_Index_Upto_April23__1___1[Sector]="Rural+Urban"),0)),
    INDEX(All_India_Index_Upto_April23__1___1[Personal care and effects],
      MATCH(1,(All_India_Index_Upto_April23__1___1[Date]=EDATE($A17,-12))*
              (All_India_Index_Upto_April23__1___1[Sector]="Rural+Urban"),0)),
    INDEX(All_India_Index_Upto_April23__1___1[Miscellaneous],
      MATCH(1,(All_India_Index_Upto_April23__1___1[Date]=EDATE($A17,-12))*
              (All_India_Index_Upto_April23__1___1[Sector]="Rural+Urban"),0))
  ),
"")</f>
        <v>130.34999999999997</v>
      </c>
      <c r="AA17" s="8">
        <f t="shared" si="6"/>
        <v>5.2486894259046624E-2</v>
      </c>
      <c r="AB17" t="str">
        <f t="shared" si="7"/>
        <v>Pre-COVID</v>
      </c>
    </row>
    <row r="18" spans="1:28" x14ac:dyDescent="0.2">
      <c r="A18" s="22">
        <v>43221</v>
      </c>
      <c r="B18">
        <v>2018</v>
      </c>
      <c r="C18" t="s">
        <v>40</v>
      </c>
      <c r="D18" s="2" cm="1">
        <f t="array" ref="D18">IFERROR(
  INDEX(
    All_India_Index_Upto_April23__1___1[General index],
    MATCH(
      1,
      (All_India_Index_Upto_April23__1___1[Sector]="Rural+Urban") *
      (All_India_Index_Upto_April23__1___1[Date]=A18),
      0
    )
  ),
"")</f>
        <v>137.80000000000001</v>
      </c>
      <c r="E18" s="2" cm="1">
        <f t="array" ref="E18">IFERROR(
  INDEX(
    All_India_Index_Upto_April23__1___1[General index],
    MATCH(
      1,
      (All_India_Index_Upto_April23__1___1[Sector]="Rural+Urban") *
      (All_India_Index_Upto_April23__1___1[Date]=EDATE(A18,-12)),
      0
    )
  ),
"")</f>
        <v>131.4</v>
      </c>
      <c r="F18" s="8">
        <f t="shared" si="0"/>
        <v>4.8706240487062402E-2</v>
      </c>
      <c r="G18" t="str">
        <f t="shared" si="1"/>
        <v>Pre-COVID</v>
      </c>
      <c r="O18" s="2" cm="1">
        <f t="array" ref="O18">IFERROR(
  AVERAGE(
    INDEX(All_India_Index_Upto_April23__1___1[Cereals and products],
      MATCH(1,(All_India_Index_Upto_April23__1___1[Date]=$A18)*
              (All_India_Index_Upto_April23__1___1[Sector]="Rural+Urban"),0)),
    INDEX(All_India_Index_Upto_April23__1___1[Meat and fish],
      MATCH(1,(All_India_Index_Upto_April23__1___1[Date]=$A18)*
              (All_India_Index_Upto_April23__1___1[Sector]="Rural+Urban"),0)),
    INDEX(All_India_Index_Upto_April23__1___1[Egg],
      MATCH(1,(All_India_Index_Upto_April23__1___1[Date]=$A18)*
              (All_India_Index_Upto_April23__1___1[Sector]="Rural+Urban"),0)),
    INDEX(All_India_Index_Upto_April23__1___1[Milk and products],
      MATCH(1,(All_India_Index_Upto_April23__1___1[Date]=$A18)*
              (All_India_Index_Upto_April23__1___1[Sector]="Rural+Urban"),0)),
    INDEX(All_India_Index_Upto_April23__1___1[Oils and fats],
      MATCH(1,(All_India_Index_Upto_April23__1___1[Date]=$A18)*
              (All_India_Index_Upto_April23__1___1[Sector]="Rural+Urban"),0)),
    INDEX(All_India_Index_Upto_April23__1___1[Fruits],
      MATCH(1,(All_India_Index_Upto_April23__1___1[Date]=$A18)*
              (All_India_Index_Upto_April23__1___1[Sector]="Rural+Urban"),0)),
    INDEX(All_India_Index_Upto_April23__1___1[Vegetables],
      MATCH(1,(All_India_Index_Upto_April23__1___1[Date]=$A18)*
              (All_India_Index_Upto_April23__1___1[Sector]="Rural+Urban"),0)),
    INDEX(All_India_Index_Upto_April23__1___1[Pulses and products],
      MATCH(1,(All_India_Index_Upto_April23__1___1[Date]=$A18)*
              (All_India_Index_Upto_April23__1___1[Sector]="Rural+Urban"),0)),
    INDEX(All_India_Index_Upto_April23__1___1[Sugar and Confectionery],
      MATCH(1,(All_India_Index_Upto_April23__1___1[Date]=$A18)*
              (All_India_Index_Upto_April23__1___1[Sector]="Rural+Urban"),0)),
    INDEX(All_India_Index_Upto_April23__1___1[Spices],
      MATCH(1,(All_India_Index_Upto_April23__1___1[Date]=$A18)*
              (All_India_Index_Upto_April23__1___1[Sector]="Rural+Urban"),0)),
    INDEX(All_India_Index_Upto_April23__1___1[Non-alcoholic beverages],
      MATCH(1,(All_India_Index_Upto_April23__1___1[Date]=$A18)*
              (All_India_Index_Upto_April23__1___1[Sector]="Rural+Urban"),0)),
    INDEX(All_India_Index_Upto_April23__1___1[Prepared meals, snacks, sweets etc.],
      MATCH(1,(All_India_Index_Upto_April23__1___1[Date]=$A18)*
              (All_India_Index_Upto_April23__1___1[Sector]="Rural+Urban"),0))
  ),
"")</f>
        <v>135.14166666666668</v>
      </c>
      <c r="P18" s="2" cm="1">
        <f t="array" ref="P18">IFERROR(
  AVERAGE(
    INDEX(All_India_Index_Upto_April23__1___1[Cereals and products],
      MATCH(1,(All_India_Index_Upto_April23__1___1[Date]=EDATE($A18,-12))*
              (All_India_Index_Upto_April23__1___1[Sector]="Rural+Urban"),0)),
    INDEX(All_India_Index_Upto_April23__1___1[Meat and fish],
      MATCH(1,(All_India_Index_Upto_April23__1___1[Date]=EDATE($A18,-12))*
              (All_India_Index_Upto_April23__1___1[Sector]="Rural+Urban"),0)),
    INDEX(All_India_Index_Upto_April23__1___1[Egg],
      MATCH(1,(All_India_Index_Upto_April23__1___1[Date]=EDATE($A18,-12))*
              (All_India_Index_Upto_April23__1___1[Sector]="Rural+Urban"),0)),
    INDEX(All_India_Index_Upto_April23__1___1[Milk and products],
      MATCH(1,(All_India_Index_Upto_April23__1___1[Date]=EDATE($A18,-12))*
              (All_India_Index_Upto_April23__1___1[Sector]="Rural+Urban"),0)),
    INDEX(All_India_Index_Upto_April23__1___1[Oils and fats],
      MATCH(1,(All_India_Index_Upto_April23__1___1[Date]=EDATE($A18,-12))*
              (All_India_Index_Upto_April23__1___1[Sector]="Rural+Urban"),0)),
    INDEX(All_India_Index_Upto_April23__1___1[Fruits],
      MATCH(1,(All_India_Index_Upto_April23__1___1[Date]=EDATE($A18,-12))*
              (All_India_Index_Upto_April23__1___1[Sector]="Rural+Urban"),0)),
    INDEX(All_India_Index_Upto_April23__1___1[Vegetables],
      MATCH(1,(All_India_Index_Upto_April23__1___1[Date]=EDATE($A18,-12))*
              (All_India_Index_Upto_April23__1___1[Sector]="Rural+Urban"),0)),
    INDEX(All_India_Index_Upto_April23__1___1[Pulses and products],
      MATCH(1,(All_India_Index_Upto_April23__1___1[Date]=EDATE($A18,-12))*
              (All_India_Index_Upto_April23__1___1[Sector]="Rural+Urban"),0)),
    INDEX(All_India_Index_Upto_April23__1___1[Sugar and Confectionery],
      MATCH(1,(All_India_Index_Upto_April23__1___1[Date]=EDATE($A18,-12))*
              (All_India_Index_Upto_April23__1___1[Sector]="Rural+Urban"),0)),
    INDEX(All_India_Index_Upto_April23__1___1[Spices],
      MATCH(1,(All_India_Index_Upto_April23__1___1[Date]=EDATE($A18,-12))*
              (All_India_Index_Upto_April23__1___1[Sector]="Rural+Urban"),0)),
    INDEX(All_India_Index_Upto_April23__1___1[Non-alcoholic beverages],
      MATCH(1,(All_India_Index_Upto_April23__1___1[Date]=EDATE($A18,-12))*
              (All_India_Index_Upto_April23__1___1[Sector]="Rural+Urban"),0)),
    INDEX(All_India_Index_Upto_April23__1___1[Prepared meals, snacks, sweets etc.],
      MATCH(1,(All_India_Index_Upto_April23__1___1[Date]=EDATE($A18,-12))*
              (All_India_Index_Upto_April23__1___1[Sector]="Rural+Urban"),0))
  ),
"")</f>
        <v>132.15833333333333</v>
      </c>
      <c r="Q18" s="8">
        <f t="shared" si="2"/>
        <v>2.2573932782647192E-2</v>
      </c>
      <c r="R18" t="str">
        <f t="shared" si="3"/>
        <v>Pre-COVID</v>
      </c>
      <c r="T18" s="2" cm="1">
        <f t="array" ref="T18">IFERROR(
  INDEX(
    All_India_Index_Upto_April23__1___1[Health],
    MATCH(
      1,
      (All_India_Index_Upto_April23__1___1[Date]=$A18) *
      (All_India_Index_Upto_April23__1___1[Sector]="Rural+Urban"),
      0
    )
  ),
"")</f>
        <v>136</v>
      </c>
      <c r="U18" s="2" cm="1">
        <f t="array" ref="U18">IFERROR(
  INDEX(
    All_India_Index_Upto_April23__1___1[Health],
    MATCH(
      1,
      (All_India_Index_Upto_April23__1___1[Date]=EDATE($A18,-12)) *
      (All_India_Index_Upto_April23__1___1[Sector]="Rural+Urban"),
      0
    )
  ),
"")</f>
        <v>128.4</v>
      </c>
      <c r="V18" s="8">
        <f t="shared" si="4"/>
        <v>5.9190031152647926E-2</v>
      </c>
      <c r="W18" t="str">
        <f t="shared" si="5"/>
        <v>Pre-COVID</v>
      </c>
      <c r="Y18" s="2" cm="1">
        <f t="array" ref="Y18">IFERROR(
  AVERAGE(
    INDEX(All_India_Index_Upto_April23__1___1[Pan, tobacco and intoxicants],
      MATCH(1,(All_India_Index_Upto_April23__1___1[Date]=$A18)*
              (All_India_Index_Upto_April23__1___1[Sector]="Rural+Urban"),0)),
    INDEX(All_India_Index_Upto_April23__1___1[Clothing],
      MATCH(1,(All_India_Index_Upto_April23__1___1[Date]=$A18)*
              (All_India_Index_Upto_April23__1___1[Sector]="Rural+Urban"),0)),
    INDEX(All_India_Index_Upto_April23__1___1[Footwear],
      MATCH(1,(All_India_Index_Upto_April23__1___1[Date]=$A18)*
              (All_India_Index_Upto_April23__1___1[Sector]="Rural+Urban"),0)),
    INDEX(All_India_Index_Upto_April23__1___1[Clothing and footwear],
      MATCH(1,(All_India_Index_Upto_April23__1___1[Date]=$A18)*
              (All_India_Index_Upto_April23__1___1[Sector]="Rural+Urban"),0)),
    INDEX(All_India_Index_Upto_April23__1___1[Housing],
      MATCH(1,(All_India_Index_Upto_April23__1___1[Date]=$A18)*
              (All_India_Index_Upto_April23__1___1[Sector]="Rural+Urban"),0)),
    INDEX(All_India_Index_Upto_April23__1___1[Fuel and light],
      MATCH(1,(All_India_Index_Upto_April23__1___1[Date]=$A18)*
              (All_India_Index_Upto_April23__1___1[Sector]="Rural+Urban"),0)),
    INDEX(All_India_Index_Upto_April23__1___1[Household goods and services],
      MATCH(1,(All_India_Index_Upto_April23__1___1[Date]=$A18)*
              (All_India_Index_Upto_April23__1___1[Sector]="Rural+Urban"),0)),
    INDEX(All_India_Index_Upto_April23__1___1[Health],
      MATCH(1,(All_India_Index_Upto_April23__1___1[Date]=$A18)*
              (All_India_Index_Upto_April23__1___1[Sector]="Rural+Urban"),0)),
    INDEX(All_India_Index_Upto_April23__1___1[Transport and communication],
      MATCH(1,(All_India_Index_Upto_April23__1___1[Date]=$A18)*
              (All_India_Index_Upto_April23__1___1[Sector]="Rural+Urban"),0)),
    INDEX(All_India_Index_Upto_April23__1___1[Recreation and amusement],
      MATCH(1,(All_India_Index_Upto_April23__1___1[Date]=$A18)*
              (All_India_Index_Upto_April23__1___1[Sector]="Rural+Urban"),0)),
    INDEX(All_India_Index_Upto_April23__1___1[Education],
      MATCH(1,(All_India_Index_Upto_April23__1___1[Date]=$A18)*
              (All_India_Index_Upto_April23__1___1[Sector]="Rural+Urban"),0)),
    INDEX(All_India_Index_Upto_April23__1___1[Personal care and effects],
      MATCH(1,(All_India_Index_Upto_April23__1___1[Date]=$A18)*
              (All_India_Index_Upto_April23__1___1[Sector]="Rural+Urban"),0)),
    INDEX(All_India_Index_Upto_April23__1___1[Miscellaneous],
      MATCH(1,(All_India_Index_Upto_April23__1___1[Date]=$A18)*
              (All_India_Index_Upto_April23__1___1[Sector]="Rural+Urban"),0))
  ),
"")</f>
        <v>137.92499999999998</v>
      </c>
      <c r="Z18" s="2" cm="1">
        <f t="array" ref="Z18">IFERROR(
  AVERAGE(
    INDEX(All_India_Index_Upto_April23__1___1[Pan, tobacco and intoxicants],
      MATCH(1,(All_India_Index_Upto_April23__1___1[Date]=EDATE($A18,-12))*
              (All_India_Index_Upto_April23__1___1[Sector]="Rural+Urban"),0)),
    INDEX(All_India_Index_Upto_April23__1___1[Clothing],
      MATCH(1,(All_India_Index_Upto_April23__1___1[Date]=EDATE($A18,-12))*
              (All_India_Index_Upto_April23__1___1[Sector]="Rural+Urban"),0)),
    INDEX(All_India_Index_Upto_April23__1___1[Footwear],
      MATCH(1,(All_India_Index_Upto_April23__1___1[Date]=EDATE($A18,-12))*
              (All_India_Index_Upto_April23__1___1[Sector]="Rural+Urban"),0)),
    INDEX(All_India_Index_Upto_April23__1___1[Clothing and footwear],
      MATCH(1,(All_India_Index_Upto_April23__1___1[Date]=EDATE($A18,-12))*
              (All_India_Index_Upto_April23__1___1[Sector]="Rural+Urban"),0)),
    INDEX(All_India_Index_Upto_April23__1___1[Housing],
      MATCH(1,(All_India_Index_Upto_April23__1___1[Date]=EDATE($A18,-12))*
              (All_India_Index_Upto_April23__1___1[Sector]="Rural+Urban"),0)),
    INDEX(All_India_Index_Upto_April23__1___1[Fuel and light],
      MATCH(1,(All_India_Index_Upto_April23__1___1[Date]=EDATE($A18,-12))*
              (All_India_Index_Upto_April23__1___1[Sector]="Rural+Urban"),0)),
    INDEX(All_India_Index_Upto_April23__1___1[Household goods and services],
      MATCH(1,(All_India_Index_Upto_April23__1___1[Date]=EDATE($A18,-12))*
              (All_India_Index_Upto_April23__1___1[Sector]="Rural+Urban"),0)),
    INDEX(All_India_Index_Upto_April23__1___1[Health],
      MATCH(1,(All_India_Index_Upto_April23__1___1[Date]=EDATE($A18,-12))*
              (All_India_Index_Upto_April23__1___1[Sector]="Rural+Urban"),0)),
    INDEX(All_India_Index_Upto_April23__1___1[Transport and communication],
      MATCH(1,(All_India_Index_Upto_April23__1___1[Date]=EDATE($A18,-12))*
              (All_India_Index_Upto_April23__1___1[Sector]="Rural+Urban"),0)),
    INDEX(All_India_Index_Upto_April23__1___1[Recreation and amusement],
      MATCH(1,(All_India_Index_Upto_April23__1___1[Date]=EDATE($A18,-12))*
              (All_India_Index_Upto_April23__1___1[Sector]="Rural+Urban"),0)),
    INDEX(All_India_Index_Upto_April23__1___1[Education],
      MATCH(1,(All_India_Index_Upto_April23__1___1[Date]=EDATE($A18,-12))*
              (All_India_Index_Upto_April23__1___1[Sector]="Rural+Urban"),0)),
    INDEX(All_India_Index_Upto_April23__1___1[Personal care and effects],
      MATCH(1,(All_India_Index_Upto_April23__1___1[Date]=EDATE($A18,-12))*
              (All_India_Index_Upto_April23__1___1[Sector]="Rural+Urban"),0)),
    INDEX(All_India_Index_Upto_April23__1___1[Miscellaneous],
      MATCH(1,(All_India_Index_Upto_April23__1___1[Date]=EDATE($A18,-12))*
              (All_India_Index_Upto_April23__1___1[Sector]="Rural+Urban"),0))
  ),
"")</f>
        <v>130.6</v>
      </c>
      <c r="AA18" s="8">
        <f t="shared" si="6"/>
        <v>5.6087289433384292E-2</v>
      </c>
      <c r="AB18" t="str">
        <f t="shared" si="7"/>
        <v>Pre-COVID</v>
      </c>
    </row>
    <row r="19" spans="1:28" x14ac:dyDescent="0.2">
      <c r="A19" s="22">
        <v>43252</v>
      </c>
      <c r="B19">
        <v>2018</v>
      </c>
      <c r="C19" t="s">
        <v>41</v>
      </c>
      <c r="D19" s="2" cm="1">
        <f t="array" ref="D19">IFERROR(
  INDEX(
    All_India_Index_Upto_April23__1___1[General index],
    MATCH(
      1,
      (All_India_Index_Upto_April23__1___1[Sector]="Rural+Urban") *
      (All_India_Index_Upto_April23__1___1[Date]=A19),
      0
    )
  ),
"")</f>
        <v>138.5</v>
      </c>
      <c r="E19" s="2" cm="1">
        <f t="array" ref="E19">IFERROR(
  INDEX(
    All_India_Index_Upto_April23__1___1[General index],
    MATCH(
      1,
      (All_India_Index_Upto_April23__1___1[Sector]="Rural+Urban") *
      (All_India_Index_Upto_April23__1___1[Date]=EDATE(A19,-12)),
      0
    )
  ),
"")</f>
        <v>132</v>
      </c>
      <c r="F19" s="8">
        <f t="shared" si="0"/>
        <v>4.924242424242431E-2</v>
      </c>
      <c r="G19" t="str">
        <f t="shared" si="1"/>
        <v>Pre-COVID</v>
      </c>
      <c r="O19" s="2" cm="1">
        <f t="array" ref="O19">IFERROR(
  AVERAGE(
    INDEX(All_India_Index_Upto_April23__1___1[Cereals and products],
      MATCH(1,(All_India_Index_Upto_April23__1___1[Date]=$A19)*
              (All_India_Index_Upto_April23__1___1[Sector]="Rural+Urban"),0)),
    INDEX(All_India_Index_Upto_April23__1___1[Meat and fish],
      MATCH(1,(All_India_Index_Upto_April23__1___1[Date]=$A19)*
              (All_India_Index_Upto_April23__1___1[Sector]="Rural+Urban"),0)),
    INDEX(All_India_Index_Upto_April23__1___1[Egg],
      MATCH(1,(All_India_Index_Upto_April23__1___1[Date]=$A19)*
              (All_India_Index_Upto_April23__1___1[Sector]="Rural+Urban"),0)),
    INDEX(All_India_Index_Upto_April23__1___1[Milk and products],
      MATCH(1,(All_India_Index_Upto_April23__1___1[Date]=$A19)*
              (All_India_Index_Upto_April23__1___1[Sector]="Rural+Urban"),0)),
    INDEX(All_India_Index_Upto_April23__1___1[Oils and fats],
      MATCH(1,(All_India_Index_Upto_April23__1___1[Date]=$A19)*
              (All_India_Index_Upto_April23__1___1[Sector]="Rural+Urban"),0)),
    INDEX(All_India_Index_Upto_April23__1___1[Fruits],
      MATCH(1,(All_India_Index_Upto_April23__1___1[Date]=$A19)*
              (All_India_Index_Upto_April23__1___1[Sector]="Rural+Urban"),0)),
    INDEX(All_India_Index_Upto_April23__1___1[Vegetables],
      MATCH(1,(All_India_Index_Upto_April23__1___1[Date]=$A19)*
              (All_India_Index_Upto_April23__1___1[Sector]="Rural+Urban"),0)),
    INDEX(All_India_Index_Upto_April23__1___1[Pulses and products],
      MATCH(1,(All_India_Index_Upto_April23__1___1[Date]=$A19)*
              (All_India_Index_Upto_April23__1___1[Sector]="Rural+Urban"),0)),
    INDEX(All_India_Index_Upto_April23__1___1[Sugar and Confectionery],
      MATCH(1,(All_India_Index_Upto_April23__1___1[Date]=$A19)*
              (All_India_Index_Upto_April23__1___1[Sector]="Rural+Urban"),0)),
    INDEX(All_India_Index_Upto_April23__1___1[Spices],
      MATCH(1,(All_India_Index_Upto_April23__1___1[Date]=$A19)*
              (All_India_Index_Upto_April23__1___1[Sector]="Rural+Urban"),0)),
    INDEX(All_India_Index_Upto_April23__1___1[Non-alcoholic beverages],
      MATCH(1,(All_India_Index_Upto_April23__1___1[Date]=$A19)*
              (All_India_Index_Upto_April23__1___1[Sector]="Rural+Urban"),0)),
    INDEX(All_India_Index_Upto_April23__1___1[Prepared meals, snacks, sweets etc.],
      MATCH(1,(All_India_Index_Upto_April23__1___1[Date]=$A19)*
              (All_India_Index_Upto_April23__1___1[Sector]="Rural+Urban"),0))
  ),
"")</f>
        <v>136.22499999999999</v>
      </c>
      <c r="P19" s="2" cm="1">
        <f t="array" ref="P19">IFERROR(
  AVERAGE(
    INDEX(All_India_Index_Upto_April23__1___1[Cereals and products],
      MATCH(1,(All_India_Index_Upto_April23__1___1[Date]=EDATE($A19,-12))*
              (All_India_Index_Upto_April23__1___1[Sector]="Rural+Urban"),0)),
    INDEX(All_India_Index_Upto_April23__1___1[Meat and fish],
      MATCH(1,(All_India_Index_Upto_April23__1___1[Date]=EDATE($A19,-12))*
              (All_India_Index_Upto_April23__1___1[Sector]="Rural+Urban"),0)),
    INDEX(All_India_Index_Upto_April23__1___1[Egg],
      MATCH(1,(All_India_Index_Upto_April23__1___1[Date]=EDATE($A19,-12))*
              (All_India_Index_Upto_April23__1___1[Sector]="Rural+Urban"),0)),
    INDEX(All_India_Index_Upto_April23__1___1[Milk and products],
      MATCH(1,(All_India_Index_Upto_April23__1___1[Date]=EDATE($A19,-12))*
              (All_India_Index_Upto_April23__1___1[Sector]="Rural+Urban"),0)),
    INDEX(All_India_Index_Upto_April23__1___1[Oils and fats],
      MATCH(1,(All_India_Index_Upto_April23__1___1[Date]=EDATE($A19,-12))*
              (All_India_Index_Upto_April23__1___1[Sector]="Rural+Urban"),0)),
    INDEX(All_India_Index_Upto_April23__1___1[Fruits],
      MATCH(1,(All_India_Index_Upto_April23__1___1[Date]=EDATE($A19,-12))*
              (All_India_Index_Upto_April23__1___1[Sector]="Rural+Urban"),0)),
    INDEX(All_India_Index_Upto_April23__1___1[Vegetables],
      MATCH(1,(All_India_Index_Upto_April23__1___1[Date]=EDATE($A19,-12))*
              (All_India_Index_Upto_April23__1___1[Sector]="Rural+Urban"),0)),
    INDEX(All_India_Index_Upto_April23__1___1[Pulses and products],
      MATCH(1,(All_India_Index_Upto_April23__1___1[Date]=EDATE($A19,-12))*
              (All_India_Index_Upto_April23__1___1[Sector]="Rural+Urban"),0)),
    INDEX(All_India_Index_Upto_April23__1___1[Sugar and Confectionery],
      MATCH(1,(All_India_Index_Upto_April23__1___1[Date]=EDATE($A19,-12))*
              (All_India_Index_Upto_April23__1___1[Sector]="Rural+Urban"),0)),
    INDEX(All_India_Index_Upto_April23__1___1[Spices],
      MATCH(1,(All_India_Index_Upto_April23__1___1[Date]=EDATE($A19,-12))*
              (All_India_Index_Upto_April23__1___1[Sector]="Rural+Urban"),0)),
    INDEX(All_India_Index_Upto_April23__1___1[Non-alcoholic beverages],
      MATCH(1,(All_India_Index_Upto_April23__1___1[Date]=EDATE($A19,-12))*
              (All_India_Index_Upto_April23__1___1[Sector]="Rural+Urban"),0)),
    INDEX(All_India_Index_Upto_April23__1___1[Prepared meals, snacks, sweets etc.],
      MATCH(1,(All_India_Index_Upto_April23__1___1[Date]=EDATE($A19,-12))*
              (All_India_Index_Upto_April23__1___1[Sector]="Rural+Urban"),0))
  ),
"")</f>
        <v>133.29166666666666</v>
      </c>
      <c r="Q19" s="8">
        <f t="shared" si="2"/>
        <v>2.2006877149109125E-2</v>
      </c>
      <c r="R19" t="str">
        <f t="shared" si="3"/>
        <v>Pre-COVID</v>
      </c>
      <c r="T19" s="2" cm="1">
        <f t="array" ref="T19">IFERROR(
  INDEX(
    All_India_Index_Upto_April23__1___1[Health],
    MATCH(
      1,
      (All_India_Index_Upto_April23__1___1[Date]=$A19) *
      (All_India_Index_Upto_April23__1___1[Sector]="Rural+Urban"),
      0
    )
  ),
"")</f>
        <v>136.19999999999999</v>
      </c>
      <c r="U19" s="2" cm="1">
        <f t="array" ref="U19">IFERROR(
  INDEX(
    All_India_Index_Upto_April23__1___1[Health],
    MATCH(
      1,
      (All_India_Index_Upto_April23__1___1[Date]=EDATE($A19,-12)) *
      (All_India_Index_Upto_April23__1___1[Sector]="Rural+Urban"),
      0
    )
  ),
"")</f>
        <v>128.5</v>
      </c>
      <c r="V19" s="8">
        <f t="shared" si="4"/>
        <v>5.992217898832676E-2</v>
      </c>
      <c r="W19" t="str">
        <f t="shared" si="5"/>
        <v>Pre-COVID</v>
      </c>
      <c r="Y19" s="2" cm="1">
        <f t="array" ref="Y19">IFERROR(
  AVERAGE(
    INDEX(All_India_Index_Upto_April23__1___1[Pan, tobacco and intoxicants],
      MATCH(1,(All_India_Index_Upto_April23__1___1[Date]=$A19)*
              (All_India_Index_Upto_April23__1___1[Sector]="Rural+Urban"),0)),
    INDEX(All_India_Index_Upto_April23__1___1[Clothing],
      MATCH(1,(All_India_Index_Upto_April23__1___1[Date]=$A19)*
              (All_India_Index_Upto_April23__1___1[Sector]="Rural+Urban"),0)),
    INDEX(All_India_Index_Upto_April23__1___1[Footwear],
      MATCH(1,(All_India_Index_Upto_April23__1___1[Date]=$A19)*
              (All_India_Index_Upto_April23__1___1[Sector]="Rural+Urban"),0)),
    INDEX(All_India_Index_Upto_April23__1___1[Clothing and footwear],
      MATCH(1,(All_India_Index_Upto_April23__1___1[Date]=$A19)*
              (All_India_Index_Upto_April23__1___1[Sector]="Rural+Urban"),0)),
    INDEX(All_India_Index_Upto_April23__1___1[Housing],
      MATCH(1,(All_India_Index_Upto_April23__1___1[Date]=$A19)*
              (All_India_Index_Upto_April23__1___1[Sector]="Rural+Urban"),0)),
    INDEX(All_India_Index_Upto_April23__1___1[Fuel and light],
      MATCH(1,(All_India_Index_Upto_April23__1___1[Date]=$A19)*
              (All_India_Index_Upto_April23__1___1[Sector]="Rural+Urban"),0)),
    INDEX(All_India_Index_Upto_April23__1___1[Household goods and services],
      MATCH(1,(All_India_Index_Upto_April23__1___1[Date]=$A19)*
              (All_India_Index_Upto_April23__1___1[Sector]="Rural+Urban"),0)),
    INDEX(All_India_Index_Upto_April23__1___1[Health],
      MATCH(1,(All_India_Index_Upto_April23__1___1[Date]=$A19)*
              (All_India_Index_Upto_April23__1___1[Sector]="Rural+Urban"),0)),
    INDEX(All_India_Index_Upto_April23__1___1[Transport and communication],
      MATCH(1,(All_India_Index_Upto_April23__1___1[Date]=$A19)*
              (All_India_Index_Upto_April23__1___1[Sector]="Rural+Urban"),0)),
    INDEX(All_India_Index_Upto_April23__1___1[Recreation and amusement],
      MATCH(1,(All_India_Index_Upto_April23__1___1[Date]=$A19)*
              (All_India_Index_Upto_April23__1___1[Sector]="Rural+Urban"),0)),
    INDEX(All_India_Index_Upto_April23__1___1[Education],
      MATCH(1,(All_India_Index_Upto_April23__1___1[Date]=$A19)*
              (All_India_Index_Upto_April23__1___1[Sector]="Rural+Urban"),0)),
    INDEX(All_India_Index_Upto_April23__1___1[Personal care and effects],
      MATCH(1,(All_India_Index_Upto_April23__1___1[Date]=$A19)*
              (All_India_Index_Upto_April23__1___1[Sector]="Rural+Urban"),0)),
    INDEX(All_India_Index_Upto_April23__1___1[Miscellaneous],
      MATCH(1,(All_India_Index_Upto_April23__1___1[Date]=$A19)*
              (All_India_Index_Upto_April23__1___1[Sector]="Rural+Urban"),0))
  ),
"")</f>
        <v>138.49999999999997</v>
      </c>
      <c r="Z19" s="2" cm="1">
        <f t="array" ref="Z19">IFERROR(
  AVERAGE(
    INDEX(All_India_Index_Upto_April23__1___1[Pan, tobacco and intoxicants],
      MATCH(1,(All_India_Index_Upto_April23__1___1[Date]=EDATE($A19,-12))*
              (All_India_Index_Upto_April23__1___1[Sector]="Rural+Urban"),0)),
    INDEX(All_India_Index_Upto_April23__1___1[Clothing],
      MATCH(1,(All_India_Index_Upto_April23__1___1[Date]=EDATE($A19,-12))*
              (All_India_Index_Upto_April23__1___1[Sector]="Rural+Urban"),0)),
    INDEX(All_India_Index_Upto_April23__1___1[Footwear],
      MATCH(1,(All_India_Index_Upto_April23__1___1[Date]=EDATE($A19,-12))*
              (All_India_Index_Upto_April23__1___1[Sector]="Rural+Urban"),0)),
    INDEX(All_India_Index_Upto_April23__1___1[Clothing and footwear],
      MATCH(1,(All_India_Index_Upto_April23__1___1[Date]=EDATE($A19,-12))*
              (All_India_Index_Upto_April23__1___1[Sector]="Rural+Urban"),0)),
    INDEX(All_India_Index_Upto_April23__1___1[Housing],
      MATCH(1,(All_India_Index_Upto_April23__1___1[Date]=EDATE($A19,-12))*
              (All_India_Index_Upto_April23__1___1[Sector]="Rural+Urban"),0)),
    INDEX(All_India_Index_Upto_April23__1___1[Fuel and light],
      MATCH(1,(All_India_Index_Upto_April23__1___1[Date]=EDATE($A19,-12))*
              (All_India_Index_Upto_April23__1___1[Sector]="Rural+Urban"),0)),
    INDEX(All_India_Index_Upto_April23__1___1[Household goods and services],
      MATCH(1,(All_India_Index_Upto_April23__1___1[Date]=EDATE($A19,-12))*
              (All_India_Index_Upto_April23__1___1[Sector]="Rural+Urban"),0)),
    INDEX(All_India_Index_Upto_April23__1___1[Health],
      MATCH(1,(All_India_Index_Upto_April23__1___1[Date]=EDATE($A19,-12))*
              (All_India_Index_Upto_April23__1___1[Sector]="Rural+Urban"),0)),
    INDEX(All_India_Index_Upto_April23__1___1[Transport and communication],
      MATCH(1,(All_India_Index_Upto_April23__1___1[Date]=EDATE($A19,-12))*
              (All_India_Index_Upto_April23__1___1[Sector]="Rural+Urban"),0)),
    INDEX(All_India_Index_Upto_April23__1___1[Recreation and amusement],
      MATCH(1,(All_India_Index_Upto_April23__1___1[Date]=EDATE($A19,-12))*
              (All_India_Index_Upto_April23__1___1[Sector]="Rural+Urban"),0)),
    INDEX(All_India_Index_Upto_April23__1___1[Education],
      MATCH(1,(All_India_Index_Upto_April23__1___1[Date]=EDATE($A19,-12))*
              (All_India_Index_Upto_April23__1___1[Sector]="Rural+Urban"),0)),
    INDEX(All_India_Index_Upto_April23__1___1[Personal care and effects],
      MATCH(1,(All_India_Index_Upto_April23__1___1[Date]=EDATE($A19,-12))*
              (All_India_Index_Upto_April23__1___1[Sector]="Rural+Urban"),0)),
    INDEX(All_India_Index_Upto_April23__1___1[Miscellaneous],
      MATCH(1,(All_India_Index_Upto_April23__1___1[Date]=EDATE($A19,-12))*
              (All_India_Index_Upto_April23__1___1[Sector]="Rural+Urban"),0))
  ),
"")</f>
        <v>130.78333333333336</v>
      </c>
      <c r="AA19" s="8">
        <f t="shared" si="6"/>
        <v>5.9003440805402908E-2</v>
      </c>
      <c r="AB19" t="str">
        <f t="shared" si="7"/>
        <v>Pre-COVID</v>
      </c>
    </row>
    <row r="20" spans="1:28" x14ac:dyDescent="0.2">
      <c r="A20" s="22">
        <v>43282</v>
      </c>
      <c r="B20">
        <v>2018</v>
      </c>
      <c r="C20" t="s">
        <v>43</v>
      </c>
      <c r="D20" s="2" cm="1">
        <f t="array" ref="D20">IFERROR(
  INDEX(
    All_India_Index_Upto_April23__1___1[General index],
    MATCH(
      1,
      (All_India_Index_Upto_April23__1___1[Sector]="Rural+Urban") *
      (All_India_Index_Upto_April23__1___1[Date]=A20),
      0
    )
  ),
"")</f>
        <v>139.80000000000001</v>
      </c>
      <c r="E20" s="2" cm="1">
        <f t="array" ref="E20">IFERROR(
  INDEX(
    All_India_Index_Upto_April23__1___1[General index],
    MATCH(
      1,
      (All_India_Index_Upto_April23__1___1[Sector]="Rural+Urban") *
      (All_India_Index_Upto_April23__1___1[Date]=EDATE(A20,-12)),
      0
    )
  ),
"")</f>
        <v>134.19999999999999</v>
      </c>
      <c r="F20" s="8">
        <f t="shared" si="0"/>
        <v>4.1728763040238537E-2</v>
      </c>
      <c r="G20" t="str">
        <f t="shared" si="1"/>
        <v>Pre-COVID</v>
      </c>
      <c r="O20" s="2" cm="1">
        <f t="array" ref="O20">IFERROR(
  AVERAGE(
    INDEX(All_India_Index_Upto_April23__1___1[Cereals and products],
      MATCH(1,(All_India_Index_Upto_April23__1___1[Date]=$A20)*
              (All_India_Index_Upto_April23__1___1[Sector]="Rural+Urban"),0)),
    INDEX(All_India_Index_Upto_April23__1___1[Meat and fish],
      MATCH(1,(All_India_Index_Upto_April23__1___1[Date]=$A20)*
              (All_India_Index_Upto_April23__1___1[Sector]="Rural+Urban"),0)),
    INDEX(All_India_Index_Upto_April23__1___1[Egg],
      MATCH(1,(All_India_Index_Upto_April23__1___1[Date]=$A20)*
              (All_India_Index_Upto_April23__1___1[Sector]="Rural+Urban"),0)),
    INDEX(All_India_Index_Upto_April23__1___1[Milk and products],
      MATCH(1,(All_India_Index_Upto_April23__1___1[Date]=$A20)*
              (All_India_Index_Upto_April23__1___1[Sector]="Rural+Urban"),0)),
    INDEX(All_India_Index_Upto_April23__1___1[Oils and fats],
      MATCH(1,(All_India_Index_Upto_April23__1___1[Date]=$A20)*
              (All_India_Index_Upto_April23__1___1[Sector]="Rural+Urban"),0)),
    INDEX(All_India_Index_Upto_April23__1___1[Fruits],
      MATCH(1,(All_India_Index_Upto_April23__1___1[Date]=$A20)*
              (All_India_Index_Upto_April23__1___1[Sector]="Rural+Urban"),0)),
    INDEX(All_India_Index_Upto_April23__1___1[Vegetables],
      MATCH(1,(All_India_Index_Upto_April23__1___1[Date]=$A20)*
              (All_India_Index_Upto_April23__1___1[Sector]="Rural+Urban"),0)),
    INDEX(All_India_Index_Upto_April23__1___1[Pulses and products],
      MATCH(1,(All_India_Index_Upto_April23__1___1[Date]=$A20)*
              (All_India_Index_Upto_April23__1___1[Sector]="Rural+Urban"),0)),
    INDEX(All_India_Index_Upto_April23__1___1[Sugar and Confectionery],
      MATCH(1,(All_India_Index_Upto_April23__1___1[Date]=$A20)*
              (All_India_Index_Upto_April23__1___1[Sector]="Rural+Urban"),0)),
    INDEX(All_India_Index_Upto_April23__1___1[Spices],
      MATCH(1,(All_India_Index_Upto_April23__1___1[Date]=$A20)*
              (All_India_Index_Upto_April23__1___1[Sector]="Rural+Urban"),0)),
    INDEX(All_India_Index_Upto_April23__1___1[Non-alcoholic beverages],
      MATCH(1,(All_India_Index_Upto_April23__1___1[Date]=$A20)*
              (All_India_Index_Upto_April23__1___1[Sector]="Rural+Urban"),0)),
    INDEX(All_India_Index_Upto_April23__1___1[Prepared meals, snacks, sweets etc.],
      MATCH(1,(All_India_Index_Upto_April23__1___1[Date]=$A20)*
              (All_India_Index_Upto_April23__1___1[Sector]="Rural+Urban"),0))
  ),
"")</f>
        <v>137.82499999999999</v>
      </c>
      <c r="P20" s="2" cm="1">
        <f t="array" ref="P20">IFERROR(
  AVERAGE(
    INDEX(All_India_Index_Upto_April23__1___1[Cereals and products],
      MATCH(1,(All_India_Index_Upto_April23__1___1[Date]=EDATE($A20,-12))*
              (All_India_Index_Upto_April23__1___1[Sector]="Rural+Urban"),0)),
    INDEX(All_India_Index_Upto_April23__1___1[Meat and fish],
      MATCH(1,(All_India_Index_Upto_April23__1___1[Date]=EDATE($A20,-12))*
              (All_India_Index_Upto_April23__1___1[Sector]="Rural+Urban"),0)),
    INDEX(All_India_Index_Upto_April23__1___1[Egg],
      MATCH(1,(All_India_Index_Upto_April23__1___1[Date]=EDATE($A20,-12))*
              (All_India_Index_Upto_April23__1___1[Sector]="Rural+Urban"),0)),
    INDEX(All_India_Index_Upto_April23__1___1[Milk and products],
      MATCH(1,(All_India_Index_Upto_April23__1___1[Date]=EDATE($A20,-12))*
              (All_India_Index_Upto_April23__1___1[Sector]="Rural+Urban"),0)),
    INDEX(All_India_Index_Upto_April23__1___1[Oils and fats],
      MATCH(1,(All_India_Index_Upto_April23__1___1[Date]=EDATE($A20,-12))*
              (All_India_Index_Upto_April23__1___1[Sector]="Rural+Urban"),0)),
    INDEX(All_India_Index_Upto_April23__1___1[Fruits],
      MATCH(1,(All_India_Index_Upto_April23__1___1[Date]=EDATE($A20,-12))*
              (All_India_Index_Upto_April23__1___1[Sector]="Rural+Urban"),0)),
    INDEX(All_India_Index_Upto_April23__1___1[Vegetables],
      MATCH(1,(All_India_Index_Upto_April23__1___1[Date]=EDATE($A20,-12))*
              (All_India_Index_Upto_April23__1___1[Sector]="Rural+Urban"),0)),
    INDEX(All_India_Index_Upto_April23__1___1[Pulses and products],
      MATCH(1,(All_India_Index_Upto_April23__1___1[Date]=EDATE($A20,-12))*
              (All_India_Index_Upto_April23__1___1[Sector]="Rural+Urban"),0)),
    INDEX(All_India_Index_Upto_April23__1___1[Sugar and Confectionery],
      MATCH(1,(All_India_Index_Upto_April23__1___1[Date]=EDATE($A20,-12))*
              (All_India_Index_Upto_April23__1___1[Sector]="Rural+Urban"),0)),
    INDEX(All_India_Index_Upto_April23__1___1[Spices],
      MATCH(1,(All_India_Index_Upto_April23__1___1[Date]=EDATE($A20,-12))*
              (All_India_Index_Upto_April23__1___1[Sector]="Rural+Urban"),0)),
    INDEX(All_India_Index_Upto_April23__1___1[Non-alcoholic beverages],
      MATCH(1,(All_India_Index_Upto_April23__1___1[Date]=EDATE($A20,-12))*
              (All_India_Index_Upto_April23__1___1[Sector]="Rural+Urban"),0)),
    INDEX(All_India_Index_Upto_April23__1___1[Prepared meals, snacks, sweets etc.],
      MATCH(1,(All_India_Index_Upto_April23__1___1[Date]=EDATE($A20,-12))*
              (All_India_Index_Upto_April23__1___1[Sector]="Rural+Urban"),0))
  ),
"")</f>
        <v>135.86666666666665</v>
      </c>
      <c r="Q20" s="8">
        <f t="shared" si="2"/>
        <v>1.4413640824337657E-2</v>
      </c>
      <c r="R20" t="str">
        <f t="shared" si="3"/>
        <v>Pre-COVID</v>
      </c>
      <c r="T20" s="2" cm="1">
        <f t="array" ref="T20">IFERROR(
  INDEX(
    All_India_Index_Upto_April23__1___1[Health],
    MATCH(
      1,
      (All_India_Index_Upto_April23__1___1[Date]=$A20) *
      (All_India_Index_Upto_April23__1___1[Sector]="Rural+Urban"),
      0
    )
  ),
"")</f>
        <v>137</v>
      </c>
      <c r="U20" s="2" cm="1">
        <f t="array" ref="U20">IFERROR(
  INDEX(
    All_India_Index_Upto_April23__1___1[Health],
    MATCH(
      1,
      (All_India_Index_Upto_April23__1___1[Date]=EDATE($A20,-12)) *
      (All_India_Index_Upto_April23__1___1[Sector]="Rural+Urban"),
      0
    )
  ),
"")</f>
        <v>129.4</v>
      </c>
      <c r="V20" s="8">
        <f t="shared" si="4"/>
        <v>5.8732612055641377E-2</v>
      </c>
      <c r="W20" t="str">
        <f t="shared" si="5"/>
        <v>Pre-COVID</v>
      </c>
      <c r="Y20" s="2" cm="1">
        <f t="array" ref="Y20">IFERROR(
  AVERAGE(
    INDEX(All_India_Index_Upto_April23__1___1[Pan, tobacco and intoxicants],
      MATCH(1,(All_India_Index_Upto_April23__1___1[Date]=$A20)*
              (All_India_Index_Upto_April23__1___1[Sector]="Rural+Urban"),0)),
    INDEX(All_India_Index_Upto_April23__1___1[Clothing],
      MATCH(1,(All_India_Index_Upto_April23__1___1[Date]=$A20)*
              (All_India_Index_Upto_April23__1___1[Sector]="Rural+Urban"),0)),
    INDEX(All_India_Index_Upto_April23__1___1[Footwear],
      MATCH(1,(All_India_Index_Upto_April23__1___1[Date]=$A20)*
              (All_India_Index_Upto_April23__1___1[Sector]="Rural+Urban"),0)),
    INDEX(All_India_Index_Upto_April23__1___1[Clothing and footwear],
      MATCH(1,(All_India_Index_Upto_April23__1___1[Date]=$A20)*
              (All_India_Index_Upto_April23__1___1[Sector]="Rural+Urban"),0)),
    INDEX(All_India_Index_Upto_April23__1___1[Housing],
      MATCH(1,(All_India_Index_Upto_April23__1___1[Date]=$A20)*
              (All_India_Index_Upto_April23__1___1[Sector]="Rural+Urban"),0)),
    INDEX(All_India_Index_Upto_April23__1___1[Fuel and light],
      MATCH(1,(All_India_Index_Upto_April23__1___1[Date]=$A20)*
              (All_India_Index_Upto_April23__1___1[Sector]="Rural+Urban"),0)),
    INDEX(All_India_Index_Upto_April23__1___1[Household goods and services],
      MATCH(1,(All_India_Index_Upto_April23__1___1[Date]=$A20)*
              (All_India_Index_Upto_April23__1___1[Sector]="Rural+Urban"),0)),
    INDEX(All_India_Index_Upto_April23__1___1[Health],
      MATCH(1,(All_India_Index_Upto_April23__1___1[Date]=$A20)*
              (All_India_Index_Upto_April23__1___1[Sector]="Rural+Urban"),0)),
    INDEX(All_India_Index_Upto_April23__1___1[Transport and communication],
      MATCH(1,(All_India_Index_Upto_April23__1___1[Date]=$A20)*
              (All_India_Index_Upto_April23__1___1[Sector]="Rural+Urban"),0)),
    INDEX(All_India_Index_Upto_April23__1___1[Recreation and amusement],
      MATCH(1,(All_India_Index_Upto_April23__1___1[Date]=$A20)*
              (All_India_Index_Upto_April23__1___1[Sector]="Rural+Urban"),0)),
    INDEX(All_India_Index_Upto_April23__1___1[Education],
      MATCH(1,(All_India_Index_Upto_April23__1___1[Date]=$A20)*
              (All_India_Index_Upto_April23__1___1[Sector]="Rural+Urban"),0)),
    INDEX(All_India_Index_Upto_April23__1___1[Personal care and effects],
      MATCH(1,(All_India_Index_Upto_April23__1___1[Date]=$A20)*
              (All_India_Index_Upto_April23__1___1[Sector]="Rural+Urban"),0)),
    INDEX(All_India_Index_Upto_April23__1___1[Miscellaneous],
      MATCH(1,(All_India_Index_Upto_April23__1___1[Date]=$A20)*
              (All_India_Index_Upto_April23__1___1[Sector]="Rural+Urban"),0))
  ),
"")</f>
        <v>139.02500000000001</v>
      </c>
      <c r="Z20" s="2" cm="1">
        <f t="array" ref="Z20">IFERROR(
  AVERAGE(
    INDEX(All_India_Index_Upto_April23__1___1[Pan, tobacco and intoxicants],
      MATCH(1,(All_India_Index_Upto_April23__1___1[Date]=EDATE($A20,-12))*
              (All_India_Index_Upto_April23__1___1[Sector]="Rural+Urban"),0)),
    INDEX(All_India_Index_Upto_April23__1___1[Clothing],
      MATCH(1,(All_India_Index_Upto_April23__1___1[Date]=EDATE($A20,-12))*
              (All_India_Index_Upto_April23__1___1[Sector]="Rural+Urban"),0)),
    INDEX(All_India_Index_Upto_April23__1___1[Footwear],
      MATCH(1,(All_India_Index_Upto_April23__1___1[Date]=EDATE($A20,-12))*
              (All_India_Index_Upto_April23__1___1[Sector]="Rural+Urban"),0)),
    INDEX(All_India_Index_Upto_April23__1___1[Clothing and footwear],
      MATCH(1,(All_India_Index_Upto_April23__1___1[Date]=EDATE($A20,-12))*
              (All_India_Index_Upto_April23__1___1[Sector]="Rural+Urban"),0)),
    INDEX(All_India_Index_Upto_April23__1___1[Housing],
      MATCH(1,(All_India_Index_Upto_April23__1___1[Date]=EDATE($A20,-12))*
              (All_India_Index_Upto_April23__1___1[Sector]="Rural+Urban"),0)),
    INDEX(All_India_Index_Upto_April23__1___1[Fuel and light],
      MATCH(1,(All_India_Index_Upto_April23__1___1[Date]=EDATE($A20,-12))*
              (All_India_Index_Upto_April23__1___1[Sector]="Rural+Urban"),0)),
    INDEX(All_India_Index_Upto_April23__1___1[Household goods and services],
      MATCH(1,(All_India_Index_Upto_April23__1___1[Date]=EDATE($A20,-12))*
              (All_India_Index_Upto_April23__1___1[Sector]="Rural+Urban"),0)),
    INDEX(All_India_Index_Upto_April23__1___1[Health],
      MATCH(1,(All_India_Index_Upto_April23__1___1[Date]=EDATE($A20,-12))*
              (All_India_Index_Upto_April23__1___1[Sector]="Rural+Urban"),0)),
    INDEX(All_India_Index_Upto_April23__1___1[Transport and communication],
      MATCH(1,(All_India_Index_Upto_April23__1___1[Date]=EDATE($A20,-12))*
              (All_India_Index_Upto_April23__1___1[Sector]="Rural+Urban"),0)),
    INDEX(All_India_Index_Upto_April23__1___1[Recreation and amusement],
      MATCH(1,(All_India_Index_Upto_April23__1___1[Date]=EDATE($A20,-12))*
              (All_India_Index_Upto_April23__1___1[Sector]="Rural+Urban"),0)),
    INDEX(All_India_Index_Upto_April23__1___1[Education],
      MATCH(1,(All_India_Index_Upto_April23__1___1[Date]=EDATE($A20,-12))*
              (All_India_Index_Upto_April23__1___1[Sector]="Rural+Urban"),0)),
    INDEX(All_India_Index_Upto_April23__1___1[Personal care and effects],
      MATCH(1,(All_India_Index_Upto_April23__1___1[Date]=EDATE($A20,-12))*
              (All_India_Index_Upto_April23__1___1[Sector]="Rural+Urban"),0)),
    INDEX(All_India_Index_Upto_April23__1___1[Miscellaneous],
      MATCH(1,(All_India_Index_Upto_April23__1___1[Date]=EDATE($A20,-12))*
              (All_India_Index_Upto_April23__1___1[Sector]="Rural+Urban"),0))
  ),
"")</f>
        <v>131.45833333333331</v>
      </c>
      <c r="AA20" s="8">
        <f t="shared" si="6"/>
        <v>5.75594294770208E-2</v>
      </c>
      <c r="AB20" t="str">
        <f t="shared" si="7"/>
        <v>Pre-COVID</v>
      </c>
    </row>
    <row r="21" spans="1:28" x14ac:dyDescent="0.2">
      <c r="A21" s="22">
        <v>43313</v>
      </c>
      <c r="B21">
        <v>2018</v>
      </c>
      <c r="C21" t="s">
        <v>45</v>
      </c>
      <c r="D21" s="2" cm="1">
        <f t="array" ref="D21">IFERROR(
  INDEX(
    All_India_Index_Upto_April23__1___1[General index],
    MATCH(
      1,
      (All_India_Index_Upto_April23__1___1[Sector]="Rural+Urban") *
      (All_India_Index_Upto_April23__1___1[Date]=A21),
      0
    )
  ),
"")</f>
        <v>140.4</v>
      </c>
      <c r="E21" s="2" cm="1">
        <f t="array" ref="E21">IFERROR(
  INDEX(
    All_India_Index_Upto_April23__1___1[General index],
    MATCH(
      1,
      (All_India_Index_Upto_April23__1___1[Sector]="Rural+Urban") *
      (All_India_Index_Upto_April23__1___1[Date]=EDATE(A21,-12)),
      0
    )
  ),
"")</f>
        <v>135.4</v>
      </c>
      <c r="F21" s="8">
        <f t="shared" si="0"/>
        <v>3.692762186115206E-2</v>
      </c>
      <c r="G21" t="str">
        <f t="shared" si="1"/>
        <v>Pre-COVID</v>
      </c>
      <c r="O21" s="2" cm="1">
        <f t="array" ref="O21">IFERROR(
  AVERAGE(
    INDEX(All_India_Index_Upto_April23__1___1[Cereals and products],
      MATCH(1,(All_India_Index_Upto_April23__1___1[Date]=$A21)*
              (All_India_Index_Upto_April23__1___1[Sector]="Rural+Urban"),0)),
    INDEX(All_India_Index_Upto_April23__1___1[Meat and fish],
      MATCH(1,(All_India_Index_Upto_April23__1___1[Date]=$A21)*
              (All_India_Index_Upto_April23__1___1[Sector]="Rural+Urban"),0)),
    INDEX(All_India_Index_Upto_April23__1___1[Egg],
      MATCH(1,(All_India_Index_Upto_April23__1___1[Date]=$A21)*
              (All_India_Index_Upto_April23__1___1[Sector]="Rural+Urban"),0)),
    INDEX(All_India_Index_Upto_April23__1___1[Milk and products],
      MATCH(1,(All_India_Index_Upto_April23__1___1[Date]=$A21)*
              (All_India_Index_Upto_April23__1___1[Sector]="Rural+Urban"),0)),
    INDEX(All_India_Index_Upto_April23__1___1[Oils and fats],
      MATCH(1,(All_India_Index_Upto_April23__1___1[Date]=$A21)*
              (All_India_Index_Upto_April23__1___1[Sector]="Rural+Urban"),0)),
    INDEX(All_India_Index_Upto_April23__1___1[Fruits],
      MATCH(1,(All_India_Index_Upto_April23__1___1[Date]=$A21)*
              (All_India_Index_Upto_April23__1___1[Sector]="Rural+Urban"),0)),
    INDEX(All_India_Index_Upto_April23__1___1[Vegetables],
      MATCH(1,(All_India_Index_Upto_April23__1___1[Date]=$A21)*
              (All_India_Index_Upto_April23__1___1[Sector]="Rural+Urban"),0)),
    INDEX(All_India_Index_Upto_April23__1___1[Pulses and products],
      MATCH(1,(All_India_Index_Upto_April23__1___1[Date]=$A21)*
              (All_India_Index_Upto_April23__1___1[Sector]="Rural+Urban"),0)),
    INDEX(All_India_Index_Upto_April23__1___1[Sugar and Confectionery],
      MATCH(1,(All_India_Index_Upto_April23__1___1[Date]=$A21)*
              (All_India_Index_Upto_April23__1___1[Sector]="Rural+Urban"),0)),
    INDEX(All_India_Index_Upto_April23__1___1[Spices],
      MATCH(1,(All_India_Index_Upto_April23__1___1[Date]=$A21)*
              (All_India_Index_Upto_April23__1___1[Sector]="Rural+Urban"),0)),
    INDEX(All_India_Index_Upto_April23__1___1[Non-alcoholic beverages],
      MATCH(1,(All_India_Index_Upto_April23__1___1[Date]=$A21)*
              (All_India_Index_Upto_April23__1___1[Sector]="Rural+Urban"),0)),
    INDEX(All_India_Index_Upto_April23__1___1[Prepared meals, snacks, sweets etc.],
      MATCH(1,(All_India_Index_Upto_April23__1___1[Date]=$A21)*
              (All_India_Index_Upto_April23__1___1[Sector]="Rural+Urban"),0))
  ),
"")</f>
        <v>138.08333333333334</v>
      </c>
      <c r="P21" s="2" cm="1">
        <f t="array" ref="P21">IFERROR(
  AVERAGE(
    INDEX(All_India_Index_Upto_April23__1___1[Cereals and products],
      MATCH(1,(All_India_Index_Upto_April23__1___1[Date]=EDATE($A21,-12))*
              (All_India_Index_Upto_April23__1___1[Sector]="Rural+Urban"),0)),
    INDEX(All_India_Index_Upto_April23__1___1[Meat and fish],
      MATCH(1,(All_India_Index_Upto_April23__1___1[Date]=EDATE($A21,-12))*
              (All_India_Index_Upto_April23__1___1[Sector]="Rural+Urban"),0)),
    INDEX(All_India_Index_Upto_April23__1___1[Egg],
      MATCH(1,(All_India_Index_Upto_April23__1___1[Date]=EDATE($A21,-12))*
              (All_India_Index_Upto_April23__1___1[Sector]="Rural+Urban"),0)),
    INDEX(All_India_Index_Upto_April23__1___1[Milk and products],
      MATCH(1,(All_India_Index_Upto_April23__1___1[Date]=EDATE($A21,-12))*
              (All_India_Index_Upto_April23__1___1[Sector]="Rural+Urban"),0)),
    INDEX(All_India_Index_Upto_April23__1___1[Oils and fats],
      MATCH(1,(All_India_Index_Upto_April23__1___1[Date]=EDATE($A21,-12))*
              (All_India_Index_Upto_April23__1___1[Sector]="Rural+Urban"),0)),
    INDEX(All_India_Index_Upto_April23__1___1[Fruits],
      MATCH(1,(All_India_Index_Upto_April23__1___1[Date]=EDATE($A21,-12))*
              (All_India_Index_Upto_April23__1___1[Sector]="Rural+Urban"),0)),
    INDEX(All_India_Index_Upto_April23__1___1[Vegetables],
      MATCH(1,(All_India_Index_Upto_April23__1___1[Date]=EDATE($A21,-12))*
              (All_India_Index_Upto_April23__1___1[Sector]="Rural+Urban"),0)),
    INDEX(All_India_Index_Upto_April23__1___1[Pulses and products],
      MATCH(1,(All_India_Index_Upto_April23__1___1[Date]=EDATE($A21,-12))*
              (All_India_Index_Upto_April23__1___1[Sector]="Rural+Urban"),0)),
    INDEX(All_India_Index_Upto_April23__1___1[Sugar and Confectionery],
      MATCH(1,(All_India_Index_Upto_April23__1___1[Date]=EDATE($A21,-12))*
              (All_India_Index_Upto_April23__1___1[Sector]="Rural+Urban"),0)),
    INDEX(All_India_Index_Upto_April23__1___1[Spices],
      MATCH(1,(All_India_Index_Upto_April23__1___1[Date]=EDATE($A21,-12))*
              (All_India_Index_Upto_April23__1___1[Sector]="Rural+Urban"),0)),
    INDEX(All_India_Index_Upto_April23__1___1[Non-alcoholic beverages],
      MATCH(1,(All_India_Index_Upto_April23__1___1[Date]=EDATE($A21,-12))*
              (All_India_Index_Upto_April23__1___1[Sector]="Rural+Urban"),0)),
    INDEX(All_India_Index_Upto_April23__1___1[Prepared meals, snacks, sweets etc.],
      MATCH(1,(All_India_Index_Upto_April23__1___1[Date]=EDATE($A21,-12))*
              (All_India_Index_Upto_April23__1___1[Sector]="Rural+Urban"),0))
  ),
"")</f>
        <v>136.93333333333334</v>
      </c>
      <c r="Q21" s="8">
        <f t="shared" si="2"/>
        <v>8.3982473222979966E-3</v>
      </c>
      <c r="R21" t="str">
        <f t="shared" si="3"/>
        <v>Pre-COVID</v>
      </c>
      <c r="T21" s="2" cm="1">
        <f t="array" ref="T21">IFERROR(
  INDEX(
    All_India_Index_Upto_April23__1___1[Health],
    MATCH(
      1,
      (All_India_Index_Upto_April23__1___1[Date]=$A21) *
      (All_India_Index_Upto_April23__1___1[Sector]="Rural+Urban"),
      0
    )
  ),
"")</f>
        <v>137.69999999999999</v>
      </c>
      <c r="U21" s="2" cm="1">
        <f t="array" ref="U21">IFERROR(
  INDEX(
    All_India_Index_Upto_April23__1___1[Health],
    MATCH(
      1,
      (All_India_Index_Upto_April23__1___1[Date]=EDATE($A21,-12)) *
      (All_India_Index_Upto_April23__1___1[Sector]="Rural+Urban"),
      0
    )
  ),
"")</f>
        <v>130.19999999999999</v>
      </c>
      <c r="V21" s="8">
        <f t="shared" si="4"/>
        <v>5.7603686635944708E-2</v>
      </c>
      <c r="W21" t="str">
        <f t="shared" si="5"/>
        <v>Pre-COVID</v>
      </c>
      <c r="Y21" s="2" cm="1">
        <f t="array" ref="Y21">IFERROR(
  AVERAGE(
    INDEX(All_India_Index_Upto_April23__1___1[Pan, tobacco and intoxicants],
      MATCH(1,(All_India_Index_Upto_April23__1___1[Date]=$A21)*
              (All_India_Index_Upto_April23__1___1[Sector]="Rural+Urban"),0)),
    INDEX(All_India_Index_Upto_April23__1___1[Clothing],
      MATCH(1,(All_India_Index_Upto_April23__1___1[Date]=$A21)*
              (All_India_Index_Upto_April23__1___1[Sector]="Rural+Urban"),0)),
    INDEX(All_India_Index_Upto_April23__1___1[Footwear],
      MATCH(1,(All_India_Index_Upto_April23__1___1[Date]=$A21)*
              (All_India_Index_Upto_April23__1___1[Sector]="Rural+Urban"),0)),
    INDEX(All_India_Index_Upto_April23__1___1[Clothing and footwear],
      MATCH(1,(All_India_Index_Upto_April23__1___1[Date]=$A21)*
              (All_India_Index_Upto_April23__1___1[Sector]="Rural+Urban"),0)),
    INDEX(All_India_Index_Upto_April23__1___1[Housing],
      MATCH(1,(All_India_Index_Upto_April23__1___1[Date]=$A21)*
              (All_India_Index_Upto_April23__1___1[Sector]="Rural+Urban"),0)),
    INDEX(All_India_Index_Upto_April23__1___1[Fuel and light],
      MATCH(1,(All_India_Index_Upto_April23__1___1[Date]=$A21)*
              (All_India_Index_Upto_April23__1___1[Sector]="Rural+Urban"),0)),
    INDEX(All_India_Index_Upto_April23__1___1[Household goods and services],
      MATCH(1,(All_India_Index_Upto_April23__1___1[Date]=$A21)*
              (All_India_Index_Upto_April23__1___1[Sector]="Rural+Urban"),0)),
    INDEX(All_India_Index_Upto_April23__1___1[Health],
      MATCH(1,(All_India_Index_Upto_April23__1___1[Date]=$A21)*
              (All_India_Index_Upto_April23__1___1[Sector]="Rural+Urban"),0)),
    INDEX(All_India_Index_Upto_April23__1___1[Transport and communication],
      MATCH(1,(All_India_Index_Upto_April23__1___1[Date]=$A21)*
              (All_India_Index_Upto_April23__1___1[Sector]="Rural+Urban"),0)),
    INDEX(All_India_Index_Upto_April23__1___1[Recreation and amusement],
      MATCH(1,(All_India_Index_Upto_April23__1___1[Date]=$A21)*
              (All_India_Index_Upto_April23__1___1[Sector]="Rural+Urban"),0)),
    INDEX(All_India_Index_Upto_April23__1___1[Education],
      MATCH(1,(All_India_Index_Upto_April23__1___1[Date]=$A21)*
              (All_India_Index_Upto_April23__1___1[Sector]="Rural+Urban"),0)),
    INDEX(All_India_Index_Upto_April23__1___1[Personal care and effects],
      MATCH(1,(All_India_Index_Upto_April23__1___1[Date]=$A21)*
              (All_India_Index_Upto_April23__1___1[Sector]="Rural+Urban"),0)),
    INDEX(All_India_Index_Upto_April23__1___1[Miscellaneous],
      MATCH(1,(All_India_Index_Upto_April23__1___1[Date]=$A21)*
              (All_India_Index_Upto_April23__1___1[Sector]="Rural+Urban"),0))
  ),
"")</f>
        <v>139.66666666666666</v>
      </c>
      <c r="Z21" s="2" cm="1">
        <f t="array" ref="Z21">IFERROR(
  AVERAGE(
    INDEX(All_India_Index_Upto_April23__1___1[Pan, tobacco and intoxicants],
      MATCH(1,(All_India_Index_Upto_April23__1___1[Date]=EDATE($A21,-12))*
              (All_India_Index_Upto_April23__1___1[Sector]="Rural+Urban"),0)),
    INDEX(All_India_Index_Upto_April23__1___1[Clothing],
      MATCH(1,(All_India_Index_Upto_April23__1___1[Date]=EDATE($A21,-12))*
              (All_India_Index_Upto_April23__1___1[Sector]="Rural+Urban"),0)),
    INDEX(All_India_Index_Upto_April23__1___1[Footwear],
      MATCH(1,(All_India_Index_Upto_April23__1___1[Date]=EDATE($A21,-12))*
              (All_India_Index_Upto_April23__1___1[Sector]="Rural+Urban"),0)),
    INDEX(All_India_Index_Upto_April23__1___1[Clothing and footwear],
      MATCH(1,(All_India_Index_Upto_April23__1___1[Date]=EDATE($A21,-12))*
              (All_India_Index_Upto_April23__1___1[Sector]="Rural+Urban"),0)),
    INDEX(All_India_Index_Upto_April23__1___1[Housing],
      MATCH(1,(All_India_Index_Upto_April23__1___1[Date]=EDATE($A21,-12))*
              (All_India_Index_Upto_April23__1___1[Sector]="Rural+Urban"),0)),
    INDEX(All_India_Index_Upto_April23__1___1[Fuel and light],
      MATCH(1,(All_India_Index_Upto_April23__1___1[Date]=EDATE($A21,-12))*
              (All_India_Index_Upto_April23__1___1[Sector]="Rural+Urban"),0)),
    INDEX(All_India_Index_Upto_April23__1___1[Household goods and services],
      MATCH(1,(All_India_Index_Upto_April23__1___1[Date]=EDATE($A21,-12))*
              (All_India_Index_Upto_April23__1___1[Sector]="Rural+Urban"),0)),
    INDEX(All_India_Index_Upto_April23__1___1[Health],
      MATCH(1,(All_India_Index_Upto_April23__1___1[Date]=EDATE($A21,-12))*
              (All_India_Index_Upto_April23__1___1[Sector]="Rural+Urban"),0)),
    INDEX(All_India_Index_Upto_April23__1___1[Transport and communication],
      MATCH(1,(All_India_Index_Upto_April23__1___1[Date]=EDATE($A21,-12))*
              (All_India_Index_Upto_April23__1___1[Sector]="Rural+Urban"),0)),
    INDEX(All_India_Index_Upto_April23__1___1[Recreation and amusement],
      MATCH(1,(All_India_Index_Upto_April23__1___1[Date]=EDATE($A21,-12))*
              (All_India_Index_Upto_April23__1___1[Sector]="Rural+Urban"),0)),
    INDEX(All_India_Index_Upto_April23__1___1[Education],
      MATCH(1,(All_India_Index_Upto_April23__1___1[Date]=EDATE($A21,-12))*
              (All_India_Index_Upto_April23__1___1[Sector]="Rural+Urban"),0)),
    INDEX(All_India_Index_Upto_April23__1___1[Personal care and effects],
      MATCH(1,(All_India_Index_Upto_April23__1___1[Date]=EDATE($A21,-12))*
              (All_India_Index_Upto_April23__1___1[Sector]="Rural+Urban"),0)),
    INDEX(All_India_Index_Upto_April23__1___1[Miscellaneous],
      MATCH(1,(All_India_Index_Upto_April23__1___1[Date]=EDATE($A21,-12))*
              (All_India_Index_Upto_April23__1___1[Sector]="Rural+Urban"),0))
  ),
"")</f>
        <v>132.39166666666665</v>
      </c>
      <c r="AA21" s="8">
        <f t="shared" si="6"/>
        <v>5.4950588531503794E-2</v>
      </c>
      <c r="AB21" t="str">
        <f t="shared" si="7"/>
        <v>Pre-COVID</v>
      </c>
    </row>
    <row r="22" spans="1:28" x14ac:dyDescent="0.2">
      <c r="A22" s="22">
        <v>43344</v>
      </c>
      <c r="B22">
        <v>2018</v>
      </c>
      <c r="C22" t="s">
        <v>47</v>
      </c>
      <c r="D22" s="2" cm="1">
        <f t="array" ref="D22">IFERROR(
  INDEX(
    All_India_Index_Upto_April23__1___1[General index],
    MATCH(
      1,
      (All_India_Index_Upto_April23__1___1[Sector]="Rural+Urban") *
      (All_India_Index_Upto_April23__1___1[Date]=A22),
      0
    )
  ),
"")</f>
        <v>140.19999999999999</v>
      </c>
      <c r="E22" s="2" cm="1">
        <f t="array" ref="E22">IFERROR(
  INDEX(
    All_India_Index_Upto_April23__1___1[General index],
    MATCH(
      1,
      (All_India_Index_Upto_April23__1___1[Sector]="Rural+Urban") *
      (All_India_Index_Upto_April23__1___1[Date]=EDATE(A22,-12)),
      0
    )
  ),
"")</f>
        <v>135.19999999999999</v>
      </c>
      <c r="F22" s="8">
        <f t="shared" si="0"/>
        <v>3.6982248520710082E-2</v>
      </c>
      <c r="G22" t="str">
        <f t="shared" si="1"/>
        <v>Pre-COVID</v>
      </c>
      <c r="O22" s="2" cm="1">
        <f t="array" ref="O22">IFERROR(
  AVERAGE(
    INDEX(All_India_Index_Upto_April23__1___1[Cereals and products],
      MATCH(1,(All_India_Index_Upto_April23__1___1[Date]=$A22)*
              (All_India_Index_Upto_April23__1___1[Sector]="Rural+Urban"),0)),
    INDEX(All_India_Index_Upto_April23__1___1[Meat and fish],
      MATCH(1,(All_India_Index_Upto_April23__1___1[Date]=$A22)*
              (All_India_Index_Upto_April23__1___1[Sector]="Rural+Urban"),0)),
    INDEX(All_India_Index_Upto_April23__1___1[Egg],
      MATCH(1,(All_India_Index_Upto_April23__1___1[Date]=$A22)*
              (All_India_Index_Upto_April23__1___1[Sector]="Rural+Urban"),0)),
    INDEX(All_India_Index_Upto_April23__1___1[Milk and products],
      MATCH(1,(All_India_Index_Upto_April23__1___1[Date]=$A22)*
              (All_India_Index_Upto_April23__1___1[Sector]="Rural+Urban"),0)),
    INDEX(All_India_Index_Upto_April23__1___1[Oils and fats],
      MATCH(1,(All_India_Index_Upto_April23__1___1[Date]=$A22)*
              (All_India_Index_Upto_April23__1___1[Sector]="Rural+Urban"),0)),
    INDEX(All_India_Index_Upto_April23__1___1[Fruits],
      MATCH(1,(All_India_Index_Upto_April23__1___1[Date]=$A22)*
              (All_India_Index_Upto_April23__1___1[Sector]="Rural+Urban"),0)),
    INDEX(All_India_Index_Upto_April23__1___1[Vegetables],
      MATCH(1,(All_India_Index_Upto_April23__1___1[Date]=$A22)*
              (All_India_Index_Upto_April23__1___1[Sector]="Rural+Urban"),0)),
    INDEX(All_India_Index_Upto_April23__1___1[Pulses and products],
      MATCH(1,(All_India_Index_Upto_April23__1___1[Date]=$A22)*
              (All_India_Index_Upto_April23__1___1[Sector]="Rural+Urban"),0)),
    INDEX(All_India_Index_Upto_April23__1___1[Sugar and Confectionery],
      MATCH(1,(All_India_Index_Upto_April23__1___1[Date]=$A22)*
              (All_India_Index_Upto_April23__1___1[Sector]="Rural+Urban"),0)),
    INDEX(All_India_Index_Upto_April23__1___1[Spices],
      MATCH(1,(All_India_Index_Upto_April23__1___1[Date]=$A22)*
              (All_India_Index_Upto_April23__1___1[Sector]="Rural+Urban"),0)),
    INDEX(All_India_Index_Upto_April23__1___1[Non-alcoholic beverages],
      MATCH(1,(All_India_Index_Upto_April23__1___1[Date]=$A22)*
              (All_India_Index_Upto_April23__1___1[Sector]="Rural+Urban"),0)),
    INDEX(All_India_Index_Upto_April23__1___1[Prepared meals, snacks, sweets etc.],
      MATCH(1,(All_India_Index_Upto_April23__1___1[Date]=$A22)*
              (All_India_Index_Upto_April23__1___1[Sector]="Rural+Urban"),0))
  ),
"")</f>
        <v>136.59166666666667</v>
      </c>
      <c r="P22" s="2" cm="1">
        <f t="array" ref="P22">IFERROR(
  AVERAGE(
    INDEX(All_India_Index_Upto_April23__1___1[Cereals and products],
      MATCH(1,(All_India_Index_Upto_April23__1___1[Date]=EDATE($A22,-12))*
              (All_India_Index_Upto_April23__1___1[Sector]="Rural+Urban"),0)),
    INDEX(All_India_Index_Upto_April23__1___1[Meat and fish],
      MATCH(1,(All_India_Index_Upto_April23__1___1[Date]=EDATE($A22,-12))*
              (All_India_Index_Upto_April23__1___1[Sector]="Rural+Urban"),0)),
    INDEX(All_India_Index_Upto_April23__1___1[Egg],
      MATCH(1,(All_India_Index_Upto_April23__1___1[Date]=EDATE($A22,-12))*
              (All_India_Index_Upto_April23__1___1[Sector]="Rural+Urban"),0)),
    INDEX(All_India_Index_Upto_April23__1___1[Milk and products],
      MATCH(1,(All_India_Index_Upto_April23__1___1[Date]=EDATE($A22,-12))*
              (All_India_Index_Upto_April23__1___1[Sector]="Rural+Urban"),0)),
    INDEX(All_India_Index_Upto_April23__1___1[Oils and fats],
      MATCH(1,(All_India_Index_Upto_April23__1___1[Date]=EDATE($A22,-12))*
              (All_India_Index_Upto_April23__1___1[Sector]="Rural+Urban"),0)),
    INDEX(All_India_Index_Upto_April23__1___1[Fruits],
      MATCH(1,(All_India_Index_Upto_April23__1___1[Date]=EDATE($A22,-12))*
              (All_India_Index_Upto_April23__1___1[Sector]="Rural+Urban"),0)),
    INDEX(All_India_Index_Upto_April23__1___1[Vegetables],
      MATCH(1,(All_India_Index_Upto_April23__1___1[Date]=EDATE($A22,-12))*
              (All_India_Index_Upto_April23__1___1[Sector]="Rural+Urban"),0)),
    INDEX(All_India_Index_Upto_April23__1___1[Pulses and products],
      MATCH(1,(All_India_Index_Upto_April23__1___1[Date]=EDATE($A22,-12))*
              (All_India_Index_Upto_April23__1___1[Sector]="Rural+Urban"),0)),
    INDEX(All_India_Index_Upto_April23__1___1[Sugar and Confectionery],
      MATCH(1,(All_India_Index_Upto_April23__1___1[Date]=EDATE($A22,-12))*
              (All_India_Index_Upto_April23__1___1[Sector]="Rural+Urban"),0)),
    INDEX(All_India_Index_Upto_April23__1___1[Spices],
      MATCH(1,(All_India_Index_Upto_April23__1___1[Date]=EDATE($A22,-12))*
              (All_India_Index_Upto_April23__1___1[Sector]="Rural+Urban"),0)),
    INDEX(All_India_Index_Upto_April23__1___1[Non-alcoholic beverages],
      MATCH(1,(All_India_Index_Upto_April23__1___1[Date]=EDATE($A22,-12))*
              (All_India_Index_Upto_April23__1___1[Sector]="Rural+Urban"),0)),
    INDEX(All_India_Index_Upto_April23__1___1[Prepared meals, snacks, sweets etc.],
      MATCH(1,(All_India_Index_Upto_April23__1___1[Date]=EDATE($A22,-12))*
              (All_India_Index_Upto_April23__1___1[Sector]="Rural+Urban"),0))
  ),
"")</f>
        <v>135.91666666666666</v>
      </c>
      <c r="Q22" s="8">
        <f t="shared" si="2"/>
        <v>4.9662783568363809E-3</v>
      </c>
      <c r="R22" t="str">
        <f t="shared" si="3"/>
        <v>Pre-COVID</v>
      </c>
      <c r="T22" s="2" cm="1">
        <f t="array" ref="T22">IFERROR(
  INDEX(
    All_India_Index_Upto_April23__1___1[Health],
    MATCH(
      1,
      (All_India_Index_Upto_April23__1___1[Date]=$A22) *
      (All_India_Index_Upto_April23__1___1[Sector]="Rural+Urban"),
      0
    )
  ),
"")</f>
        <v>138.4</v>
      </c>
      <c r="U22" s="2" cm="1">
        <f t="array" ref="U22">IFERROR(
  INDEX(
    All_India_Index_Upto_April23__1___1[Health],
    MATCH(
      1,
      (All_India_Index_Upto_April23__1___1[Date]=EDATE($A22,-12)) *
      (All_India_Index_Upto_April23__1___1[Sector]="Rural+Urban"),
      0
    )
  ),
"")</f>
        <v>130.6</v>
      </c>
      <c r="V22" s="8">
        <f t="shared" si="4"/>
        <v>5.9724349157733628E-2</v>
      </c>
      <c r="W22" t="str">
        <f t="shared" si="5"/>
        <v>Pre-COVID</v>
      </c>
      <c r="Y22" s="2" cm="1">
        <f t="array" ref="Y22">IFERROR(
  AVERAGE(
    INDEX(All_India_Index_Upto_April23__1___1[Pan, tobacco and intoxicants],
      MATCH(1,(All_India_Index_Upto_April23__1___1[Date]=$A22)*
              (All_India_Index_Upto_April23__1___1[Sector]="Rural+Urban"),0)),
    INDEX(All_India_Index_Upto_April23__1___1[Clothing],
      MATCH(1,(All_India_Index_Upto_April23__1___1[Date]=$A22)*
              (All_India_Index_Upto_April23__1___1[Sector]="Rural+Urban"),0)),
    INDEX(All_India_Index_Upto_April23__1___1[Footwear],
      MATCH(1,(All_India_Index_Upto_April23__1___1[Date]=$A22)*
              (All_India_Index_Upto_April23__1___1[Sector]="Rural+Urban"),0)),
    INDEX(All_India_Index_Upto_April23__1___1[Clothing and footwear],
      MATCH(1,(All_India_Index_Upto_April23__1___1[Date]=$A22)*
              (All_India_Index_Upto_April23__1___1[Sector]="Rural+Urban"),0)),
    INDEX(All_India_Index_Upto_April23__1___1[Housing],
      MATCH(1,(All_India_Index_Upto_April23__1___1[Date]=$A22)*
              (All_India_Index_Upto_April23__1___1[Sector]="Rural+Urban"),0)),
    INDEX(All_India_Index_Upto_April23__1___1[Fuel and light],
      MATCH(1,(All_India_Index_Upto_April23__1___1[Date]=$A22)*
              (All_India_Index_Upto_April23__1___1[Sector]="Rural+Urban"),0)),
    INDEX(All_India_Index_Upto_April23__1___1[Household goods and services],
      MATCH(1,(All_India_Index_Upto_April23__1___1[Date]=$A22)*
              (All_India_Index_Upto_April23__1___1[Sector]="Rural+Urban"),0)),
    INDEX(All_India_Index_Upto_April23__1___1[Health],
      MATCH(1,(All_India_Index_Upto_April23__1___1[Date]=$A22)*
              (All_India_Index_Upto_April23__1___1[Sector]="Rural+Urban"),0)),
    INDEX(All_India_Index_Upto_April23__1___1[Transport and communication],
      MATCH(1,(All_India_Index_Upto_April23__1___1[Date]=$A22)*
              (All_India_Index_Upto_April23__1___1[Sector]="Rural+Urban"),0)),
    INDEX(All_India_Index_Upto_April23__1___1[Recreation and amusement],
      MATCH(1,(All_India_Index_Upto_April23__1___1[Date]=$A22)*
              (All_India_Index_Upto_April23__1___1[Sector]="Rural+Urban"),0)),
    INDEX(All_India_Index_Upto_April23__1___1[Education],
      MATCH(1,(All_India_Index_Upto_April23__1___1[Date]=$A22)*
              (All_India_Index_Upto_April23__1___1[Sector]="Rural+Urban"),0)),
    INDEX(All_India_Index_Upto_April23__1___1[Personal care and effects],
      MATCH(1,(All_India_Index_Upto_April23__1___1[Date]=$A22)*
              (All_India_Index_Upto_April23__1___1[Sector]="Rural+Urban"),0)),
    INDEX(All_India_Index_Upto_April23__1___1[Miscellaneous],
      MATCH(1,(All_India_Index_Upto_April23__1___1[Date]=$A22)*
              (All_India_Index_Upto_April23__1___1[Sector]="Rural+Urban"),0))
  ),
"")</f>
        <v>140.43333333333337</v>
      </c>
      <c r="Z22" s="2" cm="1">
        <f t="array" ref="Z22">IFERROR(
  AVERAGE(
    INDEX(All_India_Index_Upto_April23__1___1[Pan, tobacco and intoxicants],
      MATCH(1,(All_India_Index_Upto_April23__1___1[Date]=EDATE($A22,-12))*
              (All_India_Index_Upto_April23__1___1[Sector]="Rural+Urban"),0)),
    INDEX(All_India_Index_Upto_April23__1___1[Clothing],
      MATCH(1,(All_India_Index_Upto_April23__1___1[Date]=EDATE($A22,-12))*
              (All_India_Index_Upto_April23__1___1[Sector]="Rural+Urban"),0)),
    INDEX(All_India_Index_Upto_April23__1___1[Footwear],
      MATCH(1,(All_India_Index_Upto_April23__1___1[Date]=EDATE($A22,-12))*
              (All_India_Index_Upto_April23__1___1[Sector]="Rural+Urban"),0)),
    INDEX(All_India_Index_Upto_April23__1___1[Clothing and footwear],
      MATCH(1,(All_India_Index_Upto_April23__1___1[Date]=EDATE($A22,-12))*
              (All_India_Index_Upto_April23__1___1[Sector]="Rural+Urban"),0)),
    INDEX(All_India_Index_Upto_April23__1___1[Housing],
      MATCH(1,(All_India_Index_Upto_April23__1___1[Date]=EDATE($A22,-12))*
              (All_India_Index_Upto_April23__1___1[Sector]="Rural+Urban"),0)),
    INDEX(All_India_Index_Upto_April23__1___1[Fuel and light],
      MATCH(1,(All_India_Index_Upto_April23__1___1[Date]=EDATE($A22,-12))*
              (All_India_Index_Upto_April23__1___1[Sector]="Rural+Urban"),0)),
    INDEX(All_India_Index_Upto_April23__1___1[Household goods and services],
      MATCH(1,(All_India_Index_Upto_April23__1___1[Date]=EDATE($A22,-12))*
              (All_India_Index_Upto_April23__1___1[Sector]="Rural+Urban"),0)),
    INDEX(All_India_Index_Upto_April23__1___1[Health],
      MATCH(1,(All_India_Index_Upto_April23__1___1[Date]=EDATE($A22,-12))*
              (All_India_Index_Upto_April23__1___1[Sector]="Rural+Urban"),0)),
    INDEX(All_India_Index_Upto_April23__1___1[Transport and communication],
      MATCH(1,(All_India_Index_Upto_April23__1___1[Date]=EDATE($A22,-12))*
              (All_India_Index_Upto_April23__1___1[Sector]="Rural+Urban"),0)),
    INDEX(All_India_Index_Upto_April23__1___1[Recreation and amusement],
      MATCH(1,(All_India_Index_Upto_April23__1___1[Date]=EDATE($A22,-12))*
              (All_India_Index_Upto_April23__1___1[Sector]="Rural+Urban"),0)),
    INDEX(All_India_Index_Upto_April23__1___1[Education],
      MATCH(1,(All_India_Index_Upto_April23__1___1[Date]=EDATE($A22,-12))*
              (All_India_Index_Upto_April23__1___1[Sector]="Rural+Urban"),0)),
    INDEX(All_India_Index_Upto_April23__1___1[Personal care and effects],
      MATCH(1,(All_India_Index_Upto_April23__1___1[Date]=EDATE($A22,-12))*
              (All_India_Index_Upto_April23__1___1[Sector]="Rural+Urban"),0)),
    INDEX(All_India_Index_Upto_April23__1___1[Miscellaneous],
      MATCH(1,(All_India_Index_Upto_April23__1___1[Date]=EDATE($A22,-12))*
              (All_India_Index_Upto_April23__1___1[Sector]="Rural+Urban"),0))
  ),
"")</f>
        <v>133.08333333333334</v>
      </c>
      <c r="AA22" s="8">
        <f t="shared" si="6"/>
        <v>5.5228553537883696E-2</v>
      </c>
      <c r="AB22" t="str">
        <f t="shared" si="7"/>
        <v>Pre-COVID</v>
      </c>
    </row>
    <row r="23" spans="1:28" x14ac:dyDescent="0.2">
      <c r="A23" s="22">
        <v>43374</v>
      </c>
      <c r="B23">
        <v>2018</v>
      </c>
      <c r="C23" t="s">
        <v>49</v>
      </c>
      <c r="D23" s="2" cm="1">
        <f t="array" ref="D23">IFERROR(
  INDEX(
    All_India_Index_Upto_April23__1___1[General index],
    MATCH(
      1,
      (All_India_Index_Upto_April23__1___1[Sector]="Rural+Urban") *
      (All_India_Index_Upto_April23__1___1[Date]=A23),
      0
    )
  ),
"")</f>
        <v>140.80000000000001</v>
      </c>
      <c r="E23" s="2" cm="1">
        <f t="array" ref="E23">IFERROR(
  INDEX(
    All_India_Index_Upto_April23__1___1[General index],
    MATCH(
      1,
      (All_India_Index_Upto_April23__1___1[Sector]="Rural+Urban") *
      (All_India_Index_Upto_April23__1___1[Date]=EDATE(A23,-12)),
      0
    )
  ),
"")</f>
        <v>136.1</v>
      </c>
      <c r="F23" s="8">
        <f t="shared" si="0"/>
        <v>3.4533431300514561E-2</v>
      </c>
      <c r="G23" t="str">
        <f t="shared" si="1"/>
        <v>Pre-COVID</v>
      </c>
      <c r="O23" s="2" cm="1">
        <f t="array" ref="O23">IFERROR(
  AVERAGE(
    INDEX(All_India_Index_Upto_April23__1___1[Cereals and products],
      MATCH(1,(All_India_Index_Upto_April23__1___1[Date]=$A23)*
              (All_India_Index_Upto_April23__1___1[Sector]="Rural+Urban"),0)),
    INDEX(All_India_Index_Upto_April23__1___1[Meat and fish],
      MATCH(1,(All_India_Index_Upto_April23__1___1[Date]=$A23)*
              (All_India_Index_Upto_April23__1___1[Sector]="Rural+Urban"),0)),
    INDEX(All_India_Index_Upto_April23__1___1[Egg],
      MATCH(1,(All_India_Index_Upto_April23__1___1[Date]=$A23)*
              (All_India_Index_Upto_April23__1___1[Sector]="Rural+Urban"),0)),
    INDEX(All_India_Index_Upto_April23__1___1[Milk and products],
      MATCH(1,(All_India_Index_Upto_April23__1___1[Date]=$A23)*
              (All_India_Index_Upto_April23__1___1[Sector]="Rural+Urban"),0)),
    INDEX(All_India_Index_Upto_April23__1___1[Oils and fats],
      MATCH(1,(All_India_Index_Upto_April23__1___1[Date]=$A23)*
              (All_India_Index_Upto_April23__1___1[Sector]="Rural+Urban"),0)),
    INDEX(All_India_Index_Upto_April23__1___1[Fruits],
      MATCH(1,(All_India_Index_Upto_April23__1___1[Date]=$A23)*
              (All_India_Index_Upto_April23__1___1[Sector]="Rural+Urban"),0)),
    INDEX(All_India_Index_Upto_April23__1___1[Vegetables],
      MATCH(1,(All_India_Index_Upto_April23__1___1[Date]=$A23)*
              (All_India_Index_Upto_April23__1___1[Sector]="Rural+Urban"),0)),
    INDEX(All_India_Index_Upto_April23__1___1[Pulses and products],
      MATCH(1,(All_India_Index_Upto_April23__1___1[Date]=$A23)*
              (All_India_Index_Upto_April23__1___1[Sector]="Rural+Urban"),0)),
    INDEX(All_India_Index_Upto_April23__1___1[Sugar and Confectionery],
      MATCH(1,(All_India_Index_Upto_April23__1___1[Date]=$A23)*
              (All_India_Index_Upto_April23__1___1[Sector]="Rural+Urban"),0)),
    INDEX(All_India_Index_Upto_April23__1___1[Spices],
      MATCH(1,(All_India_Index_Upto_April23__1___1[Date]=$A23)*
              (All_India_Index_Upto_April23__1___1[Sector]="Rural+Urban"),0)),
    INDEX(All_India_Index_Upto_April23__1___1[Non-alcoholic beverages],
      MATCH(1,(All_India_Index_Upto_April23__1___1[Date]=$A23)*
              (All_India_Index_Upto_April23__1___1[Sector]="Rural+Urban"),0)),
    INDEX(All_India_Index_Upto_April23__1___1[Prepared meals, snacks, sweets etc.],
      MATCH(1,(All_India_Index_Upto_April23__1___1[Date]=$A23)*
              (All_India_Index_Upto_April23__1___1[Sector]="Rural+Urban"),0))
  ),
"")</f>
        <v>136.375</v>
      </c>
      <c r="P23" s="2" cm="1">
        <f t="array" ref="P23">IFERROR(
  AVERAGE(
    INDEX(All_India_Index_Upto_April23__1___1[Cereals and products],
      MATCH(1,(All_India_Index_Upto_April23__1___1[Date]=EDATE($A23,-12))*
              (All_India_Index_Upto_April23__1___1[Sector]="Rural+Urban"),0)),
    INDEX(All_India_Index_Upto_April23__1___1[Meat and fish],
      MATCH(1,(All_India_Index_Upto_April23__1___1[Date]=EDATE($A23,-12))*
              (All_India_Index_Upto_April23__1___1[Sector]="Rural+Urban"),0)),
    INDEX(All_India_Index_Upto_April23__1___1[Egg],
      MATCH(1,(All_India_Index_Upto_April23__1___1[Date]=EDATE($A23,-12))*
              (All_India_Index_Upto_April23__1___1[Sector]="Rural+Urban"),0)),
    INDEX(All_India_Index_Upto_April23__1___1[Milk and products],
      MATCH(1,(All_India_Index_Upto_April23__1___1[Date]=EDATE($A23,-12))*
              (All_India_Index_Upto_April23__1___1[Sector]="Rural+Urban"),0)),
    INDEX(All_India_Index_Upto_April23__1___1[Oils and fats],
      MATCH(1,(All_India_Index_Upto_April23__1___1[Date]=EDATE($A23,-12))*
              (All_India_Index_Upto_April23__1___1[Sector]="Rural+Urban"),0)),
    INDEX(All_India_Index_Upto_April23__1___1[Fruits],
      MATCH(1,(All_India_Index_Upto_April23__1___1[Date]=EDATE($A23,-12))*
              (All_India_Index_Upto_April23__1___1[Sector]="Rural+Urban"),0)),
    INDEX(All_India_Index_Upto_April23__1___1[Vegetables],
      MATCH(1,(All_India_Index_Upto_April23__1___1[Date]=EDATE($A23,-12))*
              (All_India_Index_Upto_April23__1___1[Sector]="Rural+Urban"),0)),
    INDEX(All_India_Index_Upto_April23__1___1[Pulses and products],
      MATCH(1,(All_India_Index_Upto_April23__1___1[Date]=EDATE($A23,-12))*
              (All_India_Index_Upto_April23__1___1[Sector]="Rural+Urban"),0)),
    INDEX(All_India_Index_Upto_April23__1___1[Sugar and Confectionery],
      MATCH(1,(All_India_Index_Upto_April23__1___1[Date]=EDATE($A23,-12))*
              (All_India_Index_Upto_April23__1___1[Sector]="Rural+Urban"),0)),
    INDEX(All_India_Index_Upto_April23__1___1[Spices],
      MATCH(1,(All_India_Index_Upto_April23__1___1[Date]=EDATE($A23,-12))*
              (All_India_Index_Upto_April23__1___1[Sector]="Rural+Urban"),0)),
    INDEX(All_India_Index_Upto_April23__1___1[Non-alcoholic beverages],
      MATCH(1,(All_India_Index_Upto_April23__1___1[Date]=EDATE($A23,-12))*
              (All_India_Index_Upto_April23__1___1[Sector]="Rural+Urban"),0)),
    INDEX(All_India_Index_Upto_April23__1___1[Prepared meals, snacks, sweets etc.],
      MATCH(1,(All_India_Index_Upto_April23__1___1[Date]=EDATE($A23,-12))*
              (All_India_Index_Upto_April23__1___1[Sector]="Rural+Urban"),0))
  ),
"")</f>
        <v>136.63333333333333</v>
      </c>
      <c r="Q23" s="8">
        <f t="shared" si="2"/>
        <v>-1.8907050500121428E-3</v>
      </c>
      <c r="R23" t="str">
        <f t="shared" si="3"/>
        <v>Pre-COVID</v>
      </c>
      <c r="T23" s="2" cm="1">
        <f t="array" ref="T23">IFERROR(
  INDEX(
    All_India_Index_Upto_April23__1___1[Health],
    MATCH(
      1,
      (All_India_Index_Upto_April23__1___1[Date]=$A23) *
      (All_India_Index_Upto_April23__1___1[Sector]="Rural+Urban"),
      0
    )
  ),
"")</f>
        <v>142.1</v>
      </c>
      <c r="U23" s="2" cm="1">
        <f t="array" ref="U23">IFERROR(
  INDEX(
    All_India_Index_Upto_April23__1___1[Health],
    MATCH(
      1,
      (All_India_Index_Upto_April23__1___1[Date]=EDATE($A23,-12)) *
      (All_India_Index_Upto_April23__1___1[Sector]="Rural+Urban"),
      0
    )
  ),
"")</f>
        <v>131.30000000000001</v>
      </c>
      <c r="V23" s="8">
        <f t="shared" si="4"/>
        <v>8.2254379284082121E-2</v>
      </c>
      <c r="W23" t="str">
        <f t="shared" si="5"/>
        <v>Pre-COVID</v>
      </c>
      <c r="Y23" s="2" cm="1">
        <f t="array" ref="Y23">IFERROR(
  AVERAGE(
    INDEX(All_India_Index_Upto_April23__1___1[Pan, tobacco and intoxicants],
      MATCH(1,(All_India_Index_Upto_April23__1___1[Date]=$A23)*
              (All_India_Index_Upto_April23__1___1[Sector]="Rural+Urban"),0)),
    INDEX(All_India_Index_Upto_April23__1___1[Clothing],
      MATCH(1,(All_India_Index_Upto_April23__1___1[Date]=$A23)*
              (All_India_Index_Upto_April23__1___1[Sector]="Rural+Urban"),0)),
    INDEX(All_India_Index_Upto_April23__1___1[Footwear],
      MATCH(1,(All_India_Index_Upto_April23__1___1[Date]=$A23)*
              (All_India_Index_Upto_April23__1___1[Sector]="Rural+Urban"),0)),
    INDEX(All_India_Index_Upto_April23__1___1[Clothing and footwear],
      MATCH(1,(All_India_Index_Upto_April23__1___1[Date]=$A23)*
              (All_India_Index_Upto_April23__1___1[Sector]="Rural+Urban"),0)),
    INDEX(All_India_Index_Upto_April23__1___1[Housing],
      MATCH(1,(All_India_Index_Upto_April23__1___1[Date]=$A23)*
              (All_India_Index_Upto_April23__1___1[Sector]="Rural+Urban"),0)),
    INDEX(All_India_Index_Upto_April23__1___1[Fuel and light],
      MATCH(1,(All_India_Index_Upto_April23__1___1[Date]=$A23)*
              (All_India_Index_Upto_April23__1___1[Sector]="Rural+Urban"),0)),
    INDEX(All_India_Index_Upto_April23__1___1[Household goods and services],
      MATCH(1,(All_India_Index_Upto_April23__1___1[Date]=$A23)*
              (All_India_Index_Upto_April23__1___1[Sector]="Rural+Urban"),0)),
    INDEX(All_India_Index_Upto_April23__1___1[Health],
      MATCH(1,(All_India_Index_Upto_April23__1___1[Date]=$A23)*
              (All_India_Index_Upto_April23__1___1[Sector]="Rural+Urban"),0)),
    INDEX(All_India_Index_Upto_April23__1___1[Transport and communication],
      MATCH(1,(All_India_Index_Upto_April23__1___1[Date]=$A23)*
              (All_India_Index_Upto_April23__1___1[Sector]="Rural+Urban"),0)),
    INDEX(All_India_Index_Upto_April23__1___1[Recreation and amusement],
      MATCH(1,(All_India_Index_Upto_April23__1___1[Date]=$A23)*
              (All_India_Index_Upto_April23__1___1[Sector]="Rural+Urban"),0)),
    INDEX(All_India_Index_Upto_April23__1___1[Education],
      MATCH(1,(All_India_Index_Upto_April23__1___1[Date]=$A23)*
              (All_India_Index_Upto_April23__1___1[Sector]="Rural+Urban"),0)),
    INDEX(All_India_Index_Upto_April23__1___1[Personal care and effects],
      MATCH(1,(All_India_Index_Upto_April23__1___1[Date]=$A23)*
              (All_India_Index_Upto_April23__1___1[Sector]="Rural+Urban"),0)),
    INDEX(All_India_Index_Upto_April23__1___1[Miscellaneous],
      MATCH(1,(All_India_Index_Upto_April23__1___1[Date]=$A23)*
              (All_India_Index_Upto_April23__1___1[Sector]="Rural+Urban"),0))
  ),
"")</f>
        <v>142.02500000000001</v>
      </c>
      <c r="Z23" s="2" cm="1">
        <f t="array" ref="Z23">IFERROR(
  AVERAGE(
    INDEX(All_India_Index_Upto_April23__1___1[Pan, tobacco and intoxicants],
      MATCH(1,(All_India_Index_Upto_April23__1___1[Date]=EDATE($A23,-12))*
              (All_India_Index_Upto_April23__1___1[Sector]="Rural+Urban"),0)),
    INDEX(All_India_Index_Upto_April23__1___1[Clothing],
      MATCH(1,(All_India_Index_Upto_April23__1___1[Date]=EDATE($A23,-12))*
              (All_India_Index_Upto_April23__1___1[Sector]="Rural+Urban"),0)),
    INDEX(All_India_Index_Upto_April23__1___1[Footwear],
      MATCH(1,(All_India_Index_Upto_April23__1___1[Date]=EDATE($A23,-12))*
              (All_India_Index_Upto_April23__1___1[Sector]="Rural+Urban"),0)),
    INDEX(All_India_Index_Upto_April23__1___1[Clothing and footwear],
      MATCH(1,(All_India_Index_Upto_April23__1___1[Date]=EDATE($A23,-12))*
              (All_India_Index_Upto_April23__1___1[Sector]="Rural+Urban"),0)),
    INDEX(All_India_Index_Upto_April23__1___1[Housing],
      MATCH(1,(All_India_Index_Upto_April23__1___1[Date]=EDATE($A23,-12))*
              (All_India_Index_Upto_April23__1___1[Sector]="Rural+Urban"),0)),
    INDEX(All_India_Index_Upto_April23__1___1[Fuel and light],
      MATCH(1,(All_India_Index_Upto_April23__1___1[Date]=EDATE($A23,-12))*
              (All_India_Index_Upto_April23__1___1[Sector]="Rural+Urban"),0)),
    INDEX(All_India_Index_Upto_April23__1___1[Household goods and services],
      MATCH(1,(All_India_Index_Upto_April23__1___1[Date]=EDATE($A23,-12))*
              (All_India_Index_Upto_April23__1___1[Sector]="Rural+Urban"),0)),
    INDEX(All_India_Index_Upto_April23__1___1[Health],
      MATCH(1,(All_India_Index_Upto_April23__1___1[Date]=EDATE($A23,-12))*
              (All_India_Index_Upto_April23__1___1[Sector]="Rural+Urban"),0)),
    INDEX(All_India_Index_Upto_April23__1___1[Transport and communication],
      MATCH(1,(All_India_Index_Upto_April23__1___1[Date]=EDATE($A23,-12))*
              (All_India_Index_Upto_April23__1___1[Sector]="Rural+Urban"),0)),
    INDEX(All_India_Index_Upto_April23__1___1[Recreation and amusement],
      MATCH(1,(All_India_Index_Upto_April23__1___1[Date]=EDATE($A23,-12))*
              (All_India_Index_Upto_April23__1___1[Sector]="Rural+Urban"),0)),
    INDEX(All_India_Index_Upto_April23__1___1[Education],
      MATCH(1,(All_India_Index_Upto_April23__1___1[Date]=EDATE($A23,-12))*
              (All_India_Index_Upto_April23__1___1[Sector]="Rural+Urban"),0)),
    INDEX(All_India_Index_Upto_April23__1___1[Personal care and effects],
      MATCH(1,(All_India_Index_Upto_April23__1___1[Date]=EDATE($A23,-12))*
              (All_India_Index_Upto_April23__1___1[Sector]="Rural+Urban"),0)),
    INDEX(All_India_Index_Upto_April23__1___1[Miscellaneous],
      MATCH(1,(All_India_Index_Upto_April23__1___1[Date]=EDATE($A23,-12))*
              (All_India_Index_Upto_April23__1___1[Sector]="Rural+Urban"),0))
  ),
"")</f>
        <v>133.63333333333335</v>
      </c>
      <c r="AA23" s="8">
        <f t="shared" si="6"/>
        <v>6.2796208530805558E-2</v>
      </c>
      <c r="AB23" t="str">
        <f t="shared" si="7"/>
        <v>Pre-COVID</v>
      </c>
    </row>
    <row r="24" spans="1:28" x14ac:dyDescent="0.2">
      <c r="A24" s="22">
        <v>43405</v>
      </c>
      <c r="B24">
        <v>2018</v>
      </c>
      <c r="C24" t="s">
        <v>51</v>
      </c>
      <c r="D24" s="2" cm="1">
        <f t="array" ref="D24">IFERROR(
  INDEX(
    All_India_Index_Upto_April23__1___1[General index],
    MATCH(
      1,
      (All_India_Index_Upto_April23__1___1[Sector]="Rural+Urban") *
      (All_India_Index_Upto_April23__1___1[Date]=A24),
      0
    )
  ),
"")</f>
        <v>140.80000000000001</v>
      </c>
      <c r="E24" s="2" cm="1">
        <f t="array" ref="E24">IFERROR(
  INDEX(
    All_India_Index_Upto_April23__1___1[General index],
    MATCH(
      1,
      (All_India_Index_Upto_April23__1___1[Sector]="Rural+Urban") *
      (All_India_Index_Upto_April23__1___1[Date]=EDATE(A24,-12)),
      0
    )
  ),
"")</f>
        <v>137.6</v>
      </c>
      <c r="F24" s="8">
        <f t="shared" si="0"/>
        <v>2.3255813953488413E-2</v>
      </c>
      <c r="G24" t="str">
        <f t="shared" si="1"/>
        <v>Pre-COVID</v>
      </c>
      <c r="O24" s="2" cm="1">
        <f t="array" ref="O24">IFERROR(
  AVERAGE(
    INDEX(All_India_Index_Upto_April23__1___1[Cereals and products],
      MATCH(1,(All_India_Index_Upto_April23__1___1[Date]=$A24)*
              (All_India_Index_Upto_April23__1___1[Sector]="Rural+Urban"),0)),
    INDEX(All_India_Index_Upto_April23__1___1[Meat and fish],
      MATCH(1,(All_India_Index_Upto_April23__1___1[Date]=$A24)*
              (All_India_Index_Upto_April23__1___1[Sector]="Rural+Urban"),0)),
    INDEX(All_India_Index_Upto_April23__1___1[Egg],
      MATCH(1,(All_India_Index_Upto_April23__1___1[Date]=$A24)*
              (All_India_Index_Upto_April23__1___1[Sector]="Rural+Urban"),0)),
    INDEX(All_India_Index_Upto_April23__1___1[Milk and products],
      MATCH(1,(All_India_Index_Upto_April23__1___1[Date]=$A24)*
              (All_India_Index_Upto_April23__1___1[Sector]="Rural+Urban"),0)),
    INDEX(All_India_Index_Upto_April23__1___1[Oils and fats],
      MATCH(1,(All_India_Index_Upto_April23__1___1[Date]=$A24)*
              (All_India_Index_Upto_April23__1___1[Sector]="Rural+Urban"),0)),
    INDEX(All_India_Index_Upto_April23__1___1[Fruits],
      MATCH(1,(All_India_Index_Upto_April23__1___1[Date]=$A24)*
              (All_India_Index_Upto_April23__1___1[Sector]="Rural+Urban"),0)),
    INDEX(All_India_Index_Upto_April23__1___1[Vegetables],
      MATCH(1,(All_India_Index_Upto_April23__1___1[Date]=$A24)*
              (All_India_Index_Upto_April23__1___1[Sector]="Rural+Urban"),0)),
    INDEX(All_India_Index_Upto_April23__1___1[Pulses and products],
      MATCH(1,(All_India_Index_Upto_April23__1___1[Date]=$A24)*
              (All_India_Index_Upto_April23__1___1[Sector]="Rural+Urban"),0)),
    INDEX(All_India_Index_Upto_April23__1___1[Sugar and Confectionery],
      MATCH(1,(All_India_Index_Upto_April23__1___1[Date]=$A24)*
              (All_India_Index_Upto_April23__1___1[Sector]="Rural+Urban"),0)),
    INDEX(All_India_Index_Upto_April23__1___1[Spices],
      MATCH(1,(All_India_Index_Upto_April23__1___1[Date]=$A24)*
              (All_India_Index_Upto_April23__1___1[Sector]="Rural+Urban"),0)),
    INDEX(All_India_Index_Upto_April23__1___1[Non-alcoholic beverages],
      MATCH(1,(All_India_Index_Upto_April23__1___1[Date]=$A24)*
              (All_India_Index_Upto_April23__1___1[Sector]="Rural+Urban"),0)),
    INDEX(All_India_Index_Upto_April23__1___1[Prepared meals, snacks, sweets etc.],
      MATCH(1,(All_India_Index_Upto_April23__1___1[Date]=$A24)*
              (All_India_Index_Upto_April23__1___1[Sector]="Rural+Urban"),0))
  ),
"")</f>
        <v>136.33333333333334</v>
      </c>
      <c r="P24" s="2" cm="1">
        <f t="array" ref="P24">IFERROR(
  AVERAGE(
    INDEX(All_India_Index_Upto_April23__1___1[Cereals and products],
      MATCH(1,(All_India_Index_Upto_April23__1___1[Date]=EDATE($A24,-12))*
              (All_India_Index_Upto_April23__1___1[Sector]="Rural+Urban"),0)),
    INDEX(All_India_Index_Upto_April23__1___1[Meat and fish],
      MATCH(1,(All_India_Index_Upto_April23__1___1[Date]=EDATE($A24,-12))*
              (All_India_Index_Upto_April23__1___1[Sector]="Rural+Urban"),0)),
    INDEX(All_India_Index_Upto_April23__1___1[Egg],
      MATCH(1,(All_India_Index_Upto_April23__1___1[Date]=EDATE($A24,-12))*
              (All_India_Index_Upto_April23__1___1[Sector]="Rural+Urban"),0)),
    INDEX(All_India_Index_Upto_April23__1___1[Milk and products],
      MATCH(1,(All_India_Index_Upto_April23__1___1[Date]=EDATE($A24,-12))*
              (All_India_Index_Upto_April23__1___1[Sector]="Rural+Urban"),0)),
    INDEX(All_India_Index_Upto_April23__1___1[Oils and fats],
      MATCH(1,(All_India_Index_Upto_April23__1___1[Date]=EDATE($A24,-12))*
              (All_India_Index_Upto_April23__1___1[Sector]="Rural+Urban"),0)),
    INDEX(All_India_Index_Upto_April23__1___1[Fruits],
      MATCH(1,(All_India_Index_Upto_April23__1___1[Date]=EDATE($A24,-12))*
              (All_India_Index_Upto_April23__1___1[Sector]="Rural+Urban"),0)),
    INDEX(All_India_Index_Upto_April23__1___1[Vegetables],
      MATCH(1,(All_India_Index_Upto_April23__1___1[Date]=EDATE($A24,-12))*
              (All_India_Index_Upto_April23__1___1[Sector]="Rural+Urban"),0)),
    INDEX(All_India_Index_Upto_April23__1___1[Pulses and products],
      MATCH(1,(All_India_Index_Upto_April23__1___1[Date]=EDATE($A24,-12))*
              (All_India_Index_Upto_April23__1___1[Sector]="Rural+Urban"),0)),
    INDEX(All_India_Index_Upto_April23__1___1[Sugar and Confectionery],
      MATCH(1,(All_India_Index_Upto_April23__1___1[Date]=EDATE($A24,-12))*
              (All_India_Index_Upto_April23__1___1[Sector]="Rural+Urban"),0)),
    INDEX(All_India_Index_Upto_April23__1___1[Spices],
      MATCH(1,(All_India_Index_Upto_April23__1___1[Date]=EDATE($A24,-12))*
              (All_India_Index_Upto_April23__1___1[Sector]="Rural+Urban"),0)),
    INDEX(All_India_Index_Upto_April23__1___1[Non-alcoholic beverages],
      MATCH(1,(All_India_Index_Upto_April23__1___1[Date]=EDATE($A24,-12))*
              (All_India_Index_Upto_April23__1___1[Sector]="Rural+Urban"),0)),
    INDEX(All_India_Index_Upto_April23__1___1[Prepared meals, snacks, sweets etc.],
      MATCH(1,(All_India_Index_Upto_April23__1___1[Date]=EDATE($A24,-12))*
              (All_India_Index_Upto_April23__1___1[Sector]="Rural+Urban"),0))
  ),
"")</f>
        <v>138.84166666666667</v>
      </c>
      <c r="Q24" s="8">
        <f t="shared" si="2"/>
        <v>-1.8066142488446017E-2</v>
      </c>
      <c r="R24" t="str">
        <f t="shared" si="3"/>
        <v>Pre-COVID</v>
      </c>
      <c r="T24" s="2" cm="1">
        <f t="array" ref="T24">IFERROR(
  INDEX(
    All_India_Index_Upto_April23__1___1[Health],
    MATCH(
      1,
      (All_India_Index_Upto_April23__1___1[Date]=$A24) *
      (All_India_Index_Upto_April23__1___1[Sector]="Rural+Urban"),
      0
    )
  ),
"")</f>
        <v>142.1</v>
      </c>
      <c r="U24" s="2" cm="1">
        <f t="array" ref="U24">IFERROR(
  INDEX(
    All_India_Index_Upto_April23__1___1[Health],
    MATCH(
      1,
      (All_India_Index_Upto_April23__1___1[Date]=EDATE($A24,-12)) *
      (All_India_Index_Upto_April23__1___1[Sector]="Rural+Urban"),
      0
    )
  ),
"")</f>
        <v>132.6</v>
      </c>
      <c r="V24" s="8">
        <f t="shared" si="4"/>
        <v>7.1644042232277536E-2</v>
      </c>
      <c r="W24" t="str">
        <f t="shared" si="5"/>
        <v>Pre-COVID</v>
      </c>
      <c r="Y24" s="2" cm="1">
        <f t="array" ref="Y24">IFERROR(
  AVERAGE(
    INDEX(All_India_Index_Upto_April23__1___1[Pan, tobacco and intoxicants],
      MATCH(1,(All_India_Index_Upto_April23__1___1[Date]=$A24)*
              (All_India_Index_Upto_April23__1___1[Sector]="Rural+Urban"),0)),
    INDEX(All_India_Index_Upto_April23__1___1[Clothing],
      MATCH(1,(All_India_Index_Upto_April23__1___1[Date]=$A24)*
              (All_India_Index_Upto_April23__1___1[Sector]="Rural+Urban"),0)),
    INDEX(All_India_Index_Upto_April23__1___1[Footwear],
      MATCH(1,(All_India_Index_Upto_April23__1___1[Date]=$A24)*
              (All_India_Index_Upto_April23__1___1[Sector]="Rural+Urban"),0)),
    INDEX(All_India_Index_Upto_April23__1___1[Clothing and footwear],
      MATCH(1,(All_India_Index_Upto_April23__1___1[Date]=$A24)*
              (All_India_Index_Upto_April23__1___1[Sector]="Rural+Urban"),0)),
    INDEX(All_India_Index_Upto_April23__1___1[Housing],
      MATCH(1,(All_India_Index_Upto_April23__1___1[Date]=$A24)*
              (All_India_Index_Upto_April23__1___1[Sector]="Rural+Urban"),0)),
    INDEX(All_India_Index_Upto_April23__1___1[Fuel and light],
      MATCH(1,(All_India_Index_Upto_April23__1___1[Date]=$A24)*
              (All_India_Index_Upto_April23__1___1[Sector]="Rural+Urban"),0)),
    INDEX(All_India_Index_Upto_April23__1___1[Household goods and services],
      MATCH(1,(All_India_Index_Upto_April23__1___1[Date]=$A24)*
              (All_India_Index_Upto_April23__1___1[Sector]="Rural+Urban"),0)),
    INDEX(All_India_Index_Upto_April23__1___1[Health],
      MATCH(1,(All_India_Index_Upto_April23__1___1[Date]=$A24)*
              (All_India_Index_Upto_April23__1___1[Sector]="Rural+Urban"),0)),
    INDEX(All_India_Index_Upto_April23__1___1[Transport and communication],
      MATCH(1,(All_India_Index_Upto_April23__1___1[Date]=$A24)*
              (All_India_Index_Upto_April23__1___1[Sector]="Rural+Urban"),0)),
    INDEX(All_India_Index_Upto_April23__1___1[Recreation and amusement],
      MATCH(1,(All_India_Index_Upto_April23__1___1[Date]=$A24)*
              (All_India_Index_Upto_April23__1___1[Sector]="Rural+Urban"),0)),
    INDEX(All_India_Index_Upto_April23__1___1[Education],
      MATCH(1,(All_India_Index_Upto_April23__1___1[Date]=$A24)*
              (All_India_Index_Upto_April23__1___1[Sector]="Rural+Urban"),0)),
    INDEX(All_India_Index_Upto_April23__1___1[Personal care and effects],
      MATCH(1,(All_India_Index_Upto_April23__1___1[Date]=$A24)*
              (All_India_Index_Upto_April23__1___1[Sector]="Rural+Urban"),0)),
    INDEX(All_India_Index_Upto_April23__1___1[Miscellaneous],
      MATCH(1,(All_India_Index_Upto_April23__1___1[Date]=$A24)*
              (All_India_Index_Upto_April23__1___1[Sector]="Rural+Urban"),0))
  ),
"")</f>
        <v>141.99166666666665</v>
      </c>
      <c r="Z24" s="2" cm="1">
        <f t="array" ref="Z24">IFERROR(
  AVERAGE(
    INDEX(All_India_Index_Upto_April23__1___1[Pan, tobacco and intoxicants],
      MATCH(1,(All_India_Index_Upto_April23__1___1[Date]=EDATE($A24,-12))*
              (All_India_Index_Upto_April23__1___1[Sector]="Rural+Urban"),0)),
    INDEX(All_India_Index_Upto_April23__1___1[Clothing],
      MATCH(1,(All_India_Index_Upto_April23__1___1[Date]=EDATE($A24,-12))*
              (All_India_Index_Upto_April23__1___1[Sector]="Rural+Urban"),0)),
    INDEX(All_India_Index_Upto_April23__1___1[Footwear],
      MATCH(1,(All_India_Index_Upto_April23__1___1[Date]=EDATE($A24,-12))*
              (All_India_Index_Upto_April23__1___1[Sector]="Rural+Urban"),0)),
    INDEX(All_India_Index_Upto_April23__1___1[Clothing and footwear],
      MATCH(1,(All_India_Index_Upto_April23__1___1[Date]=EDATE($A24,-12))*
              (All_India_Index_Upto_April23__1___1[Sector]="Rural+Urban"),0)),
    INDEX(All_India_Index_Upto_April23__1___1[Housing],
      MATCH(1,(All_India_Index_Upto_April23__1___1[Date]=EDATE($A24,-12))*
              (All_India_Index_Upto_April23__1___1[Sector]="Rural+Urban"),0)),
    INDEX(All_India_Index_Upto_April23__1___1[Fuel and light],
      MATCH(1,(All_India_Index_Upto_April23__1___1[Date]=EDATE($A24,-12))*
              (All_India_Index_Upto_April23__1___1[Sector]="Rural+Urban"),0)),
    INDEX(All_India_Index_Upto_April23__1___1[Household goods and services],
      MATCH(1,(All_India_Index_Upto_April23__1___1[Date]=EDATE($A24,-12))*
              (All_India_Index_Upto_April23__1___1[Sector]="Rural+Urban"),0)),
    INDEX(All_India_Index_Upto_April23__1___1[Health],
      MATCH(1,(All_India_Index_Upto_April23__1___1[Date]=EDATE($A24,-12))*
              (All_India_Index_Upto_April23__1___1[Sector]="Rural+Urban"),0)),
    INDEX(All_India_Index_Upto_April23__1___1[Transport and communication],
      MATCH(1,(All_India_Index_Upto_April23__1___1[Date]=EDATE($A24,-12))*
              (All_India_Index_Upto_April23__1___1[Sector]="Rural+Urban"),0)),
    INDEX(All_India_Index_Upto_April23__1___1[Recreation and amusement],
      MATCH(1,(All_India_Index_Upto_April23__1___1[Date]=EDATE($A24,-12))*
              (All_India_Index_Upto_April23__1___1[Sector]="Rural+Urban"),0)),
    INDEX(All_India_Index_Upto_April23__1___1[Education],
      MATCH(1,(All_India_Index_Upto_April23__1___1[Date]=EDATE($A24,-12))*
              (All_India_Index_Upto_April23__1___1[Sector]="Rural+Urban"),0)),
    INDEX(All_India_Index_Upto_April23__1___1[Personal care and effects],
      MATCH(1,(All_India_Index_Upto_April23__1___1[Date]=EDATE($A24,-12))*
              (All_India_Index_Upto_April23__1___1[Sector]="Rural+Urban"),0)),
    INDEX(All_India_Index_Upto_April23__1___1[Miscellaneous],
      MATCH(1,(All_India_Index_Upto_April23__1___1[Date]=EDATE($A24,-12))*
              (All_India_Index_Upto_April23__1___1[Sector]="Rural+Urban"),0))
  ),
"")</f>
        <v>134.67499999999998</v>
      </c>
      <c r="AA24" s="8">
        <f t="shared" si="6"/>
        <v>5.4328321267248292E-2</v>
      </c>
      <c r="AB24" t="str">
        <f t="shared" si="7"/>
        <v>Pre-COVID</v>
      </c>
    </row>
    <row r="25" spans="1:28" x14ac:dyDescent="0.2">
      <c r="A25" s="22">
        <v>43435</v>
      </c>
      <c r="B25">
        <v>2018</v>
      </c>
      <c r="C25" t="s">
        <v>53</v>
      </c>
      <c r="D25" s="2" cm="1">
        <f t="array" ref="D25">IFERROR(
  INDEX(
    All_India_Index_Upto_April23__1___1[General index],
    MATCH(
      1,
      (All_India_Index_Upto_April23__1___1[Sector]="Rural+Urban") *
      (All_India_Index_Upto_April23__1___1[Date]=A25),
      0
    )
  ),
"")</f>
        <v>140.1</v>
      </c>
      <c r="E25" s="2" cm="1">
        <f t="array" ref="E25">IFERROR(
  INDEX(
    All_India_Index_Upto_April23__1___1[General index],
    MATCH(
      1,
      (All_India_Index_Upto_April23__1___1[Sector]="Rural+Urban") *
      (All_India_Index_Upto_April23__1___1[Date]=EDATE(A25,-12)),
      0
    )
  ),
"")</f>
        <v>137.19999999999999</v>
      </c>
      <c r="F25" s="8">
        <f t="shared" si="0"/>
        <v>2.1137026239067103E-2</v>
      </c>
      <c r="G25" t="str">
        <f t="shared" si="1"/>
        <v>Pre-COVID</v>
      </c>
      <c r="O25" s="2" cm="1">
        <f t="array" ref="O25">IFERROR(
  AVERAGE(
    INDEX(All_India_Index_Upto_April23__1___1[Cereals and products],
      MATCH(1,(All_India_Index_Upto_April23__1___1[Date]=$A25)*
              (All_India_Index_Upto_April23__1___1[Sector]="Rural+Urban"),0)),
    INDEX(All_India_Index_Upto_April23__1___1[Meat and fish],
      MATCH(1,(All_India_Index_Upto_April23__1___1[Date]=$A25)*
              (All_India_Index_Upto_April23__1___1[Sector]="Rural+Urban"),0)),
    INDEX(All_India_Index_Upto_April23__1___1[Egg],
      MATCH(1,(All_India_Index_Upto_April23__1___1[Date]=$A25)*
              (All_India_Index_Upto_April23__1___1[Sector]="Rural+Urban"),0)),
    INDEX(All_India_Index_Upto_April23__1___1[Milk and products],
      MATCH(1,(All_India_Index_Upto_April23__1___1[Date]=$A25)*
              (All_India_Index_Upto_April23__1___1[Sector]="Rural+Urban"),0)),
    INDEX(All_India_Index_Upto_April23__1___1[Oils and fats],
      MATCH(1,(All_India_Index_Upto_April23__1___1[Date]=$A25)*
              (All_India_Index_Upto_April23__1___1[Sector]="Rural+Urban"),0)),
    INDEX(All_India_Index_Upto_April23__1___1[Fruits],
      MATCH(1,(All_India_Index_Upto_April23__1___1[Date]=$A25)*
              (All_India_Index_Upto_April23__1___1[Sector]="Rural+Urban"),0)),
    INDEX(All_India_Index_Upto_April23__1___1[Vegetables],
      MATCH(1,(All_India_Index_Upto_April23__1___1[Date]=$A25)*
              (All_India_Index_Upto_April23__1___1[Sector]="Rural+Urban"),0)),
    INDEX(All_India_Index_Upto_April23__1___1[Pulses and products],
      MATCH(1,(All_India_Index_Upto_April23__1___1[Date]=$A25)*
              (All_India_Index_Upto_April23__1___1[Sector]="Rural+Urban"),0)),
    INDEX(All_India_Index_Upto_April23__1___1[Sugar and Confectionery],
      MATCH(1,(All_India_Index_Upto_April23__1___1[Date]=$A25)*
              (All_India_Index_Upto_April23__1___1[Sector]="Rural+Urban"),0)),
    INDEX(All_India_Index_Upto_April23__1___1[Spices],
      MATCH(1,(All_India_Index_Upto_April23__1___1[Date]=$A25)*
              (All_India_Index_Upto_April23__1___1[Sector]="Rural+Urban"),0)),
    INDEX(All_India_Index_Upto_April23__1___1[Non-alcoholic beverages],
      MATCH(1,(All_India_Index_Upto_April23__1___1[Date]=$A25)*
              (All_India_Index_Upto_April23__1___1[Sector]="Rural+Urban"),0)),
    INDEX(All_India_Index_Upto_April23__1___1[Prepared meals, snacks, sweets etc.],
      MATCH(1,(All_India_Index_Upto_April23__1___1[Date]=$A25)*
              (All_India_Index_Upto_April23__1___1[Sector]="Rural+Urban"),0))
  ),
"")</f>
        <v>135.3833333333333</v>
      </c>
      <c r="P25" s="2" cm="1">
        <f t="array" ref="P25">IFERROR(
  AVERAGE(
    INDEX(All_India_Index_Upto_April23__1___1[Cereals and products],
      MATCH(1,(All_India_Index_Upto_April23__1___1[Date]=EDATE($A25,-12))*
              (All_India_Index_Upto_April23__1___1[Sector]="Rural+Urban"),0)),
    INDEX(All_India_Index_Upto_April23__1___1[Meat and fish],
      MATCH(1,(All_India_Index_Upto_April23__1___1[Date]=EDATE($A25,-12))*
              (All_India_Index_Upto_April23__1___1[Sector]="Rural+Urban"),0)),
    INDEX(All_India_Index_Upto_April23__1___1[Egg],
      MATCH(1,(All_India_Index_Upto_April23__1___1[Date]=EDATE($A25,-12))*
              (All_India_Index_Upto_April23__1___1[Sector]="Rural+Urban"),0)),
    INDEX(All_India_Index_Upto_April23__1___1[Milk and products],
      MATCH(1,(All_India_Index_Upto_April23__1___1[Date]=EDATE($A25,-12))*
              (All_India_Index_Upto_April23__1___1[Sector]="Rural+Urban"),0)),
    INDEX(All_India_Index_Upto_April23__1___1[Oils and fats],
      MATCH(1,(All_India_Index_Upto_April23__1___1[Date]=EDATE($A25,-12))*
              (All_India_Index_Upto_April23__1___1[Sector]="Rural+Urban"),0)),
    INDEX(All_India_Index_Upto_April23__1___1[Fruits],
      MATCH(1,(All_India_Index_Upto_April23__1___1[Date]=EDATE($A25,-12))*
              (All_India_Index_Upto_April23__1___1[Sector]="Rural+Urban"),0)),
    INDEX(All_India_Index_Upto_April23__1___1[Vegetables],
      MATCH(1,(All_India_Index_Upto_April23__1___1[Date]=EDATE($A25,-12))*
              (All_India_Index_Upto_April23__1___1[Sector]="Rural+Urban"),0)),
    INDEX(All_India_Index_Upto_April23__1___1[Pulses and products],
      MATCH(1,(All_India_Index_Upto_April23__1___1[Date]=EDATE($A25,-12))*
              (All_India_Index_Upto_April23__1___1[Sector]="Rural+Urban"),0)),
    INDEX(All_India_Index_Upto_April23__1___1[Sugar and Confectionery],
      MATCH(1,(All_India_Index_Upto_April23__1___1[Date]=EDATE($A25,-12))*
              (All_India_Index_Upto_April23__1___1[Sector]="Rural+Urban"),0)),
    INDEX(All_India_Index_Upto_April23__1___1[Spices],
      MATCH(1,(All_India_Index_Upto_April23__1___1[Date]=EDATE($A25,-12))*
              (All_India_Index_Upto_April23__1___1[Sector]="Rural+Urban"),0)),
    INDEX(All_India_Index_Upto_April23__1___1[Non-alcoholic beverages],
      MATCH(1,(All_India_Index_Upto_April23__1___1[Date]=EDATE($A25,-12))*
              (All_India_Index_Upto_April23__1___1[Sector]="Rural+Urban"),0)),
    INDEX(All_India_Index_Upto_April23__1___1[Prepared meals, snacks, sweets etc.],
      MATCH(1,(All_India_Index_Upto_April23__1___1[Date]=EDATE($A25,-12))*
              (All_India_Index_Upto_April23__1___1[Sector]="Rural+Urban"),0))
  ),
"")</f>
        <v>137.87499999999997</v>
      </c>
      <c r="Q25" s="8">
        <f t="shared" si="2"/>
        <v>-1.8071925052886129E-2</v>
      </c>
      <c r="R25" t="str">
        <f t="shared" si="3"/>
        <v>Pre-COVID</v>
      </c>
      <c r="T25" s="2" cm="1">
        <f t="array" ref="T25">IFERROR(
  INDEX(
    All_India_Index_Upto_April23__1___1[Health],
    MATCH(
      1,
      (All_India_Index_Upto_April23__1___1[Date]=$A25) *
      (All_India_Index_Upto_April23__1___1[Sector]="Rural+Urban"),
      0
    )
  ),
"")</f>
        <v>144.9</v>
      </c>
      <c r="U25" s="2" cm="1">
        <f t="array" ref="U25">IFERROR(
  INDEX(
    All_India_Index_Upto_April23__1___1[Health],
    MATCH(
      1,
      (All_India_Index_Upto_April23__1___1[Date]=EDATE($A25,-12)) *
      (All_India_Index_Upto_April23__1___1[Sector]="Rural+Urban"),
      0
    )
  ),
"")</f>
        <v>133.1</v>
      </c>
      <c r="V25" s="8">
        <f t="shared" si="4"/>
        <v>8.865514650638627E-2</v>
      </c>
      <c r="W25" t="str">
        <f t="shared" si="5"/>
        <v>Pre-COVID</v>
      </c>
      <c r="Y25" s="2" cm="1">
        <f t="array" ref="Y25">IFERROR(
  AVERAGE(
    INDEX(All_India_Index_Upto_April23__1___1[Pan, tobacco and intoxicants],
      MATCH(1,(All_India_Index_Upto_April23__1___1[Date]=$A25)*
              (All_India_Index_Upto_April23__1___1[Sector]="Rural+Urban"),0)),
    INDEX(All_India_Index_Upto_April23__1___1[Clothing],
      MATCH(1,(All_India_Index_Upto_April23__1___1[Date]=$A25)*
              (All_India_Index_Upto_April23__1___1[Sector]="Rural+Urban"),0)),
    INDEX(All_India_Index_Upto_April23__1___1[Footwear],
      MATCH(1,(All_India_Index_Upto_April23__1___1[Date]=$A25)*
              (All_India_Index_Upto_April23__1___1[Sector]="Rural+Urban"),0)),
    INDEX(All_India_Index_Upto_April23__1___1[Clothing and footwear],
      MATCH(1,(All_India_Index_Upto_April23__1___1[Date]=$A25)*
              (All_India_Index_Upto_April23__1___1[Sector]="Rural+Urban"),0)),
    INDEX(All_India_Index_Upto_April23__1___1[Housing],
      MATCH(1,(All_India_Index_Upto_April23__1___1[Date]=$A25)*
              (All_India_Index_Upto_April23__1___1[Sector]="Rural+Urban"),0)),
    INDEX(All_India_Index_Upto_April23__1___1[Fuel and light],
      MATCH(1,(All_India_Index_Upto_April23__1___1[Date]=$A25)*
              (All_India_Index_Upto_April23__1___1[Sector]="Rural+Urban"),0)),
    INDEX(All_India_Index_Upto_April23__1___1[Household goods and services],
      MATCH(1,(All_India_Index_Upto_April23__1___1[Date]=$A25)*
              (All_India_Index_Upto_April23__1___1[Sector]="Rural+Urban"),0)),
    INDEX(All_India_Index_Upto_April23__1___1[Health],
      MATCH(1,(All_India_Index_Upto_April23__1___1[Date]=$A25)*
              (All_India_Index_Upto_April23__1___1[Sector]="Rural+Urban"),0)),
    INDEX(All_India_Index_Upto_April23__1___1[Transport and communication],
      MATCH(1,(All_India_Index_Upto_April23__1___1[Date]=$A25)*
              (All_India_Index_Upto_April23__1___1[Sector]="Rural+Urban"),0)),
    INDEX(All_India_Index_Upto_April23__1___1[Recreation and amusement],
      MATCH(1,(All_India_Index_Upto_April23__1___1[Date]=$A25)*
              (All_India_Index_Upto_April23__1___1[Sector]="Rural+Urban"),0)),
    INDEX(All_India_Index_Upto_April23__1___1[Education],
      MATCH(1,(All_India_Index_Upto_April23__1___1[Date]=$A25)*
              (All_India_Index_Upto_April23__1___1[Sector]="Rural+Urban"),0)),
    INDEX(All_India_Index_Upto_April23__1___1[Personal care and effects],
      MATCH(1,(All_India_Index_Upto_April23__1___1[Date]=$A25)*
              (All_India_Index_Upto_April23__1___1[Sector]="Rural+Urban"),0)),
    INDEX(All_India_Index_Upto_April23__1___1[Miscellaneous],
      MATCH(1,(All_India_Index_Upto_April23__1___1[Date]=$A25)*
              (All_India_Index_Upto_April23__1___1[Sector]="Rural+Urban"),0))
  ),
"")</f>
        <v>142.29999999999998</v>
      </c>
      <c r="Z25" s="2" cm="1">
        <f t="array" ref="Z25">IFERROR(
  AVERAGE(
    INDEX(All_India_Index_Upto_April23__1___1[Pan, tobacco and intoxicants],
      MATCH(1,(All_India_Index_Upto_April23__1___1[Date]=EDATE($A25,-12))*
              (All_India_Index_Upto_April23__1___1[Sector]="Rural+Urban"),0)),
    INDEX(All_India_Index_Upto_April23__1___1[Clothing],
      MATCH(1,(All_India_Index_Upto_April23__1___1[Date]=EDATE($A25,-12))*
              (All_India_Index_Upto_April23__1___1[Sector]="Rural+Urban"),0)),
    INDEX(All_India_Index_Upto_April23__1___1[Footwear],
      MATCH(1,(All_India_Index_Upto_April23__1___1[Date]=EDATE($A25,-12))*
              (All_India_Index_Upto_April23__1___1[Sector]="Rural+Urban"),0)),
    INDEX(All_India_Index_Upto_April23__1___1[Clothing and footwear],
      MATCH(1,(All_India_Index_Upto_April23__1___1[Date]=EDATE($A25,-12))*
              (All_India_Index_Upto_April23__1___1[Sector]="Rural+Urban"),0)),
    INDEX(All_India_Index_Upto_April23__1___1[Housing],
      MATCH(1,(All_India_Index_Upto_April23__1___1[Date]=EDATE($A25,-12))*
              (All_India_Index_Upto_April23__1___1[Sector]="Rural+Urban"),0)),
    INDEX(All_India_Index_Upto_April23__1___1[Fuel and light],
      MATCH(1,(All_India_Index_Upto_April23__1___1[Date]=EDATE($A25,-12))*
              (All_India_Index_Upto_April23__1___1[Sector]="Rural+Urban"),0)),
    INDEX(All_India_Index_Upto_April23__1___1[Household goods and services],
      MATCH(1,(All_India_Index_Upto_April23__1___1[Date]=EDATE($A25,-12))*
              (All_India_Index_Upto_April23__1___1[Sector]="Rural+Urban"),0)),
    INDEX(All_India_Index_Upto_April23__1___1[Health],
      MATCH(1,(All_India_Index_Upto_April23__1___1[Date]=EDATE($A25,-12))*
              (All_India_Index_Upto_April23__1___1[Sector]="Rural+Urban"),0)),
    INDEX(All_India_Index_Upto_April23__1___1[Transport and communication],
      MATCH(1,(All_India_Index_Upto_April23__1___1[Date]=EDATE($A25,-12))*
              (All_India_Index_Upto_April23__1___1[Sector]="Rural+Urban"),0)),
    INDEX(All_India_Index_Upto_April23__1___1[Recreation and amusement],
      MATCH(1,(All_India_Index_Upto_April23__1___1[Date]=EDATE($A25,-12))*
              (All_India_Index_Upto_April23__1___1[Sector]="Rural+Urban"),0)),
    INDEX(All_India_Index_Upto_April23__1___1[Education],
      MATCH(1,(All_India_Index_Upto_April23__1___1[Date]=EDATE($A25,-12))*
              (All_India_Index_Upto_April23__1___1[Sector]="Rural+Urban"),0)),
    INDEX(All_India_Index_Upto_April23__1___1[Personal care and effects],
      MATCH(1,(All_India_Index_Upto_April23__1___1[Date]=EDATE($A25,-12))*
              (All_India_Index_Upto_April23__1___1[Sector]="Rural+Urban"),0)),
    INDEX(All_India_Index_Upto_April23__1___1[Miscellaneous],
      MATCH(1,(All_India_Index_Upto_April23__1___1[Date]=EDATE($A25,-12))*
              (All_India_Index_Upto_April23__1___1[Sector]="Rural+Urban"),0))
  ),
"")</f>
        <v>134.99166666666667</v>
      </c>
      <c r="AA25" s="8">
        <f t="shared" si="6"/>
        <v>5.4139144391628931E-2</v>
      </c>
      <c r="AB25" t="str">
        <f t="shared" si="7"/>
        <v>Pre-COVID</v>
      </c>
    </row>
    <row r="26" spans="1:28" x14ac:dyDescent="0.2">
      <c r="A26" s="22">
        <v>43466</v>
      </c>
      <c r="B26">
        <v>2019</v>
      </c>
      <c r="C26" t="s">
        <v>31</v>
      </c>
      <c r="D26" s="2" cm="1">
        <f t="array" ref="D26">IFERROR(
  INDEX(
    All_India_Index_Upto_April23__1___1[General index],
    MATCH(
      1,
      (All_India_Index_Upto_April23__1___1[Sector]="Rural+Urban") *
      (All_India_Index_Upto_April23__1___1[Date]=A26),
      0
    )
  ),
"")</f>
        <v>139.6</v>
      </c>
      <c r="E26" s="2" cm="1">
        <f t="array" ref="E26">IFERROR(
  INDEX(
    All_India_Index_Upto_April23__1___1[General index],
    MATCH(
      1,
      (All_India_Index_Upto_April23__1___1[Sector]="Rural+Urban") *
      (All_India_Index_Upto_April23__1___1[Date]=EDATE(A26,-12)),
      0
    )
  ),
"")</f>
        <v>136.9</v>
      </c>
      <c r="F26" s="8">
        <f t="shared" si="0"/>
        <v>1.9722425127830512E-2</v>
      </c>
      <c r="G26" t="str">
        <f t="shared" si="1"/>
        <v>Pre-COVID</v>
      </c>
      <c r="O26" s="2" cm="1">
        <f t="array" ref="O26">IFERROR(
  AVERAGE(
    INDEX(All_India_Index_Upto_April23__1___1[Cereals and products],
      MATCH(1,(All_India_Index_Upto_April23__1___1[Date]=$A26)*
              (All_India_Index_Upto_April23__1___1[Sector]="Rural+Urban"),0)),
    INDEX(All_India_Index_Upto_April23__1___1[Meat and fish],
      MATCH(1,(All_India_Index_Upto_April23__1___1[Date]=$A26)*
              (All_India_Index_Upto_April23__1___1[Sector]="Rural+Urban"),0)),
    INDEX(All_India_Index_Upto_April23__1___1[Egg],
      MATCH(1,(All_India_Index_Upto_April23__1___1[Date]=$A26)*
              (All_India_Index_Upto_April23__1___1[Sector]="Rural+Urban"),0)),
    INDEX(All_India_Index_Upto_April23__1___1[Milk and products],
      MATCH(1,(All_India_Index_Upto_April23__1___1[Date]=$A26)*
              (All_India_Index_Upto_April23__1___1[Sector]="Rural+Urban"),0)),
    INDEX(All_India_Index_Upto_April23__1___1[Oils and fats],
      MATCH(1,(All_India_Index_Upto_April23__1___1[Date]=$A26)*
              (All_India_Index_Upto_April23__1___1[Sector]="Rural+Urban"),0)),
    INDEX(All_India_Index_Upto_April23__1___1[Fruits],
      MATCH(1,(All_India_Index_Upto_April23__1___1[Date]=$A26)*
              (All_India_Index_Upto_April23__1___1[Sector]="Rural+Urban"),0)),
    INDEX(All_India_Index_Upto_April23__1___1[Vegetables],
      MATCH(1,(All_India_Index_Upto_April23__1___1[Date]=$A26)*
              (All_India_Index_Upto_April23__1___1[Sector]="Rural+Urban"),0)),
    INDEX(All_India_Index_Upto_April23__1___1[Pulses and products],
      MATCH(1,(All_India_Index_Upto_April23__1___1[Date]=$A26)*
              (All_India_Index_Upto_April23__1___1[Sector]="Rural+Urban"),0)),
    INDEX(All_India_Index_Upto_April23__1___1[Sugar and Confectionery],
      MATCH(1,(All_India_Index_Upto_April23__1___1[Date]=$A26)*
              (All_India_Index_Upto_April23__1___1[Sector]="Rural+Urban"),0)),
    INDEX(All_India_Index_Upto_April23__1___1[Spices],
      MATCH(1,(All_India_Index_Upto_April23__1___1[Date]=$A26)*
              (All_India_Index_Upto_April23__1___1[Sector]="Rural+Urban"),0)),
    INDEX(All_India_Index_Upto_April23__1___1[Non-alcoholic beverages],
      MATCH(1,(All_India_Index_Upto_April23__1___1[Date]=$A26)*
              (All_India_Index_Upto_April23__1___1[Sector]="Rural+Urban"),0)),
    INDEX(All_India_Index_Upto_April23__1___1[Prepared meals, snacks, sweets etc.],
      MATCH(1,(All_India_Index_Upto_April23__1___1[Date]=$A26)*
              (All_India_Index_Upto_April23__1___1[Sector]="Rural+Urban"),0))
  ),
"")</f>
        <v>134.66666666666666</v>
      </c>
      <c r="P26" s="2" cm="1">
        <f t="array" ref="P26">IFERROR(
  AVERAGE(
    INDEX(All_India_Index_Upto_April23__1___1[Cereals and products],
      MATCH(1,(All_India_Index_Upto_April23__1___1[Date]=EDATE($A26,-12))*
              (All_India_Index_Upto_April23__1___1[Sector]="Rural+Urban"),0)),
    INDEX(All_India_Index_Upto_April23__1___1[Meat and fish],
      MATCH(1,(All_India_Index_Upto_April23__1___1[Date]=EDATE($A26,-12))*
              (All_India_Index_Upto_April23__1___1[Sector]="Rural+Urban"),0)),
    INDEX(All_India_Index_Upto_April23__1___1[Egg],
      MATCH(1,(All_India_Index_Upto_April23__1___1[Date]=EDATE($A26,-12))*
              (All_India_Index_Upto_April23__1___1[Sector]="Rural+Urban"),0)),
    INDEX(All_India_Index_Upto_April23__1___1[Milk and products],
      MATCH(1,(All_India_Index_Upto_April23__1___1[Date]=EDATE($A26,-12))*
              (All_India_Index_Upto_April23__1___1[Sector]="Rural+Urban"),0)),
    INDEX(All_India_Index_Upto_April23__1___1[Oils and fats],
      MATCH(1,(All_India_Index_Upto_April23__1___1[Date]=EDATE($A26,-12))*
              (All_India_Index_Upto_April23__1___1[Sector]="Rural+Urban"),0)),
    INDEX(All_India_Index_Upto_April23__1___1[Fruits],
      MATCH(1,(All_India_Index_Upto_April23__1___1[Date]=EDATE($A26,-12))*
              (All_India_Index_Upto_April23__1___1[Sector]="Rural+Urban"),0)),
    INDEX(All_India_Index_Upto_April23__1___1[Vegetables],
      MATCH(1,(All_India_Index_Upto_April23__1___1[Date]=EDATE($A26,-12))*
              (All_India_Index_Upto_April23__1___1[Sector]="Rural+Urban"),0)),
    INDEX(All_India_Index_Upto_April23__1___1[Pulses and products],
      MATCH(1,(All_India_Index_Upto_April23__1___1[Date]=EDATE($A26,-12))*
              (All_India_Index_Upto_April23__1___1[Sector]="Rural+Urban"),0)),
    INDEX(All_India_Index_Upto_April23__1___1[Sugar and Confectionery],
      MATCH(1,(All_India_Index_Upto_April23__1___1[Date]=EDATE($A26,-12))*
              (All_India_Index_Upto_April23__1___1[Sector]="Rural+Urban"),0)),
    INDEX(All_India_Index_Upto_April23__1___1[Spices],
      MATCH(1,(All_India_Index_Upto_April23__1___1[Date]=EDATE($A26,-12))*
              (All_India_Index_Upto_April23__1___1[Sector]="Rural+Urban"),0)),
    INDEX(All_India_Index_Upto_April23__1___1[Non-alcoholic beverages],
      MATCH(1,(All_India_Index_Upto_April23__1___1[Date]=EDATE($A26,-12))*
              (All_India_Index_Upto_April23__1___1[Sector]="Rural+Urban"),0)),
    INDEX(All_India_Index_Upto_April23__1___1[Prepared meals, snacks, sweets etc.],
      MATCH(1,(All_India_Index_Upto_April23__1___1[Date]=EDATE($A26,-12))*
              (All_India_Index_Upto_April23__1___1[Sector]="Rural+Urban"),0))
  ),
"")</f>
        <v>136.72499999999999</v>
      </c>
      <c r="Q26" s="8">
        <f t="shared" si="2"/>
        <v>-1.5054549887243278E-2</v>
      </c>
      <c r="R26" t="str">
        <f t="shared" si="3"/>
        <v>Pre-COVID</v>
      </c>
      <c r="T26" s="2" cm="1">
        <f t="array" ref="T26">IFERROR(
  INDEX(
    All_India_Index_Upto_April23__1___1[Health],
    MATCH(
      1,
      (All_India_Index_Upto_April23__1___1[Date]=$A26) *
      (All_India_Index_Upto_April23__1___1[Sector]="Rural+Urban"),
      0
    )
  ),
"")</f>
        <v>145.1</v>
      </c>
      <c r="U26" s="2" cm="1">
        <f t="array" ref="U26">IFERROR(
  INDEX(
    All_India_Index_Upto_April23__1___1[Health],
    MATCH(
      1,
      (All_India_Index_Upto_April23__1___1[Date]=EDATE($A26,-12)) *
      (All_India_Index_Upto_April23__1___1[Sector]="Rural+Urban"),
      0
    )
  ),
"")</f>
        <v>133.30000000000001</v>
      </c>
      <c r="V26" s="8">
        <f t="shared" si="4"/>
        <v>8.8522130532633025E-2</v>
      </c>
      <c r="W26" t="str">
        <f t="shared" si="5"/>
        <v>Pre-COVID</v>
      </c>
      <c r="Y26" s="2" cm="1">
        <f t="array" ref="Y26">IFERROR(
  AVERAGE(
    INDEX(All_India_Index_Upto_April23__1___1[Pan, tobacco and intoxicants],
      MATCH(1,(All_India_Index_Upto_April23__1___1[Date]=$A26)*
              (All_India_Index_Upto_April23__1___1[Sector]="Rural+Urban"),0)),
    INDEX(All_India_Index_Upto_April23__1___1[Clothing],
      MATCH(1,(All_India_Index_Upto_April23__1___1[Date]=$A26)*
              (All_India_Index_Upto_April23__1___1[Sector]="Rural+Urban"),0)),
    INDEX(All_India_Index_Upto_April23__1___1[Footwear],
      MATCH(1,(All_India_Index_Upto_April23__1___1[Date]=$A26)*
              (All_India_Index_Upto_April23__1___1[Sector]="Rural+Urban"),0)),
    INDEX(All_India_Index_Upto_April23__1___1[Clothing and footwear],
      MATCH(1,(All_India_Index_Upto_April23__1___1[Date]=$A26)*
              (All_India_Index_Upto_April23__1___1[Sector]="Rural+Urban"),0)),
    INDEX(All_India_Index_Upto_April23__1___1[Housing],
      MATCH(1,(All_India_Index_Upto_April23__1___1[Date]=$A26)*
              (All_India_Index_Upto_April23__1___1[Sector]="Rural+Urban"),0)),
    INDEX(All_India_Index_Upto_April23__1___1[Fuel and light],
      MATCH(1,(All_India_Index_Upto_April23__1___1[Date]=$A26)*
              (All_India_Index_Upto_April23__1___1[Sector]="Rural+Urban"),0)),
    INDEX(All_India_Index_Upto_April23__1___1[Household goods and services],
      MATCH(1,(All_India_Index_Upto_April23__1___1[Date]=$A26)*
              (All_India_Index_Upto_April23__1___1[Sector]="Rural+Urban"),0)),
    INDEX(All_India_Index_Upto_April23__1___1[Health],
      MATCH(1,(All_India_Index_Upto_April23__1___1[Date]=$A26)*
              (All_India_Index_Upto_April23__1___1[Sector]="Rural+Urban"),0)),
    INDEX(All_India_Index_Upto_April23__1___1[Transport and communication],
      MATCH(1,(All_India_Index_Upto_April23__1___1[Date]=$A26)*
              (All_India_Index_Upto_April23__1___1[Sector]="Rural+Urban"),0)),
    INDEX(All_India_Index_Upto_April23__1___1[Recreation and amusement],
      MATCH(1,(All_India_Index_Upto_April23__1___1[Date]=$A26)*
              (All_India_Index_Upto_April23__1___1[Sector]="Rural+Urban"),0)),
    INDEX(All_India_Index_Upto_April23__1___1[Education],
      MATCH(1,(All_India_Index_Upto_April23__1___1[Date]=$A26)*
              (All_India_Index_Upto_April23__1___1[Sector]="Rural+Urban"),0)),
    INDEX(All_India_Index_Upto_April23__1___1[Personal care and effects],
      MATCH(1,(All_India_Index_Upto_April23__1___1[Date]=$A26)*
              (All_India_Index_Upto_April23__1___1[Sector]="Rural+Urban"),0)),
    INDEX(All_India_Index_Upto_April23__1___1[Miscellaneous],
      MATCH(1,(All_India_Index_Upto_April23__1___1[Date]=$A26)*
              (All_India_Index_Upto_April23__1___1[Sector]="Rural+Urban"),0))
  ),
"")</f>
        <v>142.02500000000001</v>
      </c>
      <c r="Z26" s="2" cm="1">
        <f t="array" ref="Z26">IFERROR(
  AVERAGE(
    INDEX(All_India_Index_Upto_April23__1___1[Pan, tobacco and intoxicants],
      MATCH(1,(All_India_Index_Upto_April23__1___1[Date]=EDATE($A26,-12))*
              (All_India_Index_Upto_April23__1___1[Sector]="Rural+Urban"),0)),
    INDEX(All_India_Index_Upto_April23__1___1[Clothing],
      MATCH(1,(All_India_Index_Upto_April23__1___1[Date]=EDATE($A26,-12))*
              (All_India_Index_Upto_April23__1___1[Sector]="Rural+Urban"),0)),
    INDEX(All_India_Index_Upto_April23__1___1[Footwear],
      MATCH(1,(All_India_Index_Upto_April23__1___1[Date]=EDATE($A26,-12))*
              (All_India_Index_Upto_April23__1___1[Sector]="Rural+Urban"),0)),
    INDEX(All_India_Index_Upto_April23__1___1[Clothing and footwear],
      MATCH(1,(All_India_Index_Upto_April23__1___1[Date]=EDATE($A26,-12))*
              (All_India_Index_Upto_April23__1___1[Sector]="Rural+Urban"),0)),
    INDEX(All_India_Index_Upto_April23__1___1[Housing],
      MATCH(1,(All_India_Index_Upto_April23__1___1[Date]=EDATE($A26,-12))*
              (All_India_Index_Upto_April23__1___1[Sector]="Rural+Urban"),0)),
    INDEX(All_India_Index_Upto_April23__1___1[Fuel and light],
      MATCH(1,(All_India_Index_Upto_April23__1___1[Date]=EDATE($A26,-12))*
              (All_India_Index_Upto_April23__1___1[Sector]="Rural+Urban"),0)),
    INDEX(All_India_Index_Upto_April23__1___1[Household goods and services],
      MATCH(1,(All_India_Index_Upto_April23__1___1[Date]=EDATE($A26,-12))*
              (All_India_Index_Upto_April23__1___1[Sector]="Rural+Urban"),0)),
    INDEX(All_India_Index_Upto_April23__1___1[Health],
      MATCH(1,(All_India_Index_Upto_April23__1___1[Date]=EDATE($A26,-12))*
              (All_India_Index_Upto_April23__1___1[Sector]="Rural+Urban"),0)),
    INDEX(All_India_Index_Upto_April23__1___1[Transport and communication],
      MATCH(1,(All_India_Index_Upto_April23__1___1[Date]=EDATE($A26,-12))*
              (All_India_Index_Upto_April23__1___1[Sector]="Rural+Urban"),0)),
    INDEX(All_India_Index_Upto_April23__1___1[Recreation and amusement],
      MATCH(1,(All_India_Index_Upto_April23__1___1[Date]=EDATE($A26,-12))*
              (All_India_Index_Upto_April23__1___1[Sector]="Rural+Urban"),0)),
    INDEX(All_India_Index_Upto_April23__1___1[Education],
      MATCH(1,(All_India_Index_Upto_April23__1___1[Date]=EDATE($A26,-12))*
              (All_India_Index_Upto_April23__1___1[Sector]="Rural+Urban"),0)),
    INDEX(All_India_Index_Upto_April23__1___1[Personal care and effects],
      MATCH(1,(All_India_Index_Upto_April23__1___1[Date]=EDATE($A26,-12))*
              (All_India_Index_Upto_April23__1___1[Sector]="Rural+Urban"),0)),
    INDEX(All_India_Index_Upto_April23__1___1[Miscellaneous],
      MATCH(1,(All_India_Index_Upto_April23__1___1[Date]=EDATE($A26,-12))*
              (All_India_Index_Upto_April23__1___1[Sector]="Rural+Urban"),0))
  ),
"")</f>
        <v>135.43333333333331</v>
      </c>
      <c r="AA26" s="8">
        <f t="shared" si="6"/>
        <v>4.8670932808269986E-2</v>
      </c>
      <c r="AB26" t="str">
        <f t="shared" si="7"/>
        <v>Pre-COVID</v>
      </c>
    </row>
    <row r="27" spans="1:28" x14ac:dyDescent="0.2">
      <c r="A27" s="22">
        <v>43497</v>
      </c>
      <c r="B27">
        <v>2019</v>
      </c>
      <c r="C27" t="s">
        <v>35</v>
      </c>
      <c r="D27" s="2" cm="1">
        <f t="array" ref="D27">IFERROR(
  INDEX(
    All_India_Index_Upto_April23__1___1[General index],
    MATCH(
      1,
      (All_India_Index_Upto_April23__1___1[Sector]="Rural+Urban") *
      (All_India_Index_Upto_April23__1___1[Date]=A27),
      0
    )
  ),
"")</f>
        <v>139.9</v>
      </c>
      <c r="E27" s="2" cm="1">
        <f t="array" ref="E27">IFERROR(
  INDEX(
    All_India_Index_Upto_April23__1___1[General index],
    MATCH(
      1,
      (All_India_Index_Upto_April23__1___1[Sector]="Rural+Urban") *
      (All_India_Index_Upto_April23__1___1[Date]=EDATE(A27,-12)),
      0
    )
  ),
"")</f>
        <v>136.4</v>
      </c>
      <c r="F27" s="8">
        <f t="shared" si="0"/>
        <v>2.5659824046920798E-2</v>
      </c>
      <c r="G27" t="str">
        <f t="shared" si="1"/>
        <v>Pre-COVID</v>
      </c>
      <c r="O27" s="2" cm="1">
        <f t="array" ref="O27">IFERROR(
  AVERAGE(
    INDEX(All_India_Index_Upto_April23__1___1[Cereals and products],
      MATCH(1,(All_India_Index_Upto_April23__1___1[Date]=$A27)*
              (All_India_Index_Upto_April23__1___1[Sector]="Rural+Urban"),0)),
    INDEX(All_India_Index_Upto_April23__1___1[Meat and fish],
      MATCH(1,(All_India_Index_Upto_April23__1___1[Date]=$A27)*
              (All_India_Index_Upto_April23__1___1[Sector]="Rural+Urban"),0)),
    INDEX(All_India_Index_Upto_April23__1___1[Egg],
      MATCH(1,(All_India_Index_Upto_April23__1___1[Date]=$A27)*
              (All_India_Index_Upto_April23__1___1[Sector]="Rural+Urban"),0)),
    INDEX(All_India_Index_Upto_April23__1___1[Milk and products],
      MATCH(1,(All_India_Index_Upto_April23__1___1[Date]=$A27)*
              (All_India_Index_Upto_April23__1___1[Sector]="Rural+Urban"),0)),
    INDEX(All_India_Index_Upto_April23__1___1[Oils and fats],
      MATCH(1,(All_India_Index_Upto_April23__1___1[Date]=$A27)*
              (All_India_Index_Upto_April23__1___1[Sector]="Rural+Urban"),0)),
    INDEX(All_India_Index_Upto_April23__1___1[Fruits],
      MATCH(1,(All_India_Index_Upto_April23__1___1[Date]=$A27)*
              (All_India_Index_Upto_April23__1___1[Sector]="Rural+Urban"),0)),
    INDEX(All_India_Index_Upto_April23__1___1[Vegetables],
      MATCH(1,(All_India_Index_Upto_April23__1___1[Date]=$A27)*
              (All_India_Index_Upto_April23__1___1[Sector]="Rural+Urban"),0)),
    INDEX(All_India_Index_Upto_April23__1___1[Pulses and products],
      MATCH(1,(All_India_Index_Upto_April23__1___1[Date]=$A27)*
              (All_India_Index_Upto_April23__1___1[Sector]="Rural+Urban"),0)),
    INDEX(All_India_Index_Upto_April23__1___1[Sugar and Confectionery],
      MATCH(1,(All_India_Index_Upto_April23__1___1[Date]=$A27)*
              (All_India_Index_Upto_April23__1___1[Sector]="Rural+Urban"),0)),
    INDEX(All_India_Index_Upto_April23__1___1[Spices],
      MATCH(1,(All_India_Index_Upto_April23__1___1[Date]=$A27)*
              (All_India_Index_Upto_April23__1___1[Sector]="Rural+Urban"),0)),
    INDEX(All_India_Index_Upto_April23__1___1[Non-alcoholic beverages],
      MATCH(1,(All_India_Index_Upto_April23__1___1[Date]=$A27)*
              (All_India_Index_Upto_April23__1___1[Sector]="Rural+Urban"),0)),
    INDEX(All_India_Index_Upto_April23__1___1[Prepared meals, snacks, sweets etc.],
      MATCH(1,(All_India_Index_Upto_April23__1___1[Date]=$A27)*
              (All_India_Index_Upto_April23__1___1[Sector]="Rural+Urban"),0))
  ),
"")</f>
        <v>134.96666666666667</v>
      </c>
      <c r="P27" s="2" cm="1">
        <f t="array" ref="P27">IFERROR(
  AVERAGE(
    INDEX(All_India_Index_Upto_April23__1___1[Cereals and products],
      MATCH(1,(All_India_Index_Upto_April23__1___1[Date]=EDATE($A27,-12))*
              (All_India_Index_Upto_April23__1___1[Sector]="Rural+Urban"),0)),
    INDEX(All_India_Index_Upto_April23__1___1[Meat and fish],
      MATCH(1,(All_India_Index_Upto_April23__1___1[Date]=EDATE($A27,-12))*
              (All_India_Index_Upto_April23__1___1[Sector]="Rural+Urban"),0)),
    INDEX(All_India_Index_Upto_April23__1___1[Egg],
      MATCH(1,(All_India_Index_Upto_April23__1___1[Date]=EDATE($A27,-12))*
              (All_India_Index_Upto_April23__1___1[Sector]="Rural+Urban"),0)),
    INDEX(All_India_Index_Upto_April23__1___1[Milk and products],
      MATCH(1,(All_India_Index_Upto_April23__1___1[Date]=EDATE($A27,-12))*
              (All_India_Index_Upto_April23__1___1[Sector]="Rural+Urban"),0)),
    INDEX(All_India_Index_Upto_April23__1___1[Oils and fats],
      MATCH(1,(All_India_Index_Upto_April23__1___1[Date]=EDATE($A27,-12))*
              (All_India_Index_Upto_April23__1___1[Sector]="Rural+Urban"),0)),
    INDEX(All_India_Index_Upto_April23__1___1[Fruits],
      MATCH(1,(All_India_Index_Upto_April23__1___1[Date]=EDATE($A27,-12))*
              (All_India_Index_Upto_April23__1___1[Sector]="Rural+Urban"),0)),
    INDEX(All_India_Index_Upto_April23__1___1[Vegetables],
      MATCH(1,(All_India_Index_Upto_April23__1___1[Date]=EDATE($A27,-12))*
              (All_India_Index_Upto_April23__1___1[Sector]="Rural+Urban"),0)),
    INDEX(All_India_Index_Upto_April23__1___1[Pulses and products],
      MATCH(1,(All_India_Index_Upto_April23__1___1[Date]=EDATE($A27,-12))*
              (All_India_Index_Upto_April23__1___1[Sector]="Rural+Urban"),0)),
    INDEX(All_India_Index_Upto_April23__1___1[Sugar and Confectionery],
      MATCH(1,(All_India_Index_Upto_April23__1___1[Date]=EDATE($A27,-12))*
              (All_India_Index_Upto_April23__1___1[Sector]="Rural+Urban"),0)),
    INDEX(All_India_Index_Upto_April23__1___1[Spices],
      MATCH(1,(All_India_Index_Upto_April23__1___1[Date]=EDATE($A27,-12))*
              (All_India_Index_Upto_April23__1___1[Sector]="Rural+Urban"),0)),
    INDEX(All_India_Index_Upto_April23__1___1[Non-alcoholic beverages],
      MATCH(1,(All_India_Index_Upto_April23__1___1[Date]=EDATE($A27,-12))*
              (All_India_Index_Upto_April23__1___1[Sector]="Rural+Urban"),0)),
    INDEX(All_India_Index_Upto_April23__1___1[Prepared meals, snacks, sweets etc.],
      MATCH(1,(All_India_Index_Upto_April23__1___1[Date]=EDATE($A27,-12))*
              (All_India_Index_Upto_April23__1___1[Sector]="Rural+Urban"),0))
  ),
"")</f>
        <v>135.23333333333332</v>
      </c>
      <c r="Q27" s="8">
        <f t="shared" si="2"/>
        <v>-1.971900419028727E-3</v>
      </c>
      <c r="R27" t="str">
        <f t="shared" si="3"/>
        <v>Pre-COVID</v>
      </c>
      <c r="T27" s="2" cm="1">
        <f t="array" ref="T27">IFERROR(
  INDEX(
    All_India_Index_Upto_April23__1___1[Health],
    MATCH(
      1,
      (All_India_Index_Upto_April23__1___1[Date]=$A27) *
      (All_India_Index_Upto_April23__1___1[Sector]="Rural+Urban"),
      0
    )
  ),
"")</f>
        <v>145.6</v>
      </c>
      <c r="U27" s="2" cm="1">
        <f t="array" ref="U27">IFERROR(
  INDEX(
    All_India_Index_Upto_April23__1___1[Health],
    MATCH(
      1,
      (All_India_Index_Upto_April23__1___1[Date]=EDATE($A27,-12)) *
      (All_India_Index_Upto_April23__1___1[Sector]="Rural+Urban"),
      0
    )
  ),
"")</f>
        <v>133.80000000000001</v>
      </c>
      <c r="V27" s="8">
        <f t="shared" si="4"/>
        <v>8.8191330343796573E-2</v>
      </c>
      <c r="W27" t="str">
        <f t="shared" si="5"/>
        <v>Pre-COVID</v>
      </c>
      <c r="Y27" s="2" cm="1">
        <f t="array" ref="Y27">IFERROR(
  AVERAGE(
    INDEX(All_India_Index_Upto_April23__1___1[Pan, tobacco and intoxicants],
      MATCH(1,(All_India_Index_Upto_April23__1___1[Date]=$A27)*
              (All_India_Index_Upto_April23__1___1[Sector]="Rural+Urban"),0)),
    INDEX(All_India_Index_Upto_April23__1___1[Clothing],
      MATCH(1,(All_India_Index_Upto_April23__1___1[Date]=$A27)*
              (All_India_Index_Upto_April23__1___1[Sector]="Rural+Urban"),0)),
    INDEX(All_India_Index_Upto_April23__1___1[Footwear],
      MATCH(1,(All_India_Index_Upto_April23__1___1[Date]=$A27)*
              (All_India_Index_Upto_April23__1___1[Sector]="Rural+Urban"),0)),
    INDEX(All_India_Index_Upto_April23__1___1[Clothing and footwear],
      MATCH(1,(All_India_Index_Upto_April23__1___1[Date]=$A27)*
              (All_India_Index_Upto_April23__1___1[Sector]="Rural+Urban"),0)),
    INDEX(All_India_Index_Upto_April23__1___1[Housing],
      MATCH(1,(All_India_Index_Upto_April23__1___1[Date]=$A27)*
              (All_India_Index_Upto_April23__1___1[Sector]="Rural+Urban"),0)),
    INDEX(All_India_Index_Upto_April23__1___1[Fuel and light],
      MATCH(1,(All_India_Index_Upto_April23__1___1[Date]=$A27)*
              (All_India_Index_Upto_April23__1___1[Sector]="Rural+Urban"),0)),
    INDEX(All_India_Index_Upto_April23__1___1[Household goods and services],
      MATCH(1,(All_India_Index_Upto_April23__1___1[Date]=$A27)*
              (All_India_Index_Upto_April23__1___1[Sector]="Rural+Urban"),0)),
    INDEX(All_India_Index_Upto_April23__1___1[Health],
      MATCH(1,(All_India_Index_Upto_April23__1___1[Date]=$A27)*
              (All_India_Index_Upto_April23__1___1[Sector]="Rural+Urban"),0)),
    INDEX(All_India_Index_Upto_April23__1___1[Transport and communication],
      MATCH(1,(All_India_Index_Upto_April23__1___1[Date]=$A27)*
              (All_India_Index_Upto_April23__1___1[Sector]="Rural+Urban"),0)),
    INDEX(All_India_Index_Upto_April23__1___1[Recreation and amusement],
      MATCH(1,(All_India_Index_Upto_April23__1___1[Date]=$A27)*
              (All_India_Index_Upto_April23__1___1[Sector]="Rural+Urban"),0)),
    INDEX(All_India_Index_Upto_April23__1___1[Education],
      MATCH(1,(All_India_Index_Upto_April23__1___1[Date]=$A27)*
              (All_India_Index_Upto_April23__1___1[Sector]="Rural+Urban"),0)),
    INDEX(All_India_Index_Upto_April23__1___1[Personal care and effects],
      MATCH(1,(All_India_Index_Upto_April23__1___1[Date]=$A27)*
              (All_India_Index_Upto_April23__1___1[Sector]="Rural+Urban"),0)),
    INDEX(All_India_Index_Upto_April23__1___1[Miscellaneous],
      MATCH(1,(All_India_Index_Upto_April23__1___1[Date]=$A27)*
              (All_India_Index_Upto_April23__1___1[Sector]="Rural+Urban"),0))
  ),
"")</f>
        <v>142.31666666666663</v>
      </c>
      <c r="Z27" s="2" cm="1">
        <f t="array" ref="Z27">IFERROR(
  AVERAGE(
    INDEX(All_India_Index_Upto_April23__1___1[Pan, tobacco and intoxicants],
      MATCH(1,(All_India_Index_Upto_April23__1___1[Date]=EDATE($A27,-12))*
              (All_India_Index_Upto_April23__1___1[Sector]="Rural+Urban"),0)),
    INDEX(All_India_Index_Upto_April23__1___1[Clothing],
      MATCH(1,(All_India_Index_Upto_April23__1___1[Date]=EDATE($A27,-12))*
              (All_India_Index_Upto_April23__1___1[Sector]="Rural+Urban"),0)),
    INDEX(All_India_Index_Upto_April23__1___1[Footwear],
      MATCH(1,(All_India_Index_Upto_April23__1___1[Date]=EDATE($A27,-12))*
              (All_India_Index_Upto_April23__1___1[Sector]="Rural+Urban"),0)),
    INDEX(All_India_Index_Upto_April23__1___1[Clothing and footwear],
      MATCH(1,(All_India_Index_Upto_April23__1___1[Date]=EDATE($A27,-12))*
              (All_India_Index_Upto_April23__1___1[Sector]="Rural+Urban"),0)),
    INDEX(All_India_Index_Upto_April23__1___1[Housing],
      MATCH(1,(All_India_Index_Upto_April23__1___1[Date]=EDATE($A27,-12))*
              (All_India_Index_Upto_April23__1___1[Sector]="Rural+Urban"),0)),
    INDEX(All_India_Index_Upto_April23__1___1[Fuel and light],
      MATCH(1,(All_India_Index_Upto_April23__1___1[Date]=EDATE($A27,-12))*
              (All_India_Index_Upto_April23__1___1[Sector]="Rural+Urban"),0)),
    INDEX(All_India_Index_Upto_April23__1___1[Household goods and services],
      MATCH(1,(All_India_Index_Upto_April23__1___1[Date]=EDATE($A27,-12))*
              (All_India_Index_Upto_April23__1___1[Sector]="Rural+Urban"),0)),
    INDEX(All_India_Index_Upto_April23__1___1[Health],
      MATCH(1,(All_India_Index_Upto_April23__1___1[Date]=EDATE($A27,-12))*
              (All_India_Index_Upto_April23__1___1[Sector]="Rural+Urban"),0)),
    INDEX(All_India_Index_Upto_April23__1___1[Transport and communication],
      MATCH(1,(All_India_Index_Upto_April23__1___1[Date]=EDATE($A27,-12))*
              (All_India_Index_Upto_April23__1___1[Sector]="Rural+Urban"),0)),
    INDEX(All_India_Index_Upto_April23__1___1[Recreation and amusement],
      MATCH(1,(All_India_Index_Upto_April23__1___1[Date]=EDATE($A27,-12))*
              (All_India_Index_Upto_April23__1___1[Sector]="Rural+Urban"),0)),
    INDEX(All_India_Index_Upto_April23__1___1[Education],
      MATCH(1,(All_India_Index_Upto_April23__1___1[Date]=EDATE($A27,-12))*
              (All_India_Index_Upto_April23__1___1[Sector]="Rural+Urban"),0)),
    INDEX(All_India_Index_Upto_April23__1___1[Personal care and effects],
      MATCH(1,(All_India_Index_Upto_April23__1___1[Date]=EDATE($A27,-12))*
              (All_India_Index_Upto_April23__1___1[Sector]="Rural+Urban"),0)),
    INDEX(All_India_Index_Upto_April23__1___1[Miscellaneous],
      MATCH(1,(All_India_Index_Upto_April23__1___1[Date]=EDATE($A27,-12))*
              (All_India_Index_Upto_April23__1___1[Sector]="Rural+Urban"),0))
  ),
"")</f>
        <v>135.75000000000003</v>
      </c>
      <c r="AA27" s="8">
        <f t="shared" si="6"/>
        <v>4.837323511356615E-2</v>
      </c>
      <c r="AB27" t="str">
        <f t="shared" si="7"/>
        <v>Pre-COVID</v>
      </c>
    </row>
    <row r="28" spans="1:28" x14ac:dyDescent="0.2">
      <c r="A28" s="22">
        <v>43525</v>
      </c>
      <c r="B28">
        <v>2019</v>
      </c>
      <c r="C28" t="s">
        <v>37</v>
      </c>
      <c r="D28" s="2" cm="1">
        <f t="array" ref="D28">IFERROR(
  INDEX(
    All_India_Index_Upto_April23__1___1[General index],
    MATCH(
      1,
      (All_India_Index_Upto_April23__1___1[Sector]="Rural+Urban") *
      (All_India_Index_Upto_April23__1___1[Date]=A28),
      0
    )
  ),
"")</f>
        <v>140.4</v>
      </c>
      <c r="E28" s="2" cm="1">
        <f t="array" ref="E28">IFERROR(
  INDEX(
    All_India_Index_Upto_April23__1___1[General index],
    MATCH(
      1,
      (All_India_Index_Upto_April23__1___1[Sector]="Rural+Urban") *
      (All_India_Index_Upto_April23__1___1[Date]=EDATE(A28,-12)),
      0
    )
  ),
"")</f>
        <v>136.5</v>
      </c>
      <c r="F28" s="8">
        <f t="shared" si="0"/>
        <v>2.8571428571428692E-2</v>
      </c>
      <c r="G28" t="str">
        <f t="shared" si="1"/>
        <v>Pre-COVID</v>
      </c>
      <c r="O28" s="2" cm="1">
        <f t="array" ref="O28">IFERROR(
  AVERAGE(
    INDEX(All_India_Index_Upto_April23__1___1[Cereals and products],
      MATCH(1,(All_India_Index_Upto_April23__1___1[Date]=$A28)*
              (All_India_Index_Upto_April23__1___1[Sector]="Rural+Urban"),0)),
    INDEX(All_India_Index_Upto_April23__1___1[Meat and fish],
      MATCH(1,(All_India_Index_Upto_April23__1___1[Date]=$A28)*
              (All_India_Index_Upto_April23__1___1[Sector]="Rural+Urban"),0)),
    INDEX(All_India_Index_Upto_April23__1___1[Egg],
      MATCH(1,(All_India_Index_Upto_April23__1___1[Date]=$A28)*
              (All_India_Index_Upto_April23__1___1[Sector]="Rural+Urban"),0)),
    INDEX(All_India_Index_Upto_April23__1___1[Milk and products],
      MATCH(1,(All_India_Index_Upto_April23__1___1[Date]=$A28)*
              (All_India_Index_Upto_April23__1___1[Sector]="Rural+Urban"),0)),
    INDEX(All_India_Index_Upto_April23__1___1[Oils and fats],
      MATCH(1,(All_India_Index_Upto_April23__1___1[Date]=$A28)*
              (All_India_Index_Upto_April23__1___1[Sector]="Rural+Urban"),0)),
    INDEX(All_India_Index_Upto_April23__1___1[Fruits],
      MATCH(1,(All_India_Index_Upto_April23__1___1[Date]=$A28)*
              (All_India_Index_Upto_April23__1___1[Sector]="Rural+Urban"),0)),
    INDEX(All_India_Index_Upto_April23__1___1[Vegetables],
      MATCH(1,(All_India_Index_Upto_April23__1___1[Date]=$A28)*
              (All_India_Index_Upto_April23__1___1[Sector]="Rural+Urban"),0)),
    INDEX(All_India_Index_Upto_April23__1___1[Pulses and products],
      MATCH(1,(All_India_Index_Upto_April23__1___1[Date]=$A28)*
              (All_India_Index_Upto_April23__1___1[Sector]="Rural+Urban"),0)),
    INDEX(All_India_Index_Upto_April23__1___1[Sugar and Confectionery],
      MATCH(1,(All_India_Index_Upto_April23__1___1[Date]=$A28)*
              (All_India_Index_Upto_April23__1___1[Sector]="Rural+Urban"),0)),
    INDEX(All_India_Index_Upto_April23__1___1[Spices],
      MATCH(1,(All_India_Index_Upto_April23__1___1[Date]=$A28)*
              (All_India_Index_Upto_April23__1___1[Sector]="Rural+Urban"),0)),
    INDEX(All_India_Index_Upto_April23__1___1[Non-alcoholic beverages],
      MATCH(1,(All_India_Index_Upto_April23__1___1[Date]=$A28)*
              (All_India_Index_Upto_April23__1___1[Sector]="Rural+Urban"),0)),
    INDEX(All_India_Index_Upto_April23__1___1[Prepared meals, snacks, sweets etc.],
      MATCH(1,(All_India_Index_Upto_April23__1___1[Date]=$A28)*
              (All_India_Index_Upto_April23__1___1[Sector]="Rural+Urban"),0))
  ),
"")</f>
        <v>135.4</v>
      </c>
      <c r="P28" s="2" cm="1">
        <f t="array" ref="P28">IFERROR(
  AVERAGE(
    INDEX(All_India_Index_Upto_April23__1___1[Cereals and products],
      MATCH(1,(All_India_Index_Upto_April23__1___1[Date]=EDATE($A28,-12))*
              (All_India_Index_Upto_April23__1___1[Sector]="Rural+Urban"),0)),
    INDEX(All_India_Index_Upto_April23__1___1[Meat and fish],
      MATCH(1,(All_India_Index_Upto_April23__1___1[Date]=EDATE($A28,-12))*
              (All_India_Index_Upto_April23__1___1[Sector]="Rural+Urban"),0)),
    INDEX(All_India_Index_Upto_April23__1___1[Egg],
      MATCH(1,(All_India_Index_Upto_April23__1___1[Date]=EDATE($A28,-12))*
              (All_India_Index_Upto_April23__1___1[Sector]="Rural+Urban"),0)),
    INDEX(All_India_Index_Upto_April23__1___1[Milk and products],
      MATCH(1,(All_India_Index_Upto_April23__1___1[Date]=EDATE($A28,-12))*
              (All_India_Index_Upto_April23__1___1[Sector]="Rural+Urban"),0)),
    INDEX(All_India_Index_Upto_April23__1___1[Oils and fats],
      MATCH(1,(All_India_Index_Upto_April23__1___1[Date]=EDATE($A28,-12))*
              (All_India_Index_Upto_April23__1___1[Sector]="Rural+Urban"),0)),
    INDEX(All_India_Index_Upto_April23__1___1[Fruits],
      MATCH(1,(All_India_Index_Upto_April23__1___1[Date]=EDATE($A28,-12))*
              (All_India_Index_Upto_April23__1___1[Sector]="Rural+Urban"),0)),
    INDEX(All_India_Index_Upto_April23__1___1[Vegetables],
      MATCH(1,(All_India_Index_Upto_April23__1___1[Date]=EDATE($A28,-12))*
              (All_India_Index_Upto_April23__1___1[Sector]="Rural+Urban"),0)),
    INDEX(All_India_Index_Upto_April23__1___1[Pulses and products],
      MATCH(1,(All_India_Index_Upto_April23__1___1[Date]=EDATE($A28,-12))*
              (All_India_Index_Upto_April23__1___1[Sector]="Rural+Urban"),0)),
    INDEX(All_India_Index_Upto_April23__1___1[Sugar and Confectionery],
      MATCH(1,(All_India_Index_Upto_April23__1___1[Date]=EDATE($A28,-12))*
              (All_India_Index_Upto_April23__1___1[Sector]="Rural+Urban"),0)),
    INDEX(All_India_Index_Upto_April23__1___1[Spices],
      MATCH(1,(All_India_Index_Upto_April23__1___1[Date]=EDATE($A28,-12))*
              (All_India_Index_Upto_April23__1___1[Sector]="Rural+Urban"),0)),
    INDEX(All_India_Index_Upto_April23__1___1[Non-alcoholic beverages],
      MATCH(1,(All_India_Index_Upto_April23__1___1[Date]=EDATE($A28,-12))*
              (All_India_Index_Upto_April23__1___1[Sector]="Rural+Urban"),0)),
    INDEX(All_India_Index_Upto_April23__1___1[Prepared meals, snacks, sweets etc.],
      MATCH(1,(All_India_Index_Upto_April23__1___1[Date]=EDATE($A28,-12))*
              (All_India_Index_Upto_April23__1___1[Sector]="Rural+Urban"),0))
  ),
"")</f>
        <v>134.9</v>
      </c>
      <c r="Q28" s="8">
        <f t="shared" si="2"/>
        <v>3.7064492216456633E-3</v>
      </c>
      <c r="R28" t="str">
        <f t="shared" si="3"/>
        <v>Pre-COVID</v>
      </c>
      <c r="T28" s="2" cm="1">
        <f t="array" ref="T28">IFERROR(
  INDEX(
    All_India_Index_Upto_April23__1___1[Health],
    MATCH(
      1,
      (All_India_Index_Upto_April23__1___1[Date]=$A28) *
      (All_India_Index_Upto_April23__1___1[Sector]="Rural+Urban"),
      0
    )
  ),
"")</f>
        <v>146.19999999999999</v>
      </c>
      <c r="U28" s="2" cm="1">
        <f t="array" ref="U28">IFERROR(
  INDEX(
    All_India_Index_Upto_April23__1___1[Health],
    MATCH(
      1,
      (All_India_Index_Upto_April23__1___1[Date]=EDATE($A28,-12)) *
      (All_India_Index_Upto_April23__1___1[Sector]="Rural+Urban"),
      0
    )
  ),
"")</f>
        <v>134.30000000000001</v>
      </c>
      <c r="V28" s="8">
        <f t="shared" si="4"/>
        <v>8.8607594936708681E-2</v>
      </c>
      <c r="W28" t="str">
        <f t="shared" si="5"/>
        <v>Pre-COVID</v>
      </c>
      <c r="Y28" s="2" cm="1">
        <f t="array" ref="Y28">IFERROR(
  AVERAGE(
    INDEX(All_India_Index_Upto_April23__1___1[Pan, tobacco and intoxicants],
      MATCH(1,(All_India_Index_Upto_April23__1___1[Date]=$A28)*
              (All_India_Index_Upto_April23__1___1[Sector]="Rural+Urban"),0)),
    INDEX(All_India_Index_Upto_April23__1___1[Clothing],
      MATCH(1,(All_India_Index_Upto_April23__1___1[Date]=$A28)*
              (All_India_Index_Upto_April23__1___1[Sector]="Rural+Urban"),0)),
    INDEX(All_India_Index_Upto_April23__1___1[Footwear],
      MATCH(1,(All_India_Index_Upto_April23__1___1[Date]=$A28)*
              (All_India_Index_Upto_April23__1___1[Sector]="Rural+Urban"),0)),
    INDEX(All_India_Index_Upto_April23__1___1[Clothing and footwear],
      MATCH(1,(All_India_Index_Upto_April23__1___1[Date]=$A28)*
              (All_India_Index_Upto_April23__1___1[Sector]="Rural+Urban"),0)),
    INDEX(All_India_Index_Upto_April23__1___1[Housing],
      MATCH(1,(All_India_Index_Upto_April23__1___1[Date]=$A28)*
              (All_India_Index_Upto_April23__1___1[Sector]="Rural+Urban"),0)),
    INDEX(All_India_Index_Upto_April23__1___1[Fuel and light],
      MATCH(1,(All_India_Index_Upto_April23__1___1[Date]=$A28)*
              (All_India_Index_Upto_April23__1___1[Sector]="Rural+Urban"),0)),
    INDEX(All_India_Index_Upto_April23__1___1[Household goods and services],
      MATCH(1,(All_India_Index_Upto_April23__1___1[Date]=$A28)*
              (All_India_Index_Upto_April23__1___1[Sector]="Rural+Urban"),0)),
    INDEX(All_India_Index_Upto_April23__1___1[Health],
      MATCH(1,(All_India_Index_Upto_April23__1___1[Date]=$A28)*
              (All_India_Index_Upto_April23__1___1[Sector]="Rural+Urban"),0)),
    INDEX(All_India_Index_Upto_April23__1___1[Transport and communication],
      MATCH(1,(All_India_Index_Upto_April23__1___1[Date]=$A28)*
              (All_India_Index_Upto_April23__1___1[Sector]="Rural+Urban"),0)),
    INDEX(All_India_Index_Upto_April23__1___1[Recreation and amusement],
      MATCH(1,(All_India_Index_Upto_April23__1___1[Date]=$A28)*
              (All_India_Index_Upto_April23__1___1[Sector]="Rural+Urban"),0)),
    INDEX(All_India_Index_Upto_April23__1___1[Education],
      MATCH(1,(All_India_Index_Upto_April23__1___1[Date]=$A28)*
              (All_India_Index_Upto_April23__1___1[Sector]="Rural+Urban"),0)),
    INDEX(All_India_Index_Upto_April23__1___1[Personal care and effects],
      MATCH(1,(All_India_Index_Upto_April23__1___1[Date]=$A28)*
              (All_India_Index_Upto_April23__1___1[Sector]="Rural+Urban"),0)),
    INDEX(All_India_Index_Upto_April23__1___1[Miscellaneous],
      MATCH(1,(All_India_Index_Upto_April23__1___1[Date]=$A28)*
              (All_India_Index_Upto_April23__1___1[Sector]="Rural+Urban"),0))
  ),
"")</f>
        <v>142.61666666666667</v>
      </c>
      <c r="Z28" s="2" cm="1">
        <f t="array" ref="Z28">IFERROR(
  AVERAGE(
    INDEX(All_India_Index_Upto_April23__1___1[Pan, tobacco and intoxicants],
      MATCH(1,(All_India_Index_Upto_April23__1___1[Date]=EDATE($A28,-12))*
              (All_India_Index_Upto_April23__1___1[Sector]="Rural+Urban"),0)),
    INDEX(All_India_Index_Upto_April23__1___1[Clothing],
      MATCH(1,(All_India_Index_Upto_April23__1___1[Date]=EDATE($A28,-12))*
              (All_India_Index_Upto_April23__1___1[Sector]="Rural+Urban"),0)),
    INDEX(All_India_Index_Upto_April23__1___1[Footwear],
      MATCH(1,(All_India_Index_Upto_April23__1___1[Date]=EDATE($A28,-12))*
              (All_India_Index_Upto_April23__1___1[Sector]="Rural+Urban"),0)),
    INDEX(All_India_Index_Upto_April23__1___1[Clothing and footwear],
      MATCH(1,(All_India_Index_Upto_April23__1___1[Date]=EDATE($A28,-12))*
              (All_India_Index_Upto_April23__1___1[Sector]="Rural+Urban"),0)),
    INDEX(All_India_Index_Upto_April23__1___1[Housing],
      MATCH(1,(All_India_Index_Upto_April23__1___1[Date]=EDATE($A28,-12))*
              (All_India_Index_Upto_April23__1___1[Sector]="Rural+Urban"),0)),
    INDEX(All_India_Index_Upto_April23__1___1[Fuel and light],
      MATCH(1,(All_India_Index_Upto_April23__1___1[Date]=EDATE($A28,-12))*
              (All_India_Index_Upto_April23__1___1[Sector]="Rural+Urban"),0)),
    INDEX(All_India_Index_Upto_April23__1___1[Household goods and services],
      MATCH(1,(All_India_Index_Upto_April23__1___1[Date]=EDATE($A28,-12))*
              (All_India_Index_Upto_April23__1___1[Sector]="Rural+Urban"),0)),
    INDEX(All_India_Index_Upto_April23__1___1[Health],
      MATCH(1,(All_India_Index_Upto_April23__1___1[Date]=EDATE($A28,-12))*
              (All_India_Index_Upto_April23__1___1[Sector]="Rural+Urban"),0)),
    INDEX(All_India_Index_Upto_April23__1___1[Transport and communication],
      MATCH(1,(All_India_Index_Upto_April23__1___1[Date]=EDATE($A28,-12))*
              (All_India_Index_Upto_April23__1___1[Sector]="Rural+Urban"),0)),
    INDEX(All_India_Index_Upto_April23__1___1[Recreation and amusement],
      MATCH(1,(All_India_Index_Upto_April23__1___1[Date]=EDATE($A28,-12))*
              (All_India_Index_Upto_April23__1___1[Sector]="Rural+Urban"),0)),
    INDEX(All_India_Index_Upto_April23__1___1[Education],
      MATCH(1,(All_India_Index_Upto_April23__1___1[Date]=EDATE($A28,-12))*
              (All_India_Index_Upto_April23__1___1[Sector]="Rural+Urban"),0)),
    INDEX(All_India_Index_Upto_April23__1___1[Personal care and effects],
      MATCH(1,(All_India_Index_Upto_April23__1___1[Date]=EDATE($A28,-12))*
              (All_India_Index_Upto_April23__1___1[Sector]="Rural+Urban"),0)),
    INDEX(All_India_Index_Upto_April23__1___1[Miscellaneous],
      MATCH(1,(All_India_Index_Upto_April23__1___1[Date]=EDATE($A28,-12))*
              (All_India_Index_Upto_April23__1___1[Sector]="Rural+Urban"),0))
  ),
"")</f>
        <v>136.33333333333334</v>
      </c>
      <c r="AA28" s="8">
        <f t="shared" si="6"/>
        <v>4.6088019559902181E-2</v>
      </c>
      <c r="AB28" t="str">
        <f t="shared" si="7"/>
        <v>Pre-COVID</v>
      </c>
    </row>
    <row r="29" spans="1:28" x14ac:dyDescent="0.2">
      <c r="A29" s="22">
        <v>43586</v>
      </c>
      <c r="B29">
        <v>2019</v>
      </c>
      <c r="C29" t="s">
        <v>40</v>
      </c>
      <c r="D29" s="2" cm="1">
        <f t="array" ref="D29">IFERROR(
  INDEX(
    All_India_Index_Upto_April23__1___1[General index],
    MATCH(
      1,
      (All_India_Index_Upto_April23__1___1[Sector]="Rural+Urban") *
      (All_India_Index_Upto_April23__1___1[Date]=A29),
      0
    )
  ),
"")</f>
        <v>142</v>
      </c>
      <c r="E29" s="2" cm="1">
        <f t="array" ref="E29">IFERROR(
  INDEX(
    All_India_Index_Upto_April23__1___1[General index],
    MATCH(
      1,
      (All_India_Index_Upto_April23__1___1[Sector]="Rural+Urban") *
      (All_India_Index_Upto_April23__1___1[Date]=EDATE(A29,-12)),
      0
    )
  ),
"")</f>
        <v>137.80000000000001</v>
      </c>
      <c r="F29" s="8">
        <f t="shared" si="0"/>
        <v>3.0478955007256836E-2</v>
      </c>
      <c r="G29" t="str">
        <f t="shared" si="1"/>
        <v>Pre-COVID</v>
      </c>
      <c r="O29" s="2" cm="1">
        <f t="array" ref="O29">IFERROR(
  AVERAGE(
    INDEX(All_India_Index_Upto_April23__1___1[Cereals and products],
      MATCH(1,(All_India_Index_Upto_April23__1___1[Date]=$A29)*
              (All_India_Index_Upto_April23__1___1[Sector]="Rural+Urban"),0)),
    INDEX(All_India_Index_Upto_April23__1___1[Meat and fish],
      MATCH(1,(All_India_Index_Upto_April23__1___1[Date]=$A29)*
              (All_India_Index_Upto_April23__1___1[Sector]="Rural+Urban"),0)),
    INDEX(All_India_Index_Upto_April23__1___1[Egg],
      MATCH(1,(All_India_Index_Upto_April23__1___1[Date]=$A29)*
              (All_India_Index_Upto_April23__1___1[Sector]="Rural+Urban"),0)),
    INDEX(All_India_Index_Upto_April23__1___1[Milk and products],
      MATCH(1,(All_India_Index_Upto_April23__1___1[Date]=$A29)*
              (All_India_Index_Upto_April23__1___1[Sector]="Rural+Urban"),0)),
    INDEX(All_India_Index_Upto_April23__1___1[Oils and fats],
      MATCH(1,(All_India_Index_Upto_April23__1___1[Date]=$A29)*
              (All_India_Index_Upto_April23__1___1[Sector]="Rural+Urban"),0)),
    INDEX(All_India_Index_Upto_April23__1___1[Fruits],
      MATCH(1,(All_India_Index_Upto_April23__1___1[Date]=$A29)*
              (All_India_Index_Upto_April23__1___1[Sector]="Rural+Urban"),0)),
    INDEX(All_India_Index_Upto_April23__1___1[Vegetables],
      MATCH(1,(All_India_Index_Upto_April23__1___1[Date]=$A29)*
              (All_India_Index_Upto_April23__1___1[Sector]="Rural+Urban"),0)),
    INDEX(All_India_Index_Upto_April23__1___1[Pulses and products],
      MATCH(1,(All_India_Index_Upto_April23__1___1[Date]=$A29)*
              (All_India_Index_Upto_April23__1___1[Sector]="Rural+Urban"),0)),
    INDEX(All_India_Index_Upto_April23__1___1[Sugar and Confectionery],
      MATCH(1,(All_India_Index_Upto_April23__1___1[Date]=$A29)*
              (All_India_Index_Upto_April23__1___1[Sector]="Rural+Urban"),0)),
    INDEX(All_India_Index_Upto_April23__1___1[Spices],
      MATCH(1,(All_India_Index_Upto_April23__1___1[Date]=$A29)*
              (All_India_Index_Upto_April23__1___1[Sector]="Rural+Urban"),0)),
    INDEX(All_India_Index_Upto_April23__1___1[Non-alcoholic beverages],
      MATCH(1,(All_India_Index_Upto_April23__1___1[Date]=$A29)*
              (All_India_Index_Upto_April23__1___1[Sector]="Rural+Urban"),0)),
    INDEX(All_India_Index_Upto_April23__1___1[Prepared meals, snacks, sweets etc.],
      MATCH(1,(All_India_Index_Upto_April23__1___1[Date]=$A29)*
              (All_India_Index_Upto_April23__1___1[Sector]="Rural+Urban"),0))
  ),
"")</f>
        <v>137.58333333333334</v>
      </c>
      <c r="P29" s="2" cm="1">
        <f t="array" ref="P29">IFERROR(
  AVERAGE(
    INDEX(All_India_Index_Upto_April23__1___1[Cereals and products],
      MATCH(1,(All_India_Index_Upto_April23__1___1[Date]=EDATE($A29,-12))*
              (All_India_Index_Upto_April23__1___1[Sector]="Rural+Urban"),0)),
    INDEX(All_India_Index_Upto_April23__1___1[Meat and fish],
      MATCH(1,(All_India_Index_Upto_April23__1___1[Date]=EDATE($A29,-12))*
              (All_India_Index_Upto_April23__1___1[Sector]="Rural+Urban"),0)),
    INDEX(All_India_Index_Upto_April23__1___1[Egg],
      MATCH(1,(All_India_Index_Upto_April23__1___1[Date]=EDATE($A29,-12))*
              (All_India_Index_Upto_April23__1___1[Sector]="Rural+Urban"),0)),
    INDEX(All_India_Index_Upto_April23__1___1[Milk and products],
      MATCH(1,(All_India_Index_Upto_April23__1___1[Date]=EDATE($A29,-12))*
              (All_India_Index_Upto_April23__1___1[Sector]="Rural+Urban"),0)),
    INDEX(All_India_Index_Upto_April23__1___1[Oils and fats],
      MATCH(1,(All_India_Index_Upto_April23__1___1[Date]=EDATE($A29,-12))*
              (All_India_Index_Upto_April23__1___1[Sector]="Rural+Urban"),0)),
    INDEX(All_India_Index_Upto_April23__1___1[Fruits],
      MATCH(1,(All_India_Index_Upto_April23__1___1[Date]=EDATE($A29,-12))*
              (All_India_Index_Upto_April23__1___1[Sector]="Rural+Urban"),0)),
    INDEX(All_India_Index_Upto_April23__1___1[Vegetables],
      MATCH(1,(All_India_Index_Upto_April23__1___1[Date]=EDATE($A29,-12))*
              (All_India_Index_Upto_April23__1___1[Sector]="Rural+Urban"),0)),
    INDEX(All_India_Index_Upto_April23__1___1[Pulses and products],
      MATCH(1,(All_India_Index_Upto_April23__1___1[Date]=EDATE($A29,-12))*
              (All_India_Index_Upto_April23__1___1[Sector]="Rural+Urban"),0)),
    INDEX(All_India_Index_Upto_April23__1___1[Sugar and Confectionery],
      MATCH(1,(All_India_Index_Upto_April23__1___1[Date]=EDATE($A29,-12))*
              (All_India_Index_Upto_April23__1___1[Sector]="Rural+Urban"),0)),
    INDEX(All_India_Index_Upto_April23__1___1[Spices],
      MATCH(1,(All_India_Index_Upto_April23__1___1[Date]=EDATE($A29,-12))*
              (All_India_Index_Upto_April23__1___1[Sector]="Rural+Urban"),0)),
    INDEX(All_India_Index_Upto_April23__1___1[Non-alcoholic beverages],
      MATCH(1,(All_India_Index_Upto_April23__1___1[Date]=EDATE($A29,-12))*
              (All_India_Index_Upto_April23__1___1[Sector]="Rural+Urban"),0)),
    INDEX(All_India_Index_Upto_April23__1___1[Prepared meals, snacks, sweets etc.],
      MATCH(1,(All_India_Index_Upto_April23__1___1[Date]=EDATE($A29,-12))*
              (All_India_Index_Upto_April23__1___1[Sector]="Rural+Urban"),0))
  ),
"")</f>
        <v>135.14166666666668</v>
      </c>
      <c r="Q29" s="8">
        <f t="shared" si="2"/>
        <v>1.8067460072763119E-2</v>
      </c>
      <c r="R29" t="str">
        <f t="shared" si="3"/>
        <v>Pre-COVID</v>
      </c>
      <c r="T29" s="2" cm="1">
        <f t="array" ref="T29">IFERROR(
  INDEX(
    All_India_Index_Upto_April23__1___1[Health],
    MATCH(
      1,
      (All_India_Index_Upto_April23__1___1[Date]=$A29) *
      (All_India_Index_Upto_April23__1___1[Sector]="Rural+Urban"),
      0
    )
  ),
"")</f>
        <v>146.9</v>
      </c>
      <c r="U29" s="2" cm="1">
        <f t="array" ref="U29">IFERROR(
  INDEX(
    All_India_Index_Upto_April23__1___1[Health],
    MATCH(
      1,
      (All_India_Index_Upto_April23__1___1[Date]=EDATE($A29,-12)) *
      (All_India_Index_Upto_April23__1___1[Sector]="Rural+Urban"),
      0
    )
  ),
"")</f>
        <v>136</v>
      </c>
      <c r="V29" s="8">
        <f t="shared" si="4"/>
        <v>8.014705882352946E-2</v>
      </c>
      <c r="W29" t="str">
        <f t="shared" si="5"/>
        <v>Pre-COVID</v>
      </c>
      <c r="Y29" s="2" cm="1">
        <f t="array" ref="Y29">IFERROR(
  AVERAGE(
    INDEX(All_India_Index_Upto_April23__1___1[Pan, tobacco and intoxicants],
      MATCH(1,(All_India_Index_Upto_April23__1___1[Date]=$A29)*
              (All_India_Index_Upto_April23__1___1[Sector]="Rural+Urban"),0)),
    INDEX(All_India_Index_Upto_April23__1___1[Clothing],
      MATCH(1,(All_India_Index_Upto_April23__1___1[Date]=$A29)*
              (All_India_Index_Upto_April23__1___1[Sector]="Rural+Urban"),0)),
    INDEX(All_India_Index_Upto_April23__1___1[Footwear],
      MATCH(1,(All_India_Index_Upto_April23__1___1[Date]=$A29)*
              (All_India_Index_Upto_April23__1___1[Sector]="Rural+Urban"),0)),
    INDEX(All_India_Index_Upto_April23__1___1[Clothing and footwear],
      MATCH(1,(All_India_Index_Upto_April23__1___1[Date]=$A29)*
              (All_India_Index_Upto_April23__1___1[Sector]="Rural+Urban"),0)),
    INDEX(All_India_Index_Upto_April23__1___1[Housing],
      MATCH(1,(All_India_Index_Upto_April23__1___1[Date]=$A29)*
              (All_India_Index_Upto_April23__1___1[Sector]="Rural+Urban"),0)),
    INDEX(All_India_Index_Upto_April23__1___1[Fuel and light],
      MATCH(1,(All_India_Index_Upto_April23__1___1[Date]=$A29)*
              (All_India_Index_Upto_April23__1___1[Sector]="Rural+Urban"),0)),
    INDEX(All_India_Index_Upto_April23__1___1[Household goods and services],
      MATCH(1,(All_India_Index_Upto_April23__1___1[Date]=$A29)*
              (All_India_Index_Upto_April23__1___1[Sector]="Rural+Urban"),0)),
    INDEX(All_India_Index_Upto_April23__1___1[Health],
      MATCH(1,(All_India_Index_Upto_April23__1___1[Date]=$A29)*
              (All_India_Index_Upto_April23__1___1[Sector]="Rural+Urban"),0)),
    INDEX(All_India_Index_Upto_April23__1___1[Transport and communication],
      MATCH(1,(All_India_Index_Upto_April23__1___1[Date]=$A29)*
              (All_India_Index_Upto_April23__1___1[Sector]="Rural+Urban"),0)),
    INDEX(All_India_Index_Upto_April23__1___1[Recreation and amusement],
      MATCH(1,(All_India_Index_Upto_April23__1___1[Date]=$A29)*
              (All_India_Index_Upto_April23__1___1[Sector]="Rural+Urban"),0)),
    INDEX(All_India_Index_Upto_April23__1___1[Education],
      MATCH(1,(All_India_Index_Upto_April23__1___1[Date]=$A29)*
              (All_India_Index_Upto_April23__1___1[Sector]="Rural+Urban"),0)),
    INDEX(All_India_Index_Upto_April23__1___1[Personal care and effects],
      MATCH(1,(All_India_Index_Upto_April23__1___1[Date]=$A29)*
              (All_India_Index_Upto_April23__1___1[Sector]="Rural+Urban"),0)),
    INDEX(All_India_Index_Upto_April23__1___1[Miscellaneous],
      MATCH(1,(All_India_Index_Upto_April23__1___1[Date]=$A29)*
              (All_India_Index_Upto_April23__1___1[Sector]="Rural+Urban"),0))
  ),
"")</f>
        <v>143.20000000000002</v>
      </c>
      <c r="Z29" s="2" cm="1">
        <f t="array" ref="Z29">IFERROR(
  AVERAGE(
    INDEX(All_India_Index_Upto_April23__1___1[Pan, tobacco and intoxicants],
      MATCH(1,(All_India_Index_Upto_April23__1___1[Date]=EDATE($A29,-12))*
              (All_India_Index_Upto_April23__1___1[Sector]="Rural+Urban"),0)),
    INDEX(All_India_Index_Upto_April23__1___1[Clothing],
      MATCH(1,(All_India_Index_Upto_April23__1___1[Date]=EDATE($A29,-12))*
              (All_India_Index_Upto_April23__1___1[Sector]="Rural+Urban"),0)),
    INDEX(All_India_Index_Upto_April23__1___1[Footwear],
      MATCH(1,(All_India_Index_Upto_April23__1___1[Date]=EDATE($A29,-12))*
              (All_India_Index_Upto_April23__1___1[Sector]="Rural+Urban"),0)),
    INDEX(All_India_Index_Upto_April23__1___1[Clothing and footwear],
      MATCH(1,(All_India_Index_Upto_April23__1___1[Date]=EDATE($A29,-12))*
              (All_India_Index_Upto_April23__1___1[Sector]="Rural+Urban"),0)),
    INDEX(All_India_Index_Upto_April23__1___1[Housing],
      MATCH(1,(All_India_Index_Upto_April23__1___1[Date]=EDATE($A29,-12))*
              (All_India_Index_Upto_April23__1___1[Sector]="Rural+Urban"),0)),
    INDEX(All_India_Index_Upto_April23__1___1[Fuel and light],
      MATCH(1,(All_India_Index_Upto_April23__1___1[Date]=EDATE($A29,-12))*
              (All_India_Index_Upto_April23__1___1[Sector]="Rural+Urban"),0)),
    INDEX(All_India_Index_Upto_April23__1___1[Household goods and services],
      MATCH(1,(All_India_Index_Upto_April23__1___1[Date]=EDATE($A29,-12))*
              (All_India_Index_Upto_April23__1___1[Sector]="Rural+Urban"),0)),
    INDEX(All_India_Index_Upto_April23__1___1[Health],
      MATCH(1,(All_India_Index_Upto_April23__1___1[Date]=EDATE($A29,-12))*
              (All_India_Index_Upto_April23__1___1[Sector]="Rural+Urban"),0)),
    INDEX(All_India_Index_Upto_April23__1___1[Transport and communication],
      MATCH(1,(All_India_Index_Upto_April23__1___1[Date]=EDATE($A29,-12))*
              (All_India_Index_Upto_April23__1___1[Sector]="Rural+Urban"),0)),
    INDEX(All_India_Index_Upto_April23__1___1[Recreation and amusement],
      MATCH(1,(All_India_Index_Upto_April23__1___1[Date]=EDATE($A29,-12))*
              (All_India_Index_Upto_April23__1___1[Sector]="Rural+Urban"),0)),
    INDEX(All_India_Index_Upto_April23__1___1[Education],
      MATCH(1,(All_India_Index_Upto_April23__1___1[Date]=EDATE($A29,-12))*
              (All_India_Index_Upto_April23__1___1[Sector]="Rural+Urban"),0)),
    INDEX(All_India_Index_Upto_April23__1___1[Personal care and effects],
      MATCH(1,(All_India_Index_Upto_April23__1___1[Date]=EDATE($A29,-12))*
              (All_India_Index_Upto_April23__1___1[Sector]="Rural+Urban"),0)),
    INDEX(All_India_Index_Upto_April23__1___1[Miscellaneous],
      MATCH(1,(All_India_Index_Upto_April23__1___1[Date]=EDATE($A29,-12))*
              (All_India_Index_Upto_April23__1___1[Sector]="Rural+Urban"),0))
  ),
"")</f>
        <v>137.92499999999998</v>
      </c>
      <c r="AA29" s="8">
        <f t="shared" si="6"/>
        <v>3.824542323726688E-2</v>
      </c>
      <c r="AB29" t="str">
        <f t="shared" si="7"/>
        <v>Pre-COVID</v>
      </c>
    </row>
    <row r="30" spans="1:28" x14ac:dyDescent="0.2">
      <c r="A30" s="22">
        <v>43617</v>
      </c>
      <c r="B30">
        <v>2019</v>
      </c>
      <c r="C30" t="s">
        <v>41</v>
      </c>
      <c r="D30" s="2" cm="1">
        <f t="array" ref="D30">IFERROR(
  INDEX(
    All_India_Index_Upto_April23__1___1[General index],
    MATCH(
      1,
      (All_India_Index_Upto_April23__1___1[Sector]="Rural+Urban") *
      (All_India_Index_Upto_April23__1___1[Date]=A30),
      0
    )
  ),
"")</f>
        <v>142.9</v>
      </c>
      <c r="E30" s="2" cm="1">
        <f t="array" ref="E30">IFERROR(
  INDEX(
    All_India_Index_Upto_April23__1___1[General index],
    MATCH(
      1,
      (All_India_Index_Upto_April23__1___1[Sector]="Rural+Urban") *
      (All_India_Index_Upto_April23__1___1[Date]=EDATE(A30,-12)),
      0
    )
  ),
"")</f>
        <v>138.5</v>
      </c>
      <c r="F30" s="8">
        <f t="shared" si="0"/>
        <v>3.1768953068592065E-2</v>
      </c>
      <c r="G30" t="str">
        <f t="shared" si="1"/>
        <v>Pre-COVID</v>
      </c>
      <c r="O30" s="2" cm="1">
        <f t="array" ref="O30">IFERROR(
  AVERAGE(
    INDEX(All_India_Index_Upto_April23__1___1[Cereals and products],
      MATCH(1,(All_India_Index_Upto_April23__1___1[Date]=$A30)*
              (All_India_Index_Upto_April23__1___1[Sector]="Rural+Urban"),0)),
    INDEX(All_India_Index_Upto_April23__1___1[Meat and fish],
      MATCH(1,(All_India_Index_Upto_April23__1___1[Date]=$A30)*
              (All_India_Index_Upto_April23__1___1[Sector]="Rural+Urban"),0)),
    INDEX(All_India_Index_Upto_April23__1___1[Egg],
      MATCH(1,(All_India_Index_Upto_April23__1___1[Date]=$A30)*
              (All_India_Index_Upto_April23__1___1[Sector]="Rural+Urban"),0)),
    INDEX(All_India_Index_Upto_April23__1___1[Milk and products],
      MATCH(1,(All_India_Index_Upto_April23__1___1[Date]=$A30)*
              (All_India_Index_Upto_April23__1___1[Sector]="Rural+Urban"),0)),
    INDEX(All_India_Index_Upto_April23__1___1[Oils and fats],
      MATCH(1,(All_India_Index_Upto_April23__1___1[Date]=$A30)*
              (All_India_Index_Upto_April23__1___1[Sector]="Rural+Urban"),0)),
    INDEX(All_India_Index_Upto_April23__1___1[Fruits],
      MATCH(1,(All_India_Index_Upto_April23__1___1[Date]=$A30)*
              (All_India_Index_Upto_April23__1___1[Sector]="Rural+Urban"),0)),
    INDEX(All_India_Index_Upto_April23__1___1[Vegetables],
      MATCH(1,(All_India_Index_Upto_April23__1___1[Date]=$A30)*
              (All_India_Index_Upto_April23__1___1[Sector]="Rural+Urban"),0)),
    INDEX(All_India_Index_Upto_April23__1___1[Pulses and products],
      MATCH(1,(All_India_Index_Upto_April23__1___1[Date]=$A30)*
              (All_India_Index_Upto_April23__1___1[Sector]="Rural+Urban"),0)),
    INDEX(All_India_Index_Upto_April23__1___1[Sugar and Confectionery],
      MATCH(1,(All_India_Index_Upto_April23__1___1[Date]=$A30)*
              (All_India_Index_Upto_April23__1___1[Sector]="Rural+Urban"),0)),
    INDEX(All_India_Index_Upto_April23__1___1[Spices],
      MATCH(1,(All_India_Index_Upto_April23__1___1[Date]=$A30)*
              (All_India_Index_Upto_April23__1___1[Sector]="Rural+Urban"),0)),
    INDEX(All_India_Index_Upto_April23__1___1[Non-alcoholic beverages],
      MATCH(1,(All_India_Index_Upto_April23__1___1[Date]=$A30)*
              (All_India_Index_Upto_April23__1___1[Sector]="Rural+Urban"),0)),
    INDEX(All_India_Index_Upto_April23__1___1[Prepared meals, snacks, sweets etc.],
      MATCH(1,(All_India_Index_Upto_April23__1___1[Date]=$A30)*
              (All_India_Index_Upto_April23__1___1[Sector]="Rural+Urban"),0))
  ),
"")</f>
        <v>139.28333333333333</v>
      </c>
      <c r="P30" s="2" cm="1">
        <f t="array" ref="P30">IFERROR(
  AVERAGE(
    INDEX(All_India_Index_Upto_April23__1___1[Cereals and products],
      MATCH(1,(All_India_Index_Upto_April23__1___1[Date]=EDATE($A30,-12))*
              (All_India_Index_Upto_April23__1___1[Sector]="Rural+Urban"),0)),
    INDEX(All_India_Index_Upto_April23__1___1[Meat and fish],
      MATCH(1,(All_India_Index_Upto_April23__1___1[Date]=EDATE($A30,-12))*
              (All_India_Index_Upto_April23__1___1[Sector]="Rural+Urban"),0)),
    INDEX(All_India_Index_Upto_April23__1___1[Egg],
      MATCH(1,(All_India_Index_Upto_April23__1___1[Date]=EDATE($A30,-12))*
              (All_India_Index_Upto_April23__1___1[Sector]="Rural+Urban"),0)),
    INDEX(All_India_Index_Upto_April23__1___1[Milk and products],
      MATCH(1,(All_India_Index_Upto_April23__1___1[Date]=EDATE($A30,-12))*
              (All_India_Index_Upto_April23__1___1[Sector]="Rural+Urban"),0)),
    INDEX(All_India_Index_Upto_April23__1___1[Oils and fats],
      MATCH(1,(All_India_Index_Upto_April23__1___1[Date]=EDATE($A30,-12))*
              (All_India_Index_Upto_April23__1___1[Sector]="Rural+Urban"),0)),
    INDEX(All_India_Index_Upto_April23__1___1[Fruits],
      MATCH(1,(All_India_Index_Upto_April23__1___1[Date]=EDATE($A30,-12))*
              (All_India_Index_Upto_April23__1___1[Sector]="Rural+Urban"),0)),
    INDEX(All_India_Index_Upto_April23__1___1[Vegetables],
      MATCH(1,(All_India_Index_Upto_April23__1___1[Date]=EDATE($A30,-12))*
              (All_India_Index_Upto_April23__1___1[Sector]="Rural+Urban"),0)),
    INDEX(All_India_Index_Upto_April23__1___1[Pulses and products],
      MATCH(1,(All_India_Index_Upto_April23__1___1[Date]=EDATE($A30,-12))*
              (All_India_Index_Upto_April23__1___1[Sector]="Rural+Urban"),0)),
    INDEX(All_India_Index_Upto_April23__1___1[Sugar and Confectionery],
      MATCH(1,(All_India_Index_Upto_April23__1___1[Date]=EDATE($A30,-12))*
              (All_India_Index_Upto_April23__1___1[Sector]="Rural+Urban"),0)),
    INDEX(All_India_Index_Upto_April23__1___1[Spices],
      MATCH(1,(All_India_Index_Upto_April23__1___1[Date]=EDATE($A30,-12))*
              (All_India_Index_Upto_April23__1___1[Sector]="Rural+Urban"),0)),
    INDEX(All_India_Index_Upto_April23__1___1[Non-alcoholic beverages],
      MATCH(1,(All_India_Index_Upto_April23__1___1[Date]=EDATE($A30,-12))*
              (All_India_Index_Upto_April23__1___1[Sector]="Rural+Urban"),0)),
    INDEX(All_India_Index_Upto_April23__1___1[Prepared meals, snacks, sweets etc.],
      MATCH(1,(All_India_Index_Upto_April23__1___1[Date]=EDATE($A30,-12))*
              (All_India_Index_Upto_April23__1___1[Sector]="Rural+Urban"),0))
  ),
"")</f>
        <v>136.22499999999999</v>
      </c>
      <c r="Q30" s="8">
        <f t="shared" si="2"/>
        <v>2.2450602557044133E-2</v>
      </c>
      <c r="R30" t="str">
        <f t="shared" si="3"/>
        <v>Pre-COVID</v>
      </c>
      <c r="T30" s="2" cm="1">
        <f t="array" ref="T30">IFERROR(
  INDEX(
    All_India_Index_Upto_April23__1___1[Health],
    MATCH(
      1,
      (All_India_Index_Upto_April23__1___1[Date]=$A30) *
      (All_India_Index_Upto_April23__1___1[Sector]="Rural+Urban"),
      0
    )
  ),
"")</f>
        <v>147.4</v>
      </c>
      <c r="U30" s="2" cm="1">
        <f t="array" ref="U30">IFERROR(
  INDEX(
    All_India_Index_Upto_April23__1___1[Health],
    MATCH(
      1,
      (All_India_Index_Upto_April23__1___1[Date]=EDATE($A30,-12)) *
      (All_India_Index_Upto_April23__1___1[Sector]="Rural+Urban"),
      0
    )
  ),
"")</f>
        <v>136.19999999999999</v>
      </c>
      <c r="V30" s="8">
        <f t="shared" si="4"/>
        <v>8.2232011747430375E-2</v>
      </c>
      <c r="W30" t="str">
        <f t="shared" si="5"/>
        <v>Pre-COVID</v>
      </c>
      <c r="Y30" s="2" cm="1">
        <f t="array" ref="Y30">IFERROR(
  AVERAGE(
    INDEX(All_India_Index_Upto_April23__1___1[Pan, tobacco and intoxicants],
      MATCH(1,(All_India_Index_Upto_April23__1___1[Date]=$A30)*
              (All_India_Index_Upto_April23__1___1[Sector]="Rural+Urban"),0)),
    INDEX(All_India_Index_Upto_April23__1___1[Clothing],
      MATCH(1,(All_India_Index_Upto_April23__1___1[Date]=$A30)*
              (All_India_Index_Upto_April23__1___1[Sector]="Rural+Urban"),0)),
    INDEX(All_India_Index_Upto_April23__1___1[Footwear],
      MATCH(1,(All_India_Index_Upto_April23__1___1[Date]=$A30)*
              (All_India_Index_Upto_April23__1___1[Sector]="Rural+Urban"),0)),
    INDEX(All_India_Index_Upto_April23__1___1[Clothing and footwear],
      MATCH(1,(All_India_Index_Upto_April23__1___1[Date]=$A30)*
              (All_India_Index_Upto_April23__1___1[Sector]="Rural+Urban"),0)),
    INDEX(All_India_Index_Upto_April23__1___1[Housing],
      MATCH(1,(All_India_Index_Upto_April23__1___1[Date]=$A30)*
              (All_India_Index_Upto_April23__1___1[Sector]="Rural+Urban"),0)),
    INDEX(All_India_Index_Upto_April23__1___1[Fuel and light],
      MATCH(1,(All_India_Index_Upto_April23__1___1[Date]=$A30)*
              (All_India_Index_Upto_April23__1___1[Sector]="Rural+Urban"),0)),
    INDEX(All_India_Index_Upto_April23__1___1[Household goods and services],
      MATCH(1,(All_India_Index_Upto_April23__1___1[Date]=$A30)*
              (All_India_Index_Upto_April23__1___1[Sector]="Rural+Urban"),0)),
    INDEX(All_India_Index_Upto_April23__1___1[Health],
      MATCH(1,(All_India_Index_Upto_April23__1___1[Date]=$A30)*
              (All_India_Index_Upto_April23__1___1[Sector]="Rural+Urban"),0)),
    INDEX(All_India_Index_Upto_April23__1___1[Transport and communication],
      MATCH(1,(All_India_Index_Upto_April23__1___1[Date]=$A30)*
              (All_India_Index_Upto_April23__1___1[Sector]="Rural+Urban"),0)),
    INDEX(All_India_Index_Upto_April23__1___1[Recreation and amusement],
      MATCH(1,(All_India_Index_Upto_April23__1___1[Date]=$A30)*
              (All_India_Index_Upto_April23__1___1[Sector]="Rural+Urban"),0)),
    INDEX(All_India_Index_Upto_April23__1___1[Education],
      MATCH(1,(All_India_Index_Upto_April23__1___1[Date]=$A30)*
              (All_India_Index_Upto_April23__1___1[Sector]="Rural+Urban"),0)),
    INDEX(All_India_Index_Upto_April23__1___1[Personal care and effects],
      MATCH(1,(All_India_Index_Upto_April23__1___1[Date]=$A30)*
              (All_India_Index_Upto_April23__1___1[Sector]="Rural+Urban"),0)),
    INDEX(All_India_Index_Upto_April23__1___1[Miscellaneous],
      MATCH(1,(All_India_Index_Upto_April23__1___1[Date]=$A30)*
              (All_India_Index_Upto_April23__1___1[Sector]="Rural+Urban"),0))
  ),
"")</f>
        <v>143.60833333333332</v>
      </c>
      <c r="Z30" s="2" cm="1">
        <f t="array" ref="Z30">IFERROR(
  AVERAGE(
    INDEX(All_India_Index_Upto_April23__1___1[Pan, tobacco and intoxicants],
      MATCH(1,(All_India_Index_Upto_April23__1___1[Date]=EDATE($A30,-12))*
              (All_India_Index_Upto_April23__1___1[Sector]="Rural+Urban"),0)),
    INDEX(All_India_Index_Upto_April23__1___1[Clothing],
      MATCH(1,(All_India_Index_Upto_April23__1___1[Date]=EDATE($A30,-12))*
              (All_India_Index_Upto_April23__1___1[Sector]="Rural+Urban"),0)),
    INDEX(All_India_Index_Upto_April23__1___1[Footwear],
      MATCH(1,(All_India_Index_Upto_April23__1___1[Date]=EDATE($A30,-12))*
              (All_India_Index_Upto_April23__1___1[Sector]="Rural+Urban"),0)),
    INDEX(All_India_Index_Upto_April23__1___1[Clothing and footwear],
      MATCH(1,(All_India_Index_Upto_April23__1___1[Date]=EDATE($A30,-12))*
              (All_India_Index_Upto_April23__1___1[Sector]="Rural+Urban"),0)),
    INDEX(All_India_Index_Upto_April23__1___1[Housing],
      MATCH(1,(All_India_Index_Upto_April23__1___1[Date]=EDATE($A30,-12))*
              (All_India_Index_Upto_April23__1___1[Sector]="Rural+Urban"),0)),
    INDEX(All_India_Index_Upto_April23__1___1[Fuel and light],
      MATCH(1,(All_India_Index_Upto_April23__1___1[Date]=EDATE($A30,-12))*
              (All_India_Index_Upto_April23__1___1[Sector]="Rural+Urban"),0)),
    INDEX(All_India_Index_Upto_April23__1___1[Household goods and services],
      MATCH(1,(All_India_Index_Upto_April23__1___1[Date]=EDATE($A30,-12))*
              (All_India_Index_Upto_April23__1___1[Sector]="Rural+Urban"),0)),
    INDEX(All_India_Index_Upto_April23__1___1[Health],
      MATCH(1,(All_India_Index_Upto_April23__1___1[Date]=EDATE($A30,-12))*
              (All_India_Index_Upto_April23__1___1[Sector]="Rural+Urban"),0)),
    INDEX(All_India_Index_Upto_April23__1___1[Transport and communication],
      MATCH(1,(All_India_Index_Upto_April23__1___1[Date]=EDATE($A30,-12))*
              (All_India_Index_Upto_April23__1___1[Sector]="Rural+Urban"),0)),
    INDEX(All_India_Index_Upto_April23__1___1[Recreation and amusement],
      MATCH(1,(All_India_Index_Upto_April23__1___1[Date]=EDATE($A30,-12))*
              (All_India_Index_Upto_April23__1___1[Sector]="Rural+Urban"),0)),
    INDEX(All_India_Index_Upto_April23__1___1[Education],
      MATCH(1,(All_India_Index_Upto_April23__1___1[Date]=EDATE($A30,-12))*
              (All_India_Index_Upto_April23__1___1[Sector]="Rural+Urban"),0)),
    INDEX(All_India_Index_Upto_April23__1___1[Personal care and effects],
      MATCH(1,(All_India_Index_Upto_April23__1___1[Date]=EDATE($A30,-12))*
              (All_India_Index_Upto_April23__1___1[Sector]="Rural+Urban"),0)),
    INDEX(All_India_Index_Upto_April23__1___1[Miscellaneous],
      MATCH(1,(All_India_Index_Upto_April23__1___1[Date]=EDATE($A30,-12))*
              (All_India_Index_Upto_April23__1___1[Sector]="Rural+Urban"),0))
  ),
"")</f>
        <v>138.49999999999997</v>
      </c>
      <c r="AA30" s="8">
        <f t="shared" si="6"/>
        <v>3.688327316486173E-2</v>
      </c>
      <c r="AB30" t="str">
        <f t="shared" si="7"/>
        <v>Pre-COVID</v>
      </c>
    </row>
    <row r="31" spans="1:28" x14ac:dyDescent="0.2">
      <c r="A31" s="22">
        <v>43647</v>
      </c>
      <c r="B31">
        <v>2019</v>
      </c>
      <c r="C31" t="s">
        <v>43</v>
      </c>
      <c r="D31" s="2" cm="1">
        <f t="array" ref="D31">IFERROR(
  INDEX(
    All_India_Index_Upto_April23__1___1[General index],
    MATCH(
      1,
      (All_India_Index_Upto_April23__1___1[Sector]="Rural+Urban") *
      (All_India_Index_Upto_April23__1___1[Date]=A31),
      0
    )
  ),
"")</f>
        <v>144.19999999999999</v>
      </c>
      <c r="E31" s="2" cm="1">
        <f t="array" ref="E31">IFERROR(
  INDEX(
    All_India_Index_Upto_April23__1___1[General index],
    MATCH(
      1,
      (All_India_Index_Upto_April23__1___1[Sector]="Rural+Urban") *
      (All_India_Index_Upto_April23__1___1[Date]=EDATE(A31,-12)),
      0
    )
  ),
"")</f>
        <v>139.80000000000001</v>
      </c>
      <c r="F31" s="8">
        <f t="shared" si="0"/>
        <v>3.1473533619456262E-2</v>
      </c>
      <c r="G31" t="str">
        <f t="shared" si="1"/>
        <v>Pre-COVID</v>
      </c>
      <c r="O31" s="2" cm="1">
        <f t="array" ref="O31">IFERROR(
  AVERAGE(
    INDEX(All_India_Index_Upto_April23__1___1[Cereals and products],
      MATCH(1,(All_India_Index_Upto_April23__1___1[Date]=$A31)*
              (All_India_Index_Upto_April23__1___1[Sector]="Rural+Urban"),0)),
    INDEX(All_India_Index_Upto_April23__1___1[Meat and fish],
      MATCH(1,(All_India_Index_Upto_April23__1___1[Date]=$A31)*
              (All_India_Index_Upto_April23__1___1[Sector]="Rural+Urban"),0)),
    INDEX(All_India_Index_Upto_April23__1___1[Egg],
      MATCH(1,(All_India_Index_Upto_April23__1___1[Date]=$A31)*
              (All_India_Index_Upto_April23__1___1[Sector]="Rural+Urban"),0)),
    INDEX(All_India_Index_Upto_April23__1___1[Milk and products],
      MATCH(1,(All_India_Index_Upto_April23__1___1[Date]=$A31)*
              (All_India_Index_Upto_April23__1___1[Sector]="Rural+Urban"),0)),
    INDEX(All_India_Index_Upto_April23__1___1[Oils and fats],
      MATCH(1,(All_India_Index_Upto_April23__1___1[Date]=$A31)*
              (All_India_Index_Upto_April23__1___1[Sector]="Rural+Urban"),0)),
    INDEX(All_India_Index_Upto_April23__1___1[Fruits],
      MATCH(1,(All_India_Index_Upto_April23__1___1[Date]=$A31)*
              (All_India_Index_Upto_April23__1___1[Sector]="Rural+Urban"),0)),
    INDEX(All_India_Index_Upto_April23__1___1[Vegetables],
      MATCH(1,(All_India_Index_Upto_April23__1___1[Date]=$A31)*
              (All_India_Index_Upto_April23__1___1[Sector]="Rural+Urban"),0)),
    INDEX(All_India_Index_Upto_April23__1___1[Pulses and products],
      MATCH(1,(All_India_Index_Upto_April23__1___1[Date]=$A31)*
              (All_India_Index_Upto_April23__1___1[Sector]="Rural+Urban"),0)),
    INDEX(All_India_Index_Upto_April23__1___1[Sugar and Confectionery],
      MATCH(1,(All_India_Index_Upto_April23__1___1[Date]=$A31)*
              (All_India_Index_Upto_April23__1___1[Sector]="Rural+Urban"),0)),
    INDEX(All_India_Index_Upto_April23__1___1[Spices],
      MATCH(1,(All_India_Index_Upto_April23__1___1[Date]=$A31)*
              (All_India_Index_Upto_April23__1___1[Sector]="Rural+Urban"),0)),
    INDEX(All_India_Index_Upto_April23__1___1[Non-alcoholic beverages],
      MATCH(1,(All_India_Index_Upto_April23__1___1[Date]=$A31)*
              (All_India_Index_Upto_April23__1___1[Sector]="Rural+Urban"),0)),
    INDEX(All_India_Index_Upto_April23__1___1[Prepared meals, snacks, sweets etc.],
      MATCH(1,(All_India_Index_Upto_April23__1___1[Date]=$A31)*
              (All_India_Index_Upto_April23__1___1[Sector]="Rural+Urban"),0))
  ),
"")</f>
        <v>141.06666666666666</v>
      </c>
      <c r="P31" s="2" cm="1">
        <f t="array" ref="P31">IFERROR(
  AVERAGE(
    INDEX(All_India_Index_Upto_April23__1___1[Cereals and products],
      MATCH(1,(All_India_Index_Upto_April23__1___1[Date]=EDATE($A31,-12))*
              (All_India_Index_Upto_April23__1___1[Sector]="Rural+Urban"),0)),
    INDEX(All_India_Index_Upto_April23__1___1[Meat and fish],
      MATCH(1,(All_India_Index_Upto_April23__1___1[Date]=EDATE($A31,-12))*
              (All_India_Index_Upto_April23__1___1[Sector]="Rural+Urban"),0)),
    INDEX(All_India_Index_Upto_April23__1___1[Egg],
      MATCH(1,(All_India_Index_Upto_April23__1___1[Date]=EDATE($A31,-12))*
              (All_India_Index_Upto_April23__1___1[Sector]="Rural+Urban"),0)),
    INDEX(All_India_Index_Upto_April23__1___1[Milk and products],
      MATCH(1,(All_India_Index_Upto_April23__1___1[Date]=EDATE($A31,-12))*
              (All_India_Index_Upto_April23__1___1[Sector]="Rural+Urban"),0)),
    INDEX(All_India_Index_Upto_April23__1___1[Oils and fats],
      MATCH(1,(All_India_Index_Upto_April23__1___1[Date]=EDATE($A31,-12))*
              (All_India_Index_Upto_April23__1___1[Sector]="Rural+Urban"),0)),
    INDEX(All_India_Index_Upto_April23__1___1[Fruits],
      MATCH(1,(All_India_Index_Upto_April23__1___1[Date]=EDATE($A31,-12))*
              (All_India_Index_Upto_April23__1___1[Sector]="Rural+Urban"),0)),
    INDEX(All_India_Index_Upto_April23__1___1[Vegetables],
      MATCH(1,(All_India_Index_Upto_April23__1___1[Date]=EDATE($A31,-12))*
              (All_India_Index_Upto_April23__1___1[Sector]="Rural+Urban"),0)),
    INDEX(All_India_Index_Upto_April23__1___1[Pulses and products],
      MATCH(1,(All_India_Index_Upto_April23__1___1[Date]=EDATE($A31,-12))*
              (All_India_Index_Upto_April23__1___1[Sector]="Rural+Urban"),0)),
    INDEX(All_India_Index_Upto_April23__1___1[Sugar and Confectionery],
      MATCH(1,(All_India_Index_Upto_April23__1___1[Date]=EDATE($A31,-12))*
              (All_India_Index_Upto_April23__1___1[Sector]="Rural+Urban"),0)),
    INDEX(All_India_Index_Upto_April23__1___1[Spices],
      MATCH(1,(All_India_Index_Upto_April23__1___1[Date]=EDATE($A31,-12))*
              (All_India_Index_Upto_April23__1___1[Sector]="Rural+Urban"),0)),
    INDEX(All_India_Index_Upto_April23__1___1[Non-alcoholic beverages],
      MATCH(1,(All_India_Index_Upto_April23__1___1[Date]=EDATE($A31,-12))*
              (All_India_Index_Upto_April23__1___1[Sector]="Rural+Urban"),0)),
    INDEX(All_India_Index_Upto_April23__1___1[Prepared meals, snacks, sweets etc.],
      MATCH(1,(All_India_Index_Upto_April23__1___1[Date]=EDATE($A31,-12))*
              (All_India_Index_Upto_April23__1___1[Sector]="Rural+Urban"),0))
  ),
"")</f>
        <v>137.82499999999999</v>
      </c>
      <c r="Q31" s="8">
        <f t="shared" si="2"/>
        <v>2.3520164459761832E-2</v>
      </c>
      <c r="R31" t="str">
        <f t="shared" si="3"/>
        <v>Pre-COVID</v>
      </c>
      <c r="T31" s="2" cm="1">
        <f t="array" ref="T31">IFERROR(
  INDEX(
    All_India_Index_Upto_April23__1___1[Health],
    MATCH(
      1,
      (All_India_Index_Upto_April23__1___1[Date]=$A31) *
      (All_India_Index_Upto_April23__1___1[Sector]="Rural+Urban"),
      0
    )
  ),
"")</f>
        <v>147.9</v>
      </c>
      <c r="U31" s="2" cm="1">
        <f t="array" ref="U31">IFERROR(
  INDEX(
    All_India_Index_Upto_April23__1___1[Health],
    MATCH(
      1,
      (All_India_Index_Upto_April23__1___1[Date]=EDATE($A31,-12)) *
      (All_India_Index_Upto_April23__1___1[Sector]="Rural+Urban"),
      0
    )
  ),
"")</f>
        <v>137</v>
      </c>
      <c r="V31" s="8">
        <f t="shared" si="4"/>
        <v>7.9562043795620485E-2</v>
      </c>
      <c r="W31" t="str">
        <f t="shared" si="5"/>
        <v>Pre-COVID</v>
      </c>
      <c r="Y31" s="2" cm="1">
        <f t="array" ref="Y31">IFERROR(
  AVERAGE(
    INDEX(All_India_Index_Upto_April23__1___1[Pan, tobacco and intoxicants],
      MATCH(1,(All_India_Index_Upto_April23__1___1[Date]=$A31)*
              (All_India_Index_Upto_April23__1___1[Sector]="Rural+Urban"),0)),
    INDEX(All_India_Index_Upto_April23__1___1[Clothing],
      MATCH(1,(All_India_Index_Upto_April23__1___1[Date]=$A31)*
              (All_India_Index_Upto_April23__1___1[Sector]="Rural+Urban"),0)),
    INDEX(All_India_Index_Upto_April23__1___1[Footwear],
      MATCH(1,(All_India_Index_Upto_April23__1___1[Date]=$A31)*
              (All_India_Index_Upto_April23__1___1[Sector]="Rural+Urban"),0)),
    INDEX(All_India_Index_Upto_April23__1___1[Clothing and footwear],
      MATCH(1,(All_India_Index_Upto_April23__1___1[Date]=$A31)*
              (All_India_Index_Upto_April23__1___1[Sector]="Rural+Urban"),0)),
    INDEX(All_India_Index_Upto_April23__1___1[Housing],
      MATCH(1,(All_India_Index_Upto_April23__1___1[Date]=$A31)*
              (All_India_Index_Upto_April23__1___1[Sector]="Rural+Urban"),0)),
    INDEX(All_India_Index_Upto_April23__1___1[Fuel and light],
      MATCH(1,(All_India_Index_Upto_April23__1___1[Date]=$A31)*
              (All_India_Index_Upto_April23__1___1[Sector]="Rural+Urban"),0)),
    INDEX(All_India_Index_Upto_April23__1___1[Household goods and services],
      MATCH(1,(All_India_Index_Upto_April23__1___1[Date]=$A31)*
              (All_India_Index_Upto_April23__1___1[Sector]="Rural+Urban"),0)),
    INDEX(All_India_Index_Upto_April23__1___1[Health],
      MATCH(1,(All_India_Index_Upto_April23__1___1[Date]=$A31)*
              (All_India_Index_Upto_April23__1___1[Sector]="Rural+Urban"),0)),
    INDEX(All_India_Index_Upto_April23__1___1[Transport and communication],
      MATCH(1,(All_India_Index_Upto_April23__1___1[Date]=$A31)*
              (All_India_Index_Upto_April23__1___1[Sector]="Rural+Urban"),0)),
    INDEX(All_India_Index_Upto_April23__1___1[Recreation and amusement],
      MATCH(1,(All_India_Index_Upto_April23__1___1[Date]=$A31)*
              (All_India_Index_Upto_April23__1___1[Sector]="Rural+Urban"),0)),
    INDEX(All_India_Index_Upto_April23__1___1[Education],
      MATCH(1,(All_India_Index_Upto_April23__1___1[Date]=$A31)*
              (All_India_Index_Upto_April23__1___1[Sector]="Rural+Urban"),0)),
    INDEX(All_India_Index_Upto_April23__1___1[Personal care and effects],
      MATCH(1,(All_India_Index_Upto_April23__1___1[Date]=$A31)*
              (All_India_Index_Upto_April23__1___1[Sector]="Rural+Urban"),0)),
    INDEX(All_India_Index_Upto_April23__1___1[Miscellaneous],
      MATCH(1,(All_India_Index_Upto_April23__1___1[Date]=$A31)*
              (All_India_Index_Upto_April23__1___1[Sector]="Rural+Urban"),0))
  ),
"")</f>
        <v>144.07500000000002</v>
      </c>
      <c r="Z31" s="2" cm="1">
        <f t="array" ref="Z31">IFERROR(
  AVERAGE(
    INDEX(All_India_Index_Upto_April23__1___1[Pan, tobacco and intoxicants],
      MATCH(1,(All_India_Index_Upto_April23__1___1[Date]=EDATE($A31,-12))*
              (All_India_Index_Upto_April23__1___1[Sector]="Rural+Urban"),0)),
    INDEX(All_India_Index_Upto_April23__1___1[Clothing],
      MATCH(1,(All_India_Index_Upto_April23__1___1[Date]=EDATE($A31,-12))*
              (All_India_Index_Upto_April23__1___1[Sector]="Rural+Urban"),0)),
    INDEX(All_India_Index_Upto_April23__1___1[Footwear],
      MATCH(1,(All_India_Index_Upto_April23__1___1[Date]=EDATE($A31,-12))*
              (All_India_Index_Upto_April23__1___1[Sector]="Rural+Urban"),0)),
    INDEX(All_India_Index_Upto_April23__1___1[Clothing and footwear],
      MATCH(1,(All_India_Index_Upto_April23__1___1[Date]=EDATE($A31,-12))*
              (All_India_Index_Upto_April23__1___1[Sector]="Rural+Urban"),0)),
    INDEX(All_India_Index_Upto_April23__1___1[Housing],
      MATCH(1,(All_India_Index_Upto_April23__1___1[Date]=EDATE($A31,-12))*
              (All_India_Index_Upto_April23__1___1[Sector]="Rural+Urban"),0)),
    INDEX(All_India_Index_Upto_April23__1___1[Fuel and light],
      MATCH(1,(All_India_Index_Upto_April23__1___1[Date]=EDATE($A31,-12))*
              (All_India_Index_Upto_April23__1___1[Sector]="Rural+Urban"),0)),
    INDEX(All_India_Index_Upto_April23__1___1[Household goods and services],
      MATCH(1,(All_India_Index_Upto_April23__1___1[Date]=EDATE($A31,-12))*
              (All_India_Index_Upto_April23__1___1[Sector]="Rural+Urban"),0)),
    INDEX(All_India_Index_Upto_April23__1___1[Health],
      MATCH(1,(All_India_Index_Upto_April23__1___1[Date]=EDATE($A31,-12))*
              (All_India_Index_Upto_April23__1___1[Sector]="Rural+Urban"),0)),
    INDEX(All_India_Index_Upto_April23__1___1[Transport and communication],
      MATCH(1,(All_India_Index_Upto_April23__1___1[Date]=EDATE($A31,-12))*
              (All_India_Index_Upto_April23__1___1[Sector]="Rural+Urban"),0)),
    INDEX(All_India_Index_Upto_April23__1___1[Recreation and amusement],
      MATCH(1,(All_India_Index_Upto_April23__1___1[Date]=EDATE($A31,-12))*
              (All_India_Index_Upto_April23__1___1[Sector]="Rural+Urban"),0)),
    INDEX(All_India_Index_Upto_April23__1___1[Education],
      MATCH(1,(All_India_Index_Upto_April23__1___1[Date]=EDATE($A31,-12))*
              (All_India_Index_Upto_April23__1___1[Sector]="Rural+Urban"),0)),
    INDEX(All_India_Index_Upto_April23__1___1[Personal care and effects],
      MATCH(1,(All_India_Index_Upto_April23__1___1[Date]=EDATE($A31,-12))*
              (All_India_Index_Upto_April23__1___1[Sector]="Rural+Urban"),0)),
    INDEX(All_India_Index_Upto_April23__1___1[Miscellaneous],
      MATCH(1,(All_India_Index_Upto_April23__1___1[Date]=EDATE($A31,-12))*
              (All_India_Index_Upto_April23__1___1[Sector]="Rural+Urban"),0))
  ),
"")</f>
        <v>139.02500000000001</v>
      </c>
      <c r="AA31" s="8">
        <f t="shared" si="6"/>
        <v>3.6324402085955845E-2</v>
      </c>
      <c r="AB31" t="str">
        <f t="shared" si="7"/>
        <v>Pre-COVID</v>
      </c>
    </row>
    <row r="32" spans="1:28" x14ac:dyDescent="0.2">
      <c r="A32" s="22">
        <v>43678</v>
      </c>
      <c r="B32">
        <v>2019</v>
      </c>
      <c r="C32" t="s">
        <v>45</v>
      </c>
      <c r="D32" s="2" cm="1">
        <f t="array" ref="D32">IFERROR(
  INDEX(
    All_India_Index_Upto_April23__1___1[General index],
    MATCH(
      1,
      (All_India_Index_Upto_April23__1___1[Sector]="Rural+Urban") *
      (All_India_Index_Upto_April23__1___1[Date]=A32),
      0
    )
  ),
"")</f>
        <v>145</v>
      </c>
      <c r="E32" s="2" cm="1">
        <f t="array" ref="E32">IFERROR(
  INDEX(
    All_India_Index_Upto_April23__1___1[General index],
    MATCH(
      1,
      (All_India_Index_Upto_April23__1___1[Sector]="Rural+Urban") *
      (All_India_Index_Upto_April23__1___1[Date]=EDATE(A32,-12)),
      0
    )
  ),
"")</f>
        <v>140.4</v>
      </c>
      <c r="F32" s="8">
        <f t="shared" si="0"/>
        <v>3.2763532763532721E-2</v>
      </c>
      <c r="G32" t="str">
        <f t="shared" si="1"/>
        <v>Pre-COVID</v>
      </c>
      <c r="O32" s="2" cm="1">
        <f t="array" ref="O32">IFERROR(
  AVERAGE(
    INDEX(All_India_Index_Upto_April23__1___1[Cereals and products],
      MATCH(1,(All_India_Index_Upto_April23__1___1[Date]=$A32)*
              (All_India_Index_Upto_April23__1___1[Sector]="Rural+Urban"),0)),
    INDEX(All_India_Index_Upto_April23__1___1[Meat and fish],
      MATCH(1,(All_India_Index_Upto_April23__1___1[Date]=$A32)*
              (All_India_Index_Upto_April23__1___1[Sector]="Rural+Urban"),0)),
    INDEX(All_India_Index_Upto_April23__1___1[Egg],
      MATCH(1,(All_India_Index_Upto_April23__1___1[Date]=$A32)*
              (All_India_Index_Upto_April23__1___1[Sector]="Rural+Urban"),0)),
    INDEX(All_India_Index_Upto_April23__1___1[Milk and products],
      MATCH(1,(All_India_Index_Upto_April23__1___1[Date]=$A32)*
              (All_India_Index_Upto_April23__1___1[Sector]="Rural+Urban"),0)),
    INDEX(All_India_Index_Upto_April23__1___1[Oils and fats],
      MATCH(1,(All_India_Index_Upto_April23__1___1[Date]=$A32)*
              (All_India_Index_Upto_April23__1___1[Sector]="Rural+Urban"),0)),
    INDEX(All_India_Index_Upto_April23__1___1[Fruits],
      MATCH(1,(All_India_Index_Upto_April23__1___1[Date]=$A32)*
              (All_India_Index_Upto_April23__1___1[Sector]="Rural+Urban"),0)),
    INDEX(All_India_Index_Upto_April23__1___1[Vegetables],
      MATCH(1,(All_India_Index_Upto_April23__1___1[Date]=$A32)*
              (All_India_Index_Upto_April23__1___1[Sector]="Rural+Urban"),0)),
    INDEX(All_India_Index_Upto_April23__1___1[Pulses and products],
      MATCH(1,(All_India_Index_Upto_April23__1___1[Date]=$A32)*
              (All_India_Index_Upto_April23__1___1[Sector]="Rural+Urban"),0)),
    INDEX(All_India_Index_Upto_April23__1___1[Sugar and Confectionery],
      MATCH(1,(All_India_Index_Upto_April23__1___1[Date]=$A32)*
              (All_India_Index_Upto_April23__1___1[Sector]="Rural+Urban"),0)),
    INDEX(All_India_Index_Upto_April23__1___1[Spices],
      MATCH(1,(All_India_Index_Upto_April23__1___1[Date]=$A32)*
              (All_India_Index_Upto_April23__1___1[Sector]="Rural+Urban"),0)),
    INDEX(All_India_Index_Upto_April23__1___1[Non-alcoholic beverages],
      MATCH(1,(All_India_Index_Upto_April23__1___1[Date]=$A32)*
              (All_India_Index_Upto_April23__1___1[Sector]="Rural+Urban"),0)),
    INDEX(All_India_Index_Upto_April23__1___1[Prepared meals, snacks, sweets etc.],
      MATCH(1,(All_India_Index_Upto_April23__1___1[Date]=$A32)*
              (All_India_Index_Upto_April23__1___1[Sector]="Rural+Urban"),0))
  ),
"")</f>
        <v>141.71666666666667</v>
      </c>
      <c r="P32" s="2" cm="1">
        <f t="array" ref="P32">IFERROR(
  AVERAGE(
    INDEX(All_India_Index_Upto_April23__1___1[Cereals and products],
      MATCH(1,(All_India_Index_Upto_April23__1___1[Date]=EDATE($A32,-12))*
              (All_India_Index_Upto_April23__1___1[Sector]="Rural+Urban"),0)),
    INDEX(All_India_Index_Upto_April23__1___1[Meat and fish],
      MATCH(1,(All_India_Index_Upto_April23__1___1[Date]=EDATE($A32,-12))*
              (All_India_Index_Upto_April23__1___1[Sector]="Rural+Urban"),0)),
    INDEX(All_India_Index_Upto_April23__1___1[Egg],
      MATCH(1,(All_India_Index_Upto_April23__1___1[Date]=EDATE($A32,-12))*
              (All_India_Index_Upto_April23__1___1[Sector]="Rural+Urban"),0)),
    INDEX(All_India_Index_Upto_April23__1___1[Milk and products],
      MATCH(1,(All_India_Index_Upto_April23__1___1[Date]=EDATE($A32,-12))*
              (All_India_Index_Upto_April23__1___1[Sector]="Rural+Urban"),0)),
    INDEX(All_India_Index_Upto_April23__1___1[Oils and fats],
      MATCH(1,(All_India_Index_Upto_April23__1___1[Date]=EDATE($A32,-12))*
              (All_India_Index_Upto_April23__1___1[Sector]="Rural+Urban"),0)),
    INDEX(All_India_Index_Upto_April23__1___1[Fruits],
      MATCH(1,(All_India_Index_Upto_April23__1___1[Date]=EDATE($A32,-12))*
              (All_India_Index_Upto_April23__1___1[Sector]="Rural+Urban"),0)),
    INDEX(All_India_Index_Upto_April23__1___1[Vegetables],
      MATCH(1,(All_India_Index_Upto_April23__1___1[Date]=EDATE($A32,-12))*
              (All_India_Index_Upto_April23__1___1[Sector]="Rural+Urban"),0)),
    INDEX(All_India_Index_Upto_April23__1___1[Pulses and products],
      MATCH(1,(All_India_Index_Upto_April23__1___1[Date]=EDATE($A32,-12))*
              (All_India_Index_Upto_April23__1___1[Sector]="Rural+Urban"),0)),
    INDEX(All_India_Index_Upto_April23__1___1[Sugar and Confectionery],
      MATCH(1,(All_India_Index_Upto_April23__1___1[Date]=EDATE($A32,-12))*
              (All_India_Index_Upto_April23__1___1[Sector]="Rural+Urban"),0)),
    INDEX(All_India_Index_Upto_April23__1___1[Spices],
      MATCH(1,(All_India_Index_Upto_April23__1___1[Date]=EDATE($A32,-12))*
              (All_India_Index_Upto_April23__1___1[Sector]="Rural+Urban"),0)),
    INDEX(All_India_Index_Upto_April23__1___1[Non-alcoholic beverages],
      MATCH(1,(All_India_Index_Upto_April23__1___1[Date]=EDATE($A32,-12))*
              (All_India_Index_Upto_April23__1___1[Sector]="Rural+Urban"),0)),
    INDEX(All_India_Index_Upto_April23__1___1[Prepared meals, snacks, sweets etc.],
      MATCH(1,(All_India_Index_Upto_April23__1___1[Date]=EDATE($A32,-12))*
              (All_India_Index_Upto_April23__1___1[Sector]="Rural+Urban"),0))
  ),
"")</f>
        <v>138.08333333333334</v>
      </c>
      <c r="Q32" s="8">
        <f t="shared" si="2"/>
        <v>2.6312613156306522E-2</v>
      </c>
      <c r="R32" t="str">
        <f t="shared" si="3"/>
        <v>Pre-COVID</v>
      </c>
      <c r="T32" s="2" cm="1">
        <f t="array" ref="T32">IFERROR(
  INDEX(
    All_India_Index_Upto_April23__1___1[Health],
    MATCH(
      1,
      (All_India_Index_Upto_April23__1___1[Date]=$A32) *
      (All_India_Index_Upto_April23__1___1[Sector]="Rural+Urban"),
      0
    )
  ),
"")</f>
        <v>148.5</v>
      </c>
      <c r="U32" s="2" cm="1">
        <f t="array" ref="U32">IFERROR(
  INDEX(
    All_India_Index_Upto_April23__1___1[Health],
    MATCH(
      1,
      (All_India_Index_Upto_April23__1___1[Date]=EDATE($A32,-12)) *
      (All_India_Index_Upto_April23__1___1[Sector]="Rural+Urban"),
      0
    )
  ),
"")</f>
        <v>137.69999999999999</v>
      </c>
      <c r="V32" s="8">
        <f t="shared" si="4"/>
        <v>7.843137254901969E-2</v>
      </c>
      <c r="W32" t="str">
        <f t="shared" si="5"/>
        <v>Pre-COVID</v>
      </c>
      <c r="Y32" s="2" cm="1">
        <f t="array" ref="Y32">IFERROR(
  AVERAGE(
    INDEX(All_India_Index_Upto_April23__1___1[Pan, tobacco and intoxicants],
      MATCH(1,(All_India_Index_Upto_April23__1___1[Date]=$A32)*
              (All_India_Index_Upto_April23__1___1[Sector]="Rural+Urban"),0)),
    INDEX(All_India_Index_Upto_April23__1___1[Clothing],
      MATCH(1,(All_India_Index_Upto_April23__1___1[Date]=$A32)*
              (All_India_Index_Upto_April23__1___1[Sector]="Rural+Urban"),0)),
    INDEX(All_India_Index_Upto_April23__1___1[Footwear],
      MATCH(1,(All_India_Index_Upto_April23__1___1[Date]=$A32)*
              (All_India_Index_Upto_April23__1___1[Sector]="Rural+Urban"),0)),
    INDEX(All_India_Index_Upto_April23__1___1[Clothing and footwear],
      MATCH(1,(All_India_Index_Upto_April23__1___1[Date]=$A32)*
              (All_India_Index_Upto_April23__1___1[Sector]="Rural+Urban"),0)),
    INDEX(All_India_Index_Upto_April23__1___1[Housing],
      MATCH(1,(All_India_Index_Upto_April23__1___1[Date]=$A32)*
              (All_India_Index_Upto_April23__1___1[Sector]="Rural+Urban"),0)),
    INDEX(All_India_Index_Upto_April23__1___1[Fuel and light],
      MATCH(1,(All_India_Index_Upto_April23__1___1[Date]=$A32)*
              (All_India_Index_Upto_April23__1___1[Sector]="Rural+Urban"),0)),
    INDEX(All_India_Index_Upto_April23__1___1[Household goods and services],
      MATCH(1,(All_India_Index_Upto_April23__1___1[Date]=$A32)*
              (All_India_Index_Upto_April23__1___1[Sector]="Rural+Urban"),0)),
    INDEX(All_India_Index_Upto_April23__1___1[Health],
      MATCH(1,(All_India_Index_Upto_April23__1___1[Date]=$A32)*
              (All_India_Index_Upto_April23__1___1[Sector]="Rural+Urban"),0)),
    INDEX(All_India_Index_Upto_April23__1___1[Transport and communication],
      MATCH(1,(All_India_Index_Upto_April23__1___1[Date]=$A32)*
              (All_India_Index_Upto_April23__1___1[Sector]="Rural+Urban"),0)),
    INDEX(All_India_Index_Upto_April23__1___1[Recreation and amusement],
      MATCH(1,(All_India_Index_Upto_April23__1___1[Date]=$A32)*
              (All_India_Index_Upto_April23__1___1[Sector]="Rural+Urban"),0)),
    INDEX(All_India_Index_Upto_April23__1___1[Education],
      MATCH(1,(All_India_Index_Upto_April23__1___1[Date]=$A32)*
              (All_India_Index_Upto_April23__1___1[Sector]="Rural+Urban"),0)),
    INDEX(All_India_Index_Upto_April23__1___1[Personal care and effects],
      MATCH(1,(All_India_Index_Upto_April23__1___1[Date]=$A32)*
              (All_India_Index_Upto_April23__1___1[Sector]="Rural+Urban"),0)),
    INDEX(All_India_Index_Upto_April23__1___1[Miscellaneous],
      MATCH(1,(All_India_Index_Upto_April23__1___1[Date]=$A32)*
              (All_India_Index_Upto_April23__1___1[Sector]="Rural+Urban"),0))
  ),
"")</f>
        <v>144.5916666666667</v>
      </c>
      <c r="Z32" s="2" cm="1">
        <f t="array" ref="Z32">IFERROR(
  AVERAGE(
    INDEX(All_India_Index_Upto_April23__1___1[Pan, tobacco and intoxicants],
      MATCH(1,(All_India_Index_Upto_April23__1___1[Date]=EDATE($A32,-12))*
              (All_India_Index_Upto_April23__1___1[Sector]="Rural+Urban"),0)),
    INDEX(All_India_Index_Upto_April23__1___1[Clothing],
      MATCH(1,(All_India_Index_Upto_April23__1___1[Date]=EDATE($A32,-12))*
              (All_India_Index_Upto_April23__1___1[Sector]="Rural+Urban"),0)),
    INDEX(All_India_Index_Upto_April23__1___1[Footwear],
      MATCH(1,(All_India_Index_Upto_April23__1___1[Date]=EDATE($A32,-12))*
              (All_India_Index_Upto_April23__1___1[Sector]="Rural+Urban"),0)),
    INDEX(All_India_Index_Upto_April23__1___1[Clothing and footwear],
      MATCH(1,(All_India_Index_Upto_April23__1___1[Date]=EDATE($A32,-12))*
              (All_India_Index_Upto_April23__1___1[Sector]="Rural+Urban"),0)),
    INDEX(All_India_Index_Upto_April23__1___1[Housing],
      MATCH(1,(All_India_Index_Upto_April23__1___1[Date]=EDATE($A32,-12))*
              (All_India_Index_Upto_April23__1___1[Sector]="Rural+Urban"),0)),
    INDEX(All_India_Index_Upto_April23__1___1[Fuel and light],
      MATCH(1,(All_India_Index_Upto_April23__1___1[Date]=EDATE($A32,-12))*
              (All_India_Index_Upto_April23__1___1[Sector]="Rural+Urban"),0)),
    INDEX(All_India_Index_Upto_April23__1___1[Household goods and services],
      MATCH(1,(All_India_Index_Upto_April23__1___1[Date]=EDATE($A32,-12))*
              (All_India_Index_Upto_April23__1___1[Sector]="Rural+Urban"),0)),
    INDEX(All_India_Index_Upto_April23__1___1[Health],
      MATCH(1,(All_India_Index_Upto_April23__1___1[Date]=EDATE($A32,-12))*
              (All_India_Index_Upto_April23__1___1[Sector]="Rural+Urban"),0)),
    INDEX(All_India_Index_Upto_April23__1___1[Transport and communication],
      MATCH(1,(All_India_Index_Upto_April23__1___1[Date]=EDATE($A32,-12))*
              (All_India_Index_Upto_April23__1___1[Sector]="Rural+Urban"),0)),
    INDEX(All_India_Index_Upto_April23__1___1[Recreation and amusement],
      MATCH(1,(All_India_Index_Upto_April23__1___1[Date]=EDATE($A32,-12))*
              (All_India_Index_Upto_April23__1___1[Sector]="Rural+Urban"),0)),
    INDEX(All_India_Index_Upto_April23__1___1[Education],
      MATCH(1,(All_India_Index_Upto_April23__1___1[Date]=EDATE($A32,-12))*
              (All_India_Index_Upto_April23__1___1[Sector]="Rural+Urban"),0)),
    INDEX(All_India_Index_Upto_April23__1___1[Personal care and effects],
      MATCH(1,(All_India_Index_Upto_April23__1___1[Date]=EDATE($A32,-12))*
              (All_India_Index_Upto_April23__1___1[Sector]="Rural+Urban"),0)),
    INDEX(All_India_Index_Upto_April23__1___1[Miscellaneous],
      MATCH(1,(All_India_Index_Upto_April23__1___1[Date]=EDATE($A32,-12))*
              (All_India_Index_Upto_April23__1___1[Sector]="Rural+Urban"),0))
  ),
"")</f>
        <v>139.66666666666666</v>
      </c>
      <c r="AA32" s="8">
        <f t="shared" si="6"/>
        <v>3.5262529832935846E-2</v>
      </c>
      <c r="AB32" t="str">
        <f t="shared" si="7"/>
        <v>Pre-COVID</v>
      </c>
    </row>
    <row r="33" spans="1:28" x14ac:dyDescent="0.2">
      <c r="A33" s="22">
        <v>43709</v>
      </c>
      <c r="B33">
        <v>2019</v>
      </c>
      <c r="C33" t="s">
        <v>47</v>
      </c>
      <c r="D33" s="2" cm="1">
        <f t="array" ref="D33">IFERROR(
  INDEX(
    All_India_Index_Upto_April23__1___1[General index],
    MATCH(
      1,
      (All_India_Index_Upto_April23__1___1[Sector]="Rural+Urban") *
      (All_India_Index_Upto_April23__1___1[Date]=A33),
      0
    )
  ),
"")</f>
        <v>145.80000000000001</v>
      </c>
      <c r="E33" s="2" cm="1">
        <f t="array" ref="E33">IFERROR(
  INDEX(
    All_India_Index_Upto_April23__1___1[General index],
    MATCH(
      1,
      (All_India_Index_Upto_April23__1___1[Sector]="Rural+Urban") *
      (All_India_Index_Upto_April23__1___1[Date]=EDATE(A33,-12)),
      0
    )
  ),
"")</f>
        <v>140.19999999999999</v>
      </c>
      <c r="F33" s="8">
        <f t="shared" si="0"/>
        <v>3.9942938659058624E-2</v>
      </c>
      <c r="G33" t="str">
        <f t="shared" si="1"/>
        <v>Pre-COVID</v>
      </c>
      <c r="O33" s="2" cm="1">
        <f t="array" ref="O33">IFERROR(
  AVERAGE(
    INDEX(All_India_Index_Upto_April23__1___1[Cereals and products],
      MATCH(1,(All_India_Index_Upto_April23__1___1[Date]=$A33)*
              (All_India_Index_Upto_April23__1___1[Sector]="Rural+Urban"),0)),
    INDEX(All_India_Index_Upto_April23__1___1[Meat and fish],
      MATCH(1,(All_India_Index_Upto_April23__1___1[Date]=$A33)*
              (All_India_Index_Upto_April23__1___1[Sector]="Rural+Urban"),0)),
    INDEX(All_India_Index_Upto_April23__1___1[Egg],
      MATCH(1,(All_India_Index_Upto_April23__1___1[Date]=$A33)*
              (All_India_Index_Upto_April23__1___1[Sector]="Rural+Urban"),0)),
    INDEX(All_India_Index_Upto_April23__1___1[Milk and products],
      MATCH(1,(All_India_Index_Upto_April23__1___1[Date]=$A33)*
              (All_India_Index_Upto_April23__1___1[Sector]="Rural+Urban"),0)),
    INDEX(All_India_Index_Upto_April23__1___1[Oils and fats],
      MATCH(1,(All_India_Index_Upto_April23__1___1[Date]=$A33)*
              (All_India_Index_Upto_April23__1___1[Sector]="Rural+Urban"),0)),
    INDEX(All_India_Index_Upto_April23__1___1[Fruits],
      MATCH(1,(All_India_Index_Upto_April23__1___1[Date]=$A33)*
              (All_India_Index_Upto_April23__1___1[Sector]="Rural+Urban"),0)),
    INDEX(All_India_Index_Upto_April23__1___1[Vegetables],
      MATCH(1,(All_India_Index_Upto_April23__1___1[Date]=$A33)*
              (All_India_Index_Upto_April23__1___1[Sector]="Rural+Urban"),0)),
    INDEX(All_India_Index_Upto_April23__1___1[Pulses and products],
      MATCH(1,(All_India_Index_Upto_April23__1___1[Date]=$A33)*
              (All_India_Index_Upto_April23__1___1[Sector]="Rural+Urban"),0)),
    INDEX(All_India_Index_Upto_April23__1___1[Sugar and Confectionery],
      MATCH(1,(All_India_Index_Upto_April23__1___1[Date]=$A33)*
              (All_India_Index_Upto_April23__1___1[Sector]="Rural+Urban"),0)),
    INDEX(All_India_Index_Upto_April23__1___1[Spices],
      MATCH(1,(All_India_Index_Upto_April23__1___1[Date]=$A33)*
              (All_India_Index_Upto_April23__1___1[Sector]="Rural+Urban"),0)),
    INDEX(All_India_Index_Upto_April23__1___1[Non-alcoholic beverages],
      MATCH(1,(All_India_Index_Upto_April23__1___1[Date]=$A33)*
              (All_India_Index_Upto_April23__1___1[Sector]="Rural+Urban"),0)),
    INDEX(All_India_Index_Upto_April23__1___1[Prepared meals, snacks, sweets etc.],
      MATCH(1,(All_India_Index_Upto_April23__1___1[Date]=$A33)*
              (All_India_Index_Upto_April23__1___1[Sector]="Rural+Urban"),0))
  ),
"")</f>
        <v>142.55833333333331</v>
      </c>
      <c r="P33" s="2" cm="1">
        <f t="array" ref="P33">IFERROR(
  AVERAGE(
    INDEX(All_India_Index_Upto_April23__1___1[Cereals and products],
      MATCH(1,(All_India_Index_Upto_April23__1___1[Date]=EDATE($A33,-12))*
              (All_India_Index_Upto_April23__1___1[Sector]="Rural+Urban"),0)),
    INDEX(All_India_Index_Upto_April23__1___1[Meat and fish],
      MATCH(1,(All_India_Index_Upto_April23__1___1[Date]=EDATE($A33,-12))*
              (All_India_Index_Upto_April23__1___1[Sector]="Rural+Urban"),0)),
    INDEX(All_India_Index_Upto_April23__1___1[Egg],
      MATCH(1,(All_India_Index_Upto_April23__1___1[Date]=EDATE($A33,-12))*
              (All_India_Index_Upto_April23__1___1[Sector]="Rural+Urban"),0)),
    INDEX(All_India_Index_Upto_April23__1___1[Milk and products],
      MATCH(1,(All_India_Index_Upto_April23__1___1[Date]=EDATE($A33,-12))*
              (All_India_Index_Upto_April23__1___1[Sector]="Rural+Urban"),0)),
    INDEX(All_India_Index_Upto_April23__1___1[Oils and fats],
      MATCH(1,(All_India_Index_Upto_April23__1___1[Date]=EDATE($A33,-12))*
              (All_India_Index_Upto_April23__1___1[Sector]="Rural+Urban"),0)),
    INDEX(All_India_Index_Upto_April23__1___1[Fruits],
      MATCH(1,(All_India_Index_Upto_April23__1___1[Date]=EDATE($A33,-12))*
              (All_India_Index_Upto_April23__1___1[Sector]="Rural+Urban"),0)),
    INDEX(All_India_Index_Upto_April23__1___1[Vegetables],
      MATCH(1,(All_India_Index_Upto_April23__1___1[Date]=EDATE($A33,-12))*
              (All_India_Index_Upto_April23__1___1[Sector]="Rural+Urban"),0)),
    INDEX(All_India_Index_Upto_April23__1___1[Pulses and products],
      MATCH(1,(All_India_Index_Upto_April23__1___1[Date]=EDATE($A33,-12))*
              (All_India_Index_Upto_April23__1___1[Sector]="Rural+Urban"),0)),
    INDEX(All_India_Index_Upto_April23__1___1[Sugar and Confectionery],
      MATCH(1,(All_India_Index_Upto_April23__1___1[Date]=EDATE($A33,-12))*
              (All_India_Index_Upto_April23__1___1[Sector]="Rural+Urban"),0)),
    INDEX(All_India_Index_Upto_April23__1___1[Spices],
      MATCH(1,(All_India_Index_Upto_April23__1___1[Date]=EDATE($A33,-12))*
              (All_India_Index_Upto_April23__1___1[Sector]="Rural+Urban"),0)),
    INDEX(All_India_Index_Upto_April23__1___1[Non-alcoholic beverages],
      MATCH(1,(All_India_Index_Upto_April23__1___1[Date]=EDATE($A33,-12))*
              (All_India_Index_Upto_April23__1___1[Sector]="Rural+Urban"),0)),
    INDEX(All_India_Index_Upto_April23__1___1[Prepared meals, snacks, sweets etc.],
      MATCH(1,(All_India_Index_Upto_April23__1___1[Date]=EDATE($A33,-12))*
              (All_India_Index_Upto_April23__1___1[Sector]="Rural+Urban"),0))
  ),
"")</f>
        <v>136.59166666666667</v>
      </c>
      <c r="Q33" s="8">
        <f t="shared" si="2"/>
        <v>4.3682508693795183E-2</v>
      </c>
      <c r="R33" t="str">
        <f t="shared" si="3"/>
        <v>Pre-COVID</v>
      </c>
      <c r="T33" s="2" cm="1">
        <f t="array" ref="T33">IFERROR(
  INDEX(
    All_India_Index_Upto_April23__1___1[Health],
    MATCH(
      1,
      (All_India_Index_Upto_April23__1___1[Date]=$A33) *
      (All_India_Index_Upto_April23__1___1[Sector]="Rural+Urban"),
      0
    )
  ),
"")</f>
        <v>149</v>
      </c>
      <c r="U33" s="2" cm="1">
        <f t="array" ref="U33">IFERROR(
  INDEX(
    All_India_Index_Upto_April23__1___1[Health],
    MATCH(
      1,
      (All_India_Index_Upto_April23__1___1[Date]=EDATE($A33,-12)) *
      (All_India_Index_Upto_April23__1___1[Sector]="Rural+Urban"),
      0
    )
  ),
"")</f>
        <v>138.4</v>
      </c>
      <c r="V33" s="8">
        <f t="shared" si="4"/>
        <v>7.6589595375722505E-2</v>
      </c>
      <c r="W33" t="str">
        <f t="shared" si="5"/>
        <v>Pre-COVID</v>
      </c>
      <c r="Y33" s="2" cm="1">
        <f t="array" ref="Y33">IFERROR(
  AVERAGE(
    INDEX(All_India_Index_Upto_April23__1___1[Pan, tobacco and intoxicants],
      MATCH(1,(All_India_Index_Upto_April23__1___1[Date]=$A33)*
              (All_India_Index_Upto_April23__1___1[Sector]="Rural+Urban"),0)),
    INDEX(All_India_Index_Upto_April23__1___1[Clothing],
      MATCH(1,(All_India_Index_Upto_April23__1___1[Date]=$A33)*
              (All_India_Index_Upto_April23__1___1[Sector]="Rural+Urban"),0)),
    INDEX(All_India_Index_Upto_April23__1___1[Footwear],
      MATCH(1,(All_India_Index_Upto_April23__1___1[Date]=$A33)*
              (All_India_Index_Upto_April23__1___1[Sector]="Rural+Urban"),0)),
    INDEX(All_India_Index_Upto_April23__1___1[Clothing and footwear],
      MATCH(1,(All_India_Index_Upto_April23__1___1[Date]=$A33)*
              (All_India_Index_Upto_April23__1___1[Sector]="Rural+Urban"),0)),
    INDEX(All_India_Index_Upto_April23__1___1[Housing],
      MATCH(1,(All_India_Index_Upto_April23__1___1[Date]=$A33)*
              (All_India_Index_Upto_April23__1___1[Sector]="Rural+Urban"),0)),
    INDEX(All_India_Index_Upto_April23__1___1[Fuel and light],
      MATCH(1,(All_India_Index_Upto_April23__1___1[Date]=$A33)*
              (All_India_Index_Upto_April23__1___1[Sector]="Rural+Urban"),0)),
    INDEX(All_India_Index_Upto_April23__1___1[Household goods and services],
      MATCH(1,(All_India_Index_Upto_April23__1___1[Date]=$A33)*
              (All_India_Index_Upto_April23__1___1[Sector]="Rural+Urban"),0)),
    INDEX(All_India_Index_Upto_April23__1___1[Health],
      MATCH(1,(All_India_Index_Upto_April23__1___1[Date]=$A33)*
              (All_India_Index_Upto_April23__1___1[Sector]="Rural+Urban"),0)),
    INDEX(All_India_Index_Upto_April23__1___1[Transport and communication],
      MATCH(1,(All_India_Index_Upto_April23__1___1[Date]=$A33)*
              (All_India_Index_Upto_April23__1___1[Sector]="Rural+Urban"),0)),
    INDEX(All_India_Index_Upto_April23__1___1[Recreation and amusement],
      MATCH(1,(All_India_Index_Upto_April23__1___1[Date]=$A33)*
              (All_India_Index_Upto_April23__1___1[Sector]="Rural+Urban"),0)),
    INDEX(All_India_Index_Upto_April23__1___1[Education],
      MATCH(1,(All_India_Index_Upto_April23__1___1[Date]=$A33)*
              (All_India_Index_Upto_April23__1___1[Sector]="Rural+Urban"),0)),
    INDEX(All_India_Index_Upto_April23__1___1[Personal care and effects],
      MATCH(1,(All_India_Index_Upto_April23__1___1[Date]=$A33)*
              (All_India_Index_Upto_April23__1___1[Sector]="Rural+Urban"),0)),
    INDEX(All_India_Index_Upto_April23__1___1[Miscellaneous],
      MATCH(1,(All_India_Index_Upto_April23__1___1[Date]=$A33)*
              (All_India_Index_Upto_April23__1___1[Sector]="Rural+Urban"),0))
  ),
"")</f>
        <v>145</v>
      </c>
      <c r="Z33" s="2" cm="1">
        <f t="array" ref="Z33">IFERROR(
  AVERAGE(
    INDEX(All_India_Index_Upto_April23__1___1[Pan, tobacco and intoxicants],
      MATCH(1,(All_India_Index_Upto_April23__1___1[Date]=EDATE($A33,-12))*
              (All_India_Index_Upto_April23__1___1[Sector]="Rural+Urban"),0)),
    INDEX(All_India_Index_Upto_April23__1___1[Clothing],
      MATCH(1,(All_India_Index_Upto_April23__1___1[Date]=EDATE($A33,-12))*
              (All_India_Index_Upto_April23__1___1[Sector]="Rural+Urban"),0)),
    INDEX(All_India_Index_Upto_April23__1___1[Footwear],
      MATCH(1,(All_India_Index_Upto_April23__1___1[Date]=EDATE($A33,-12))*
              (All_India_Index_Upto_April23__1___1[Sector]="Rural+Urban"),0)),
    INDEX(All_India_Index_Upto_April23__1___1[Clothing and footwear],
      MATCH(1,(All_India_Index_Upto_April23__1___1[Date]=EDATE($A33,-12))*
              (All_India_Index_Upto_April23__1___1[Sector]="Rural+Urban"),0)),
    INDEX(All_India_Index_Upto_April23__1___1[Housing],
      MATCH(1,(All_India_Index_Upto_April23__1___1[Date]=EDATE($A33,-12))*
              (All_India_Index_Upto_April23__1___1[Sector]="Rural+Urban"),0)),
    INDEX(All_India_Index_Upto_April23__1___1[Fuel and light],
      MATCH(1,(All_India_Index_Upto_April23__1___1[Date]=EDATE($A33,-12))*
              (All_India_Index_Upto_April23__1___1[Sector]="Rural+Urban"),0)),
    INDEX(All_India_Index_Upto_April23__1___1[Household goods and services],
      MATCH(1,(All_India_Index_Upto_April23__1___1[Date]=EDATE($A33,-12))*
              (All_India_Index_Upto_April23__1___1[Sector]="Rural+Urban"),0)),
    INDEX(All_India_Index_Upto_April23__1___1[Health],
      MATCH(1,(All_India_Index_Upto_April23__1___1[Date]=EDATE($A33,-12))*
              (All_India_Index_Upto_April23__1___1[Sector]="Rural+Urban"),0)),
    INDEX(All_India_Index_Upto_April23__1___1[Transport and communication],
      MATCH(1,(All_India_Index_Upto_April23__1___1[Date]=EDATE($A33,-12))*
              (All_India_Index_Upto_April23__1___1[Sector]="Rural+Urban"),0)),
    INDEX(All_India_Index_Upto_April23__1___1[Recreation and amusement],
      MATCH(1,(All_India_Index_Upto_April23__1___1[Date]=EDATE($A33,-12))*
              (All_India_Index_Upto_April23__1___1[Sector]="Rural+Urban"),0)),
    INDEX(All_India_Index_Upto_April23__1___1[Education],
      MATCH(1,(All_India_Index_Upto_April23__1___1[Date]=EDATE($A33,-12))*
              (All_India_Index_Upto_April23__1___1[Sector]="Rural+Urban"),0)),
    INDEX(All_India_Index_Upto_April23__1___1[Personal care and effects],
      MATCH(1,(All_India_Index_Upto_April23__1___1[Date]=EDATE($A33,-12))*
              (All_India_Index_Upto_April23__1___1[Sector]="Rural+Urban"),0)),
    INDEX(All_India_Index_Upto_April23__1___1[Miscellaneous],
      MATCH(1,(All_India_Index_Upto_April23__1___1[Date]=EDATE($A33,-12))*
              (All_India_Index_Upto_April23__1___1[Sector]="Rural+Urban"),0))
  ),
"")</f>
        <v>140.43333333333337</v>
      </c>
      <c r="AA33" s="8">
        <f t="shared" si="6"/>
        <v>3.2518395442677192E-2</v>
      </c>
      <c r="AB33" t="str">
        <f t="shared" si="7"/>
        <v>Pre-COVID</v>
      </c>
    </row>
    <row r="34" spans="1:28" x14ac:dyDescent="0.2">
      <c r="A34" s="22">
        <v>43739</v>
      </c>
      <c r="B34">
        <v>2019</v>
      </c>
      <c r="C34" t="s">
        <v>49</v>
      </c>
      <c r="D34" s="2" cm="1">
        <f t="array" ref="D34">IFERROR(
  INDEX(
    All_India_Index_Upto_April23__1___1[General index],
    MATCH(
      1,
      (All_India_Index_Upto_April23__1___1[Sector]="Rural+Urban") *
      (All_India_Index_Upto_April23__1___1[Date]=A34),
      0
    )
  ),
"")</f>
        <v>147.19999999999999</v>
      </c>
      <c r="E34" s="2" cm="1">
        <f t="array" ref="E34">IFERROR(
  INDEX(
    All_India_Index_Upto_April23__1___1[General index],
    MATCH(
      1,
      (All_India_Index_Upto_April23__1___1[Sector]="Rural+Urban") *
      (All_India_Index_Upto_April23__1___1[Date]=EDATE(A34,-12)),
      0
    )
  ),
"")</f>
        <v>140.80000000000001</v>
      </c>
      <c r="F34" s="8">
        <f t="shared" si="0"/>
        <v>4.5454545454545192E-2</v>
      </c>
      <c r="G34" t="str">
        <f t="shared" si="1"/>
        <v>Pre-COVID</v>
      </c>
      <c r="O34" s="2" cm="1">
        <f t="array" ref="O34">IFERROR(
  AVERAGE(
    INDEX(All_India_Index_Upto_April23__1___1[Cereals and products],
      MATCH(1,(All_India_Index_Upto_April23__1___1[Date]=$A34)*
              (All_India_Index_Upto_April23__1___1[Sector]="Rural+Urban"),0)),
    INDEX(All_India_Index_Upto_April23__1___1[Meat and fish],
      MATCH(1,(All_India_Index_Upto_April23__1___1[Date]=$A34)*
              (All_India_Index_Upto_April23__1___1[Sector]="Rural+Urban"),0)),
    INDEX(All_India_Index_Upto_April23__1___1[Egg],
      MATCH(1,(All_India_Index_Upto_April23__1___1[Date]=$A34)*
              (All_India_Index_Upto_April23__1___1[Sector]="Rural+Urban"),0)),
    INDEX(All_India_Index_Upto_April23__1___1[Milk and products],
      MATCH(1,(All_India_Index_Upto_April23__1___1[Date]=$A34)*
              (All_India_Index_Upto_April23__1___1[Sector]="Rural+Urban"),0)),
    INDEX(All_India_Index_Upto_April23__1___1[Oils and fats],
      MATCH(1,(All_India_Index_Upto_April23__1___1[Date]=$A34)*
              (All_India_Index_Upto_April23__1___1[Sector]="Rural+Urban"),0)),
    INDEX(All_India_Index_Upto_April23__1___1[Fruits],
      MATCH(1,(All_India_Index_Upto_April23__1___1[Date]=$A34)*
              (All_India_Index_Upto_April23__1___1[Sector]="Rural+Urban"),0)),
    INDEX(All_India_Index_Upto_April23__1___1[Vegetables],
      MATCH(1,(All_India_Index_Upto_April23__1___1[Date]=$A34)*
              (All_India_Index_Upto_April23__1___1[Sector]="Rural+Urban"),0)),
    INDEX(All_India_Index_Upto_April23__1___1[Pulses and products],
      MATCH(1,(All_India_Index_Upto_April23__1___1[Date]=$A34)*
              (All_India_Index_Upto_April23__1___1[Sector]="Rural+Urban"),0)),
    INDEX(All_India_Index_Upto_April23__1___1[Sugar and Confectionery],
      MATCH(1,(All_India_Index_Upto_April23__1___1[Date]=$A34)*
              (All_India_Index_Upto_April23__1___1[Sector]="Rural+Urban"),0)),
    INDEX(All_India_Index_Upto_April23__1___1[Spices],
      MATCH(1,(All_India_Index_Upto_April23__1___1[Date]=$A34)*
              (All_India_Index_Upto_April23__1___1[Sector]="Rural+Urban"),0)),
    INDEX(All_India_Index_Upto_April23__1___1[Non-alcoholic beverages],
      MATCH(1,(All_India_Index_Upto_April23__1___1[Date]=$A34)*
              (All_India_Index_Upto_April23__1___1[Sector]="Rural+Urban"),0)),
    INDEX(All_India_Index_Upto_April23__1___1[Prepared meals, snacks, sweets etc.],
      MATCH(1,(All_India_Index_Upto_April23__1___1[Date]=$A34)*
              (All_India_Index_Upto_April23__1___1[Sector]="Rural+Urban"),0))
  ),
"")</f>
        <v>144.66666666666666</v>
      </c>
      <c r="P34" s="2" cm="1">
        <f t="array" ref="P34">IFERROR(
  AVERAGE(
    INDEX(All_India_Index_Upto_April23__1___1[Cereals and products],
      MATCH(1,(All_India_Index_Upto_April23__1___1[Date]=EDATE($A34,-12))*
              (All_India_Index_Upto_April23__1___1[Sector]="Rural+Urban"),0)),
    INDEX(All_India_Index_Upto_April23__1___1[Meat and fish],
      MATCH(1,(All_India_Index_Upto_April23__1___1[Date]=EDATE($A34,-12))*
              (All_India_Index_Upto_April23__1___1[Sector]="Rural+Urban"),0)),
    INDEX(All_India_Index_Upto_April23__1___1[Egg],
      MATCH(1,(All_India_Index_Upto_April23__1___1[Date]=EDATE($A34,-12))*
              (All_India_Index_Upto_April23__1___1[Sector]="Rural+Urban"),0)),
    INDEX(All_India_Index_Upto_April23__1___1[Milk and products],
      MATCH(1,(All_India_Index_Upto_April23__1___1[Date]=EDATE($A34,-12))*
              (All_India_Index_Upto_April23__1___1[Sector]="Rural+Urban"),0)),
    INDEX(All_India_Index_Upto_April23__1___1[Oils and fats],
      MATCH(1,(All_India_Index_Upto_April23__1___1[Date]=EDATE($A34,-12))*
              (All_India_Index_Upto_April23__1___1[Sector]="Rural+Urban"),0)),
    INDEX(All_India_Index_Upto_April23__1___1[Fruits],
      MATCH(1,(All_India_Index_Upto_April23__1___1[Date]=EDATE($A34,-12))*
              (All_India_Index_Upto_April23__1___1[Sector]="Rural+Urban"),0)),
    INDEX(All_India_Index_Upto_April23__1___1[Vegetables],
      MATCH(1,(All_India_Index_Upto_April23__1___1[Date]=EDATE($A34,-12))*
              (All_India_Index_Upto_April23__1___1[Sector]="Rural+Urban"),0)),
    INDEX(All_India_Index_Upto_April23__1___1[Pulses and products],
      MATCH(1,(All_India_Index_Upto_April23__1___1[Date]=EDATE($A34,-12))*
              (All_India_Index_Upto_April23__1___1[Sector]="Rural+Urban"),0)),
    INDEX(All_India_Index_Upto_April23__1___1[Sugar and Confectionery],
      MATCH(1,(All_India_Index_Upto_April23__1___1[Date]=EDATE($A34,-12))*
              (All_India_Index_Upto_April23__1___1[Sector]="Rural+Urban"),0)),
    INDEX(All_India_Index_Upto_April23__1___1[Spices],
      MATCH(1,(All_India_Index_Upto_April23__1___1[Date]=EDATE($A34,-12))*
              (All_India_Index_Upto_April23__1___1[Sector]="Rural+Urban"),0)),
    INDEX(All_India_Index_Upto_April23__1___1[Non-alcoholic beverages],
      MATCH(1,(All_India_Index_Upto_April23__1___1[Date]=EDATE($A34,-12))*
              (All_India_Index_Upto_April23__1___1[Sector]="Rural+Urban"),0)),
    INDEX(All_India_Index_Upto_April23__1___1[Prepared meals, snacks, sweets etc.],
      MATCH(1,(All_India_Index_Upto_April23__1___1[Date]=EDATE($A34,-12))*
              (All_India_Index_Upto_April23__1___1[Sector]="Rural+Urban"),0))
  ),
"")</f>
        <v>136.375</v>
      </c>
      <c r="Q34" s="8">
        <f t="shared" si="2"/>
        <v>6.0800488848151472E-2</v>
      </c>
      <c r="R34" t="str">
        <f t="shared" si="3"/>
        <v>Pre-COVID</v>
      </c>
      <c r="T34" s="2" cm="1">
        <f t="array" ref="T34">IFERROR(
  INDEX(
    All_India_Index_Upto_April23__1___1[Health],
    MATCH(
      1,
      (All_India_Index_Upto_April23__1___1[Date]=$A34) *
      (All_India_Index_Upto_April23__1___1[Sector]="Rural+Urban"),
      0
    )
  ),
"")</f>
        <v>149.4</v>
      </c>
      <c r="U34" s="2" cm="1">
        <f t="array" ref="U34">IFERROR(
  INDEX(
    All_India_Index_Upto_April23__1___1[Health],
    MATCH(
      1,
      (All_India_Index_Upto_April23__1___1[Date]=EDATE($A34,-12)) *
      (All_India_Index_Upto_April23__1___1[Sector]="Rural+Urban"),
      0
    )
  ),
"")</f>
        <v>142.1</v>
      </c>
      <c r="V34" s="8">
        <f t="shared" si="4"/>
        <v>5.1372273047149974E-2</v>
      </c>
      <c r="W34" t="str">
        <f t="shared" si="5"/>
        <v>Pre-COVID</v>
      </c>
      <c r="Y34" s="2" cm="1">
        <f t="array" ref="Y34">IFERROR(
  AVERAGE(
    INDEX(All_India_Index_Upto_April23__1___1[Pan, tobacco and intoxicants],
      MATCH(1,(All_India_Index_Upto_April23__1___1[Date]=$A34)*
              (All_India_Index_Upto_April23__1___1[Sector]="Rural+Urban"),0)),
    INDEX(All_India_Index_Upto_April23__1___1[Clothing],
      MATCH(1,(All_India_Index_Upto_April23__1___1[Date]=$A34)*
              (All_India_Index_Upto_April23__1___1[Sector]="Rural+Urban"),0)),
    INDEX(All_India_Index_Upto_April23__1___1[Footwear],
      MATCH(1,(All_India_Index_Upto_April23__1___1[Date]=$A34)*
              (All_India_Index_Upto_April23__1___1[Sector]="Rural+Urban"),0)),
    INDEX(All_India_Index_Upto_April23__1___1[Clothing and footwear],
      MATCH(1,(All_India_Index_Upto_April23__1___1[Date]=$A34)*
              (All_India_Index_Upto_April23__1___1[Sector]="Rural+Urban"),0)),
    INDEX(All_India_Index_Upto_April23__1___1[Housing],
      MATCH(1,(All_India_Index_Upto_April23__1___1[Date]=$A34)*
              (All_India_Index_Upto_April23__1___1[Sector]="Rural+Urban"),0)),
    INDEX(All_India_Index_Upto_April23__1___1[Fuel and light],
      MATCH(1,(All_India_Index_Upto_April23__1___1[Date]=$A34)*
              (All_India_Index_Upto_April23__1___1[Sector]="Rural+Urban"),0)),
    INDEX(All_India_Index_Upto_April23__1___1[Household goods and services],
      MATCH(1,(All_India_Index_Upto_April23__1___1[Date]=$A34)*
              (All_India_Index_Upto_April23__1___1[Sector]="Rural+Urban"),0)),
    INDEX(All_India_Index_Upto_April23__1___1[Health],
      MATCH(1,(All_India_Index_Upto_April23__1___1[Date]=$A34)*
              (All_India_Index_Upto_April23__1___1[Sector]="Rural+Urban"),0)),
    INDEX(All_India_Index_Upto_April23__1___1[Transport and communication],
      MATCH(1,(All_India_Index_Upto_April23__1___1[Date]=$A34)*
              (All_India_Index_Upto_April23__1___1[Sector]="Rural+Urban"),0)),
    INDEX(All_India_Index_Upto_April23__1___1[Recreation and amusement],
      MATCH(1,(All_India_Index_Upto_April23__1___1[Date]=$A34)*
              (All_India_Index_Upto_April23__1___1[Sector]="Rural+Urban"),0)),
    INDEX(All_India_Index_Upto_April23__1___1[Education],
      MATCH(1,(All_India_Index_Upto_April23__1___1[Date]=$A34)*
              (All_India_Index_Upto_April23__1___1[Sector]="Rural+Urban"),0)),
    INDEX(All_India_Index_Upto_April23__1___1[Personal care and effects],
      MATCH(1,(All_India_Index_Upto_April23__1___1[Date]=$A34)*
              (All_India_Index_Upto_April23__1___1[Sector]="Rural+Urban"),0)),
    INDEX(All_India_Index_Upto_April23__1___1[Miscellaneous],
      MATCH(1,(All_India_Index_Upto_April23__1___1[Date]=$A34)*
              (All_India_Index_Upto_April23__1___1[Sector]="Rural+Urban"),0))
  ),
"")</f>
        <v>145.40833333333333</v>
      </c>
      <c r="Z34" s="2" cm="1">
        <f t="array" ref="Z34">IFERROR(
  AVERAGE(
    INDEX(All_India_Index_Upto_April23__1___1[Pan, tobacco and intoxicants],
      MATCH(1,(All_India_Index_Upto_April23__1___1[Date]=EDATE($A34,-12))*
              (All_India_Index_Upto_April23__1___1[Sector]="Rural+Urban"),0)),
    INDEX(All_India_Index_Upto_April23__1___1[Clothing],
      MATCH(1,(All_India_Index_Upto_April23__1___1[Date]=EDATE($A34,-12))*
              (All_India_Index_Upto_April23__1___1[Sector]="Rural+Urban"),0)),
    INDEX(All_India_Index_Upto_April23__1___1[Footwear],
      MATCH(1,(All_India_Index_Upto_April23__1___1[Date]=EDATE($A34,-12))*
              (All_India_Index_Upto_April23__1___1[Sector]="Rural+Urban"),0)),
    INDEX(All_India_Index_Upto_April23__1___1[Clothing and footwear],
      MATCH(1,(All_India_Index_Upto_April23__1___1[Date]=EDATE($A34,-12))*
              (All_India_Index_Upto_April23__1___1[Sector]="Rural+Urban"),0)),
    INDEX(All_India_Index_Upto_April23__1___1[Housing],
      MATCH(1,(All_India_Index_Upto_April23__1___1[Date]=EDATE($A34,-12))*
              (All_India_Index_Upto_April23__1___1[Sector]="Rural+Urban"),0)),
    INDEX(All_India_Index_Upto_April23__1___1[Fuel and light],
      MATCH(1,(All_India_Index_Upto_April23__1___1[Date]=EDATE($A34,-12))*
              (All_India_Index_Upto_April23__1___1[Sector]="Rural+Urban"),0)),
    INDEX(All_India_Index_Upto_April23__1___1[Household goods and services],
      MATCH(1,(All_India_Index_Upto_April23__1___1[Date]=EDATE($A34,-12))*
              (All_India_Index_Upto_April23__1___1[Sector]="Rural+Urban"),0)),
    INDEX(All_India_Index_Upto_April23__1___1[Health],
      MATCH(1,(All_India_Index_Upto_April23__1___1[Date]=EDATE($A34,-12))*
              (All_India_Index_Upto_April23__1___1[Sector]="Rural+Urban"),0)),
    INDEX(All_India_Index_Upto_April23__1___1[Transport and communication],
      MATCH(1,(All_India_Index_Upto_April23__1___1[Date]=EDATE($A34,-12))*
              (All_India_Index_Upto_April23__1___1[Sector]="Rural+Urban"),0)),
    INDEX(All_India_Index_Upto_April23__1___1[Recreation and amusement],
      MATCH(1,(All_India_Index_Upto_April23__1___1[Date]=EDATE($A34,-12))*
              (All_India_Index_Upto_April23__1___1[Sector]="Rural+Urban"),0)),
    INDEX(All_India_Index_Upto_April23__1___1[Education],
      MATCH(1,(All_India_Index_Upto_April23__1___1[Date]=EDATE($A34,-12))*
              (All_India_Index_Upto_April23__1___1[Sector]="Rural+Urban"),0)),
    INDEX(All_India_Index_Upto_April23__1___1[Personal care and effects],
      MATCH(1,(All_India_Index_Upto_April23__1___1[Date]=EDATE($A34,-12))*
              (All_India_Index_Upto_April23__1___1[Sector]="Rural+Urban"),0)),
    INDEX(All_India_Index_Upto_April23__1___1[Miscellaneous],
      MATCH(1,(All_India_Index_Upto_April23__1___1[Date]=EDATE($A34,-12))*
              (All_India_Index_Upto_April23__1___1[Sector]="Rural+Urban"),0))
  ),
"")</f>
        <v>142.02500000000001</v>
      </c>
      <c r="AA34" s="8">
        <f t="shared" si="6"/>
        <v>2.3822097048641615E-2</v>
      </c>
      <c r="AB34" t="str">
        <f t="shared" si="7"/>
        <v>Pre-COVID</v>
      </c>
    </row>
    <row r="35" spans="1:28" x14ac:dyDescent="0.2">
      <c r="A35" s="22">
        <v>43770</v>
      </c>
      <c r="B35">
        <v>2019</v>
      </c>
      <c r="C35" t="s">
        <v>51</v>
      </c>
      <c r="D35" s="2" cm="1">
        <f t="array" ref="D35">IFERROR(
  INDEX(
    All_India_Index_Upto_April23__1___1[General index],
    MATCH(
      1,
      (All_India_Index_Upto_April23__1___1[Sector]="Rural+Urban") *
      (All_India_Index_Upto_April23__1___1[Date]=A35),
      0
    )
  ),
"")</f>
        <v>148.6</v>
      </c>
      <c r="E35" s="2" cm="1">
        <f t="array" ref="E35">IFERROR(
  INDEX(
    All_India_Index_Upto_April23__1___1[General index],
    MATCH(
      1,
      (All_India_Index_Upto_April23__1___1[Sector]="Rural+Urban") *
      (All_India_Index_Upto_April23__1___1[Date]=EDATE(A35,-12)),
      0
    )
  ),
"")</f>
        <v>140.80000000000001</v>
      </c>
      <c r="F35" s="8">
        <f t="shared" si="0"/>
        <v>5.5397727272727071E-2</v>
      </c>
      <c r="G35" t="str">
        <f t="shared" si="1"/>
        <v>Pre-COVID</v>
      </c>
      <c r="O35" s="2" cm="1">
        <f t="array" ref="O35">IFERROR(
  AVERAGE(
    INDEX(All_India_Index_Upto_April23__1___1[Cereals and products],
      MATCH(1,(All_India_Index_Upto_April23__1___1[Date]=$A35)*
              (All_India_Index_Upto_April23__1___1[Sector]="Rural+Urban"),0)),
    INDEX(All_India_Index_Upto_April23__1___1[Meat and fish],
      MATCH(1,(All_India_Index_Upto_April23__1___1[Date]=$A35)*
              (All_India_Index_Upto_April23__1___1[Sector]="Rural+Urban"),0)),
    INDEX(All_India_Index_Upto_April23__1___1[Egg],
      MATCH(1,(All_India_Index_Upto_April23__1___1[Date]=$A35)*
              (All_India_Index_Upto_April23__1___1[Sector]="Rural+Urban"),0)),
    INDEX(All_India_Index_Upto_April23__1___1[Milk and products],
      MATCH(1,(All_India_Index_Upto_April23__1___1[Date]=$A35)*
              (All_India_Index_Upto_April23__1___1[Sector]="Rural+Urban"),0)),
    INDEX(All_India_Index_Upto_April23__1___1[Oils and fats],
      MATCH(1,(All_India_Index_Upto_April23__1___1[Date]=$A35)*
              (All_India_Index_Upto_April23__1___1[Sector]="Rural+Urban"),0)),
    INDEX(All_India_Index_Upto_April23__1___1[Fruits],
      MATCH(1,(All_India_Index_Upto_April23__1___1[Date]=$A35)*
              (All_India_Index_Upto_April23__1___1[Sector]="Rural+Urban"),0)),
    INDEX(All_India_Index_Upto_April23__1___1[Vegetables],
      MATCH(1,(All_India_Index_Upto_April23__1___1[Date]=$A35)*
              (All_India_Index_Upto_April23__1___1[Sector]="Rural+Urban"),0)),
    INDEX(All_India_Index_Upto_April23__1___1[Pulses and products],
      MATCH(1,(All_India_Index_Upto_April23__1___1[Date]=$A35)*
              (All_India_Index_Upto_April23__1___1[Sector]="Rural+Urban"),0)),
    INDEX(All_India_Index_Upto_April23__1___1[Sugar and Confectionery],
      MATCH(1,(All_India_Index_Upto_April23__1___1[Date]=$A35)*
              (All_India_Index_Upto_April23__1___1[Sector]="Rural+Urban"),0)),
    INDEX(All_India_Index_Upto_April23__1___1[Spices],
      MATCH(1,(All_India_Index_Upto_April23__1___1[Date]=$A35)*
              (All_India_Index_Upto_April23__1___1[Sector]="Rural+Urban"),0)),
    INDEX(All_India_Index_Upto_April23__1___1[Non-alcoholic beverages],
      MATCH(1,(All_India_Index_Upto_April23__1___1[Date]=$A35)*
              (All_India_Index_Upto_April23__1___1[Sector]="Rural+Urban"),0)),
    INDEX(All_India_Index_Upto_April23__1___1[Prepared meals, snacks, sweets etc.],
      MATCH(1,(All_India_Index_Upto_April23__1___1[Date]=$A35)*
              (All_India_Index_Upto_April23__1___1[Sector]="Rural+Urban"),0))
  ),
"")</f>
        <v>146.58333333333334</v>
      </c>
      <c r="P35" s="2" cm="1">
        <f t="array" ref="P35">IFERROR(
  AVERAGE(
    INDEX(All_India_Index_Upto_April23__1___1[Cereals and products],
      MATCH(1,(All_India_Index_Upto_April23__1___1[Date]=EDATE($A35,-12))*
              (All_India_Index_Upto_April23__1___1[Sector]="Rural+Urban"),0)),
    INDEX(All_India_Index_Upto_April23__1___1[Meat and fish],
      MATCH(1,(All_India_Index_Upto_April23__1___1[Date]=EDATE($A35,-12))*
              (All_India_Index_Upto_April23__1___1[Sector]="Rural+Urban"),0)),
    INDEX(All_India_Index_Upto_April23__1___1[Egg],
      MATCH(1,(All_India_Index_Upto_April23__1___1[Date]=EDATE($A35,-12))*
              (All_India_Index_Upto_April23__1___1[Sector]="Rural+Urban"),0)),
    INDEX(All_India_Index_Upto_April23__1___1[Milk and products],
      MATCH(1,(All_India_Index_Upto_April23__1___1[Date]=EDATE($A35,-12))*
              (All_India_Index_Upto_April23__1___1[Sector]="Rural+Urban"),0)),
    INDEX(All_India_Index_Upto_April23__1___1[Oils and fats],
      MATCH(1,(All_India_Index_Upto_April23__1___1[Date]=EDATE($A35,-12))*
              (All_India_Index_Upto_April23__1___1[Sector]="Rural+Urban"),0)),
    INDEX(All_India_Index_Upto_April23__1___1[Fruits],
      MATCH(1,(All_India_Index_Upto_April23__1___1[Date]=EDATE($A35,-12))*
              (All_India_Index_Upto_April23__1___1[Sector]="Rural+Urban"),0)),
    INDEX(All_India_Index_Upto_April23__1___1[Vegetables],
      MATCH(1,(All_India_Index_Upto_April23__1___1[Date]=EDATE($A35,-12))*
              (All_India_Index_Upto_April23__1___1[Sector]="Rural+Urban"),0)),
    INDEX(All_India_Index_Upto_April23__1___1[Pulses and products],
      MATCH(1,(All_India_Index_Upto_April23__1___1[Date]=EDATE($A35,-12))*
              (All_India_Index_Upto_April23__1___1[Sector]="Rural+Urban"),0)),
    INDEX(All_India_Index_Upto_April23__1___1[Sugar and Confectionery],
      MATCH(1,(All_India_Index_Upto_April23__1___1[Date]=EDATE($A35,-12))*
              (All_India_Index_Upto_April23__1___1[Sector]="Rural+Urban"),0)),
    INDEX(All_India_Index_Upto_April23__1___1[Spices],
      MATCH(1,(All_India_Index_Upto_April23__1___1[Date]=EDATE($A35,-12))*
              (All_India_Index_Upto_April23__1___1[Sector]="Rural+Urban"),0)),
    INDEX(All_India_Index_Upto_April23__1___1[Non-alcoholic beverages],
      MATCH(1,(All_India_Index_Upto_April23__1___1[Date]=EDATE($A35,-12))*
              (All_India_Index_Upto_April23__1___1[Sector]="Rural+Urban"),0)),
    INDEX(All_India_Index_Upto_April23__1___1[Prepared meals, snacks, sweets etc.],
      MATCH(1,(All_India_Index_Upto_April23__1___1[Date]=EDATE($A35,-12))*
              (All_India_Index_Upto_April23__1___1[Sector]="Rural+Urban"),0))
  ),
"")</f>
        <v>136.33333333333334</v>
      </c>
      <c r="Q35" s="8">
        <f t="shared" si="2"/>
        <v>7.5183374083129584E-2</v>
      </c>
      <c r="R35" t="str">
        <f t="shared" si="3"/>
        <v>Pre-COVID</v>
      </c>
      <c r="T35" s="2" cm="1">
        <f t="array" ref="T35">IFERROR(
  INDEX(
    All_India_Index_Upto_April23__1___1[Health],
    MATCH(
      1,
      (All_India_Index_Upto_April23__1___1[Date]=$A35) *
      (All_India_Index_Upto_April23__1___1[Sector]="Rural+Urban"),
      0
    )
  ),
"")</f>
        <v>149.9</v>
      </c>
      <c r="U35" s="2" cm="1">
        <f t="array" ref="U35">IFERROR(
  INDEX(
    All_India_Index_Upto_April23__1___1[Health],
    MATCH(
      1,
      (All_India_Index_Upto_April23__1___1[Date]=EDATE($A35,-12)) *
      (All_India_Index_Upto_April23__1___1[Sector]="Rural+Urban"),
      0
    )
  ),
"")</f>
        <v>142.1</v>
      </c>
      <c r="V35" s="8">
        <f t="shared" si="4"/>
        <v>5.4890921885995862E-2</v>
      </c>
      <c r="W35" t="str">
        <f t="shared" si="5"/>
        <v>Pre-COVID</v>
      </c>
      <c r="Y35" s="2" cm="1">
        <f t="array" ref="Y35">IFERROR(
  AVERAGE(
    INDEX(All_India_Index_Upto_April23__1___1[Pan, tobacco and intoxicants],
      MATCH(1,(All_India_Index_Upto_April23__1___1[Date]=$A35)*
              (All_India_Index_Upto_April23__1___1[Sector]="Rural+Urban"),0)),
    INDEX(All_India_Index_Upto_April23__1___1[Clothing],
      MATCH(1,(All_India_Index_Upto_April23__1___1[Date]=$A35)*
              (All_India_Index_Upto_April23__1___1[Sector]="Rural+Urban"),0)),
    INDEX(All_India_Index_Upto_April23__1___1[Footwear],
      MATCH(1,(All_India_Index_Upto_April23__1___1[Date]=$A35)*
              (All_India_Index_Upto_April23__1___1[Sector]="Rural+Urban"),0)),
    INDEX(All_India_Index_Upto_April23__1___1[Clothing and footwear],
      MATCH(1,(All_India_Index_Upto_April23__1___1[Date]=$A35)*
              (All_India_Index_Upto_April23__1___1[Sector]="Rural+Urban"),0)),
    INDEX(All_India_Index_Upto_April23__1___1[Housing],
      MATCH(1,(All_India_Index_Upto_April23__1___1[Date]=$A35)*
              (All_India_Index_Upto_April23__1___1[Sector]="Rural+Urban"),0)),
    INDEX(All_India_Index_Upto_April23__1___1[Fuel and light],
      MATCH(1,(All_India_Index_Upto_April23__1___1[Date]=$A35)*
              (All_India_Index_Upto_April23__1___1[Sector]="Rural+Urban"),0)),
    INDEX(All_India_Index_Upto_April23__1___1[Household goods and services],
      MATCH(1,(All_India_Index_Upto_April23__1___1[Date]=$A35)*
              (All_India_Index_Upto_April23__1___1[Sector]="Rural+Urban"),0)),
    INDEX(All_India_Index_Upto_April23__1___1[Health],
      MATCH(1,(All_India_Index_Upto_April23__1___1[Date]=$A35)*
              (All_India_Index_Upto_April23__1___1[Sector]="Rural+Urban"),0)),
    INDEX(All_India_Index_Upto_April23__1___1[Transport and communication],
      MATCH(1,(All_India_Index_Upto_April23__1___1[Date]=$A35)*
              (All_India_Index_Upto_April23__1___1[Sector]="Rural+Urban"),0)),
    INDEX(All_India_Index_Upto_April23__1___1[Recreation and amusement],
      MATCH(1,(All_India_Index_Upto_April23__1___1[Date]=$A35)*
              (All_India_Index_Upto_April23__1___1[Sector]="Rural+Urban"),0)),
    INDEX(All_India_Index_Upto_April23__1___1[Education],
      MATCH(1,(All_India_Index_Upto_April23__1___1[Date]=$A35)*
              (All_India_Index_Upto_April23__1___1[Sector]="Rural+Urban"),0)),
    INDEX(All_India_Index_Upto_April23__1___1[Personal care and effects],
      MATCH(1,(All_India_Index_Upto_April23__1___1[Date]=$A35)*
              (All_India_Index_Upto_April23__1___1[Sector]="Rural+Urban"),0)),
    INDEX(All_India_Index_Upto_April23__1___1[Miscellaneous],
      MATCH(1,(All_India_Index_Upto_April23__1___1[Date]=$A35)*
              (All_India_Index_Upto_April23__1___1[Sector]="Rural+Urban"),0))
  ),
"")</f>
        <v>145.89166666666665</v>
      </c>
      <c r="Z35" s="2" cm="1">
        <f t="array" ref="Z35">IFERROR(
  AVERAGE(
    INDEX(All_India_Index_Upto_April23__1___1[Pan, tobacco and intoxicants],
      MATCH(1,(All_India_Index_Upto_April23__1___1[Date]=EDATE($A35,-12))*
              (All_India_Index_Upto_April23__1___1[Sector]="Rural+Urban"),0)),
    INDEX(All_India_Index_Upto_April23__1___1[Clothing],
      MATCH(1,(All_India_Index_Upto_April23__1___1[Date]=EDATE($A35,-12))*
              (All_India_Index_Upto_April23__1___1[Sector]="Rural+Urban"),0)),
    INDEX(All_India_Index_Upto_April23__1___1[Footwear],
      MATCH(1,(All_India_Index_Upto_April23__1___1[Date]=EDATE($A35,-12))*
              (All_India_Index_Upto_April23__1___1[Sector]="Rural+Urban"),0)),
    INDEX(All_India_Index_Upto_April23__1___1[Clothing and footwear],
      MATCH(1,(All_India_Index_Upto_April23__1___1[Date]=EDATE($A35,-12))*
              (All_India_Index_Upto_April23__1___1[Sector]="Rural+Urban"),0)),
    INDEX(All_India_Index_Upto_April23__1___1[Housing],
      MATCH(1,(All_India_Index_Upto_April23__1___1[Date]=EDATE($A35,-12))*
              (All_India_Index_Upto_April23__1___1[Sector]="Rural+Urban"),0)),
    INDEX(All_India_Index_Upto_April23__1___1[Fuel and light],
      MATCH(1,(All_India_Index_Upto_April23__1___1[Date]=EDATE($A35,-12))*
              (All_India_Index_Upto_April23__1___1[Sector]="Rural+Urban"),0)),
    INDEX(All_India_Index_Upto_April23__1___1[Household goods and services],
      MATCH(1,(All_India_Index_Upto_April23__1___1[Date]=EDATE($A35,-12))*
              (All_India_Index_Upto_April23__1___1[Sector]="Rural+Urban"),0)),
    INDEX(All_India_Index_Upto_April23__1___1[Health],
      MATCH(1,(All_India_Index_Upto_April23__1___1[Date]=EDATE($A35,-12))*
              (All_India_Index_Upto_April23__1___1[Sector]="Rural+Urban"),0)),
    INDEX(All_India_Index_Upto_April23__1___1[Transport and communication],
      MATCH(1,(All_India_Index_Upto_April23__1___1[Date]=EDATE($A35,-12))*
              (All_India_Index_Upto_April23__1___1[Sector]="Rural+Urban"),0)),
    INDEX(All_India_Index_Upto_April23__1___1[Recreation and amusement],
      MATCH(1,(All_India_Index_Upto_April23__1___1[Date]=EDATE($A35,-12))*
              (All_India_Index_Upto_April23__1___1[Sector]="Rural+Urban"),0)),
    INDEX(All_India_Index_Upto_April23__1___1[Education],
      MATCH(1,(All_India_Index_Upto_April23__1___1[Date]=EDATE($A35,-12))*
              (All_India_Index_Upto_April23__1___1[Sector]="Rural+Urban"),0)),
    INDEX(All_India_Index_Upto_April23__1___1[Personal care and effects],
      MATCH(1,(All_India_Index_Upto_April23__1___1[Date]=EDATE($A35,-12))*
              (All_India_Index_Upto_April23__1___1[Sector]="Rural+Urban"),0)),
    INDEX(All_India_Index_Upto_April23__1___1[Miscellaneous],
      MATCH(1,(All_India_Index_Upto_April23__1___1[Date]=EDATE($A35,-12))*
              (All_India_Index_Upto_April23__1___1[Sector]="Rural+Urban"),0))
  ),
"")</f>
        <v>141.99166666666665</v>
      </c>
      <c r="AA35" s="8">
        <f t="shared" si="6"/>
        <v>2.74664006103645E-2</v>
      </c>
      <c r="AB35" t="str">
        <f t="shared" si="7"/>
        <v>Pre-COVID</v>
      </c>
    </row>
    <row r="36" spans="1:28" x14ac:dyDescent="0.2">
      <c r="A36" s="22">
        <v>43800</v>
      </c>
      <c r="B36">
        <v>2019</v>
      </c>
      <c r="C36" t="s">
        <v>53</v>
      </c>
      <c r="D36" s="2" cm="1">
        <f t="array" ref="D36">IFERROR(
  INDEX(
    All_India_Index_Upto_April23__1___1[General index],
    MATCH(
      1,
      (All_India_Index_Upto_April23__1___1[Sector]="Rural+Urban") *
      (All_India_Index_Upto_April23__1___1[Date]=A36),
      0
    )
  ),
"")</f>
        <v>150.4</v>
      </c>
      <c r="E36" s="2" cm="1">
        <f t="array" ref="E36">IFERROR(
  INDEX(
    All_India_Index_Upto_April23__1___1[General index],
    MATCH(
      1,
      (All_India_Index_Upto_April23__1___1[Sector]="Rural+Urban") *
      (All_India_Index_Upto_April23__1___1[Date]=EDATE(A36,-12)),
      0
    )
  ),
"")</f>
        <v>140.1</v>
      </c>
      <c r="F36" s="8">
        <f t="shared" si="0"/>
        <v>7.3518915060670986E-2</v>
      </c>
      <c r="G36" t="str">
        <f t="shared" si="1"/>
        <v>Pre-COVID</v>
      </c>
      <c r="O36" s="2" cm="1">
        <f t="array" ref="O36">IFERROR(
  AVERAGE(
    INDEX(All_India_Index_Upto_April23__1___1[Cereals and products],
      MATCH(1,(All_India_Index_Upto_April23__1___1[Date]=$A36)*
              (All_India_Index_Upto_April23__1___1[Sector]="Rural+Urban"),0)),
    INDEX(All_India_Index_Upto_April23__1___1[Meat and fish],
      MATCH(1,(All_India_Index_Upto_April23__1___1[Date]=$A36)*
              (All_India_Index_Upto_April23__1___1[Sector]="Rural+Urban"),0)),
    INDEX(All_India_Index_Upto_April23__1___1[Egg],
      MATCH(1,(All_India_Index_Upto_April23__1___1[Date]=$A36)*
              (All_India_Index_Upto_April23__1___1[Sector]="Rural+Urban"),0)),
    INDEX(All_India_Index_Upto_April23__1___1[Milk and products],
      MATCH(1,(All_India_Index_Upto_April23__1___1[Date]=$A36)*
              (All_India_Index_Upto_April23__1___1[Sector]="Rural+Urban"),0)),
    INDEX(All_India_Index_Upto_April23__1___1[Oils and fats],
      MATCH(1,(All_India_Index_Upto_April23__1___1[Date]=$A36)*
              (All_India_Index_Upto_April23__1___1[Sector]="Rural+Urban"),0)),
    INDEX(All_India_Index_Upto_April23__1___1[Fruits],
      MATCH(1,(All_India_Index_Upto_April23__1___1[Date]=$A36)*
              (All_India_Index_Upto_April23__1___1[Sector]="Rural+Urban"),0)),
    INDEX(All_India_Index_Upto_April23__1___1[Vegetables],
      MATCH(1,(All_India_Index_Upto_April23__1___1[Date]=$A36)*
              (All_India_Index_Upto_April23__1___1[Sector]="Rural+Urban"),0)),
    INDEX(All_India_Index_Upto_April23__1___1[Pulses and products],
      MATCH(1,(All_India_Index_Upto_April23__1___1[Date]=$A36)*
              (All_India_Index_Upto_April23__1___1[Sector]="Rural+Urban"),0)),
    INDEX(All_India_Index_Upto_April23__1___1[Sugar and Confectionery],
      MATCH(1,(All_India_Index_Upto_April23__1___1[Date]=$A36)*
              (All_India_Index_Upto_April23__1___1[Sector]="Rural+Urban"),0)),
    INDEX(All_India_Index_Upto_April23__1___1[Spices],
      MATCH(1,(All_India_Index_Upto_April23__1___1[Date]=$A36)*
              (All_India_Index_Upto_April23__1___1[Sector]="Rural+Urban"),0)),
    INDEX(All_India_Index_Upto_April23__1___1[Non-alcoholic beverages],
      MATCH(1,(All_India_Index_Upto_April23__1___1[Date]=$A36)*
              (All_India_Index_Upto_April23__1___1[Sector]="Rural+Urban"),0)),
    INDEX(All_India_Index_Upto_April23__1___1[Prepared meals, snacks, sweets etc.],
      MATCH(1,(All_India_Index_Upto_April23__1___1[Date]=$A36)*
              (All_India_Index_Upto_April23__1___1[Sector]="Rural+Urban"),0))
  ),
"")</f>
        <v>149.25833333333335</v>
      </c>
      <c r="P36" s="2" cm="1">
        <f t="array" ref="P36">IFERROR(
  AVERAGE(
    INDEX(All_India_Index_Upto_April23__1___1[Cereals and products],
      MATCH(1,(All_India_Index_Upto_April23__1___1[Date]=EDATE($A36,-12))*
              (All_India_Index_Upto_April23__1___1[Sector]="Rural+Urban"),0)),
    INDEX(All_India_Index_Upto_April23__1___1[Meat and fish],
      MATCH(1,(All_India_Index_Upto_April23__1___1[Date]=EDATE($A36,-12))*
              (All_India_Index_Upto_April23__1___1[Sector]="Rural+Urban"),0)),
    INDEX(All_India_Index_Upto_April23__1___1[Egg],
      MATCH(1,(All_India_Index_Upto_April23__1___1[Date]=EDATE($A36,-12))*
              (All_India_Index_Upto_April23__1___1[Sector]="Rural+Urban"),0)),
    INDEX(All_India_Index_Upto_April23__1___1[Milk and products],
      MATCH(1,(All_India_Index_Upto_April23__1___1[Date]=EDATE($A36,-12))*
              (All_India_Index_Upto_April23__1___1[Sector]="Rural+Urban"),0)),
    INDEX(All_India_Index_Upto_April23__1___1[Oils and fats],
      MATCH(1,(All_India_Index_Upto_April23__1___1[Date]=EDATE($A36,-12))*
              (All_India_Index_Upto_April23__1___1[Sector]="Rural+Urban"),0)),
    INDEX(All_India_Index_Upto_April23__1___1[Fruits],
      MATCH(1,(All_India_Index_Upto_April23__1___1[Date]=EDATE($A36,-12))*
              (All_India_Index_Upto_April23__1___1[Sector]="Rural+Urban"),0)),
    INDEX(All_India_Index_Upto_April23__1___1[Vegetables],
      MATCH(1,(All_India_Index_Upto_April23__1___1[Date]=EDATE($A36,-12))*
              (All_India_Index_Upto_April23__1___1[Sector]="Rural+Urban"),0)),
    INDEX(All_India_Index_Upto_April23__1___1[Pulses and products],
      MATCH(1,(All_India_Index_Upto_April23__1___1[Date]=EDATE($A36,-12))*
              (All_India_Index_Upto_April23__1___1[Sector]="Rural+Urban"),0)),
    INDEX(All_India_Index_Upto_April23__1___1[Sugar and Confectionery],
      MATCH(1,(All_India_Index_Upto_April23__1___1[Date]=EDATE($A36,-12))*
              (All_India_Index_Upto_April23__1___1[Sector]="Rural+Urban"),0)),
    INDEX(All_India_Index_Upto_April23__1___1[Spices],
      MATCH(1,(All_India_Index_Upto_April23__1___1[Date]=EDATE($A36,-12))*
              (All_India_Index_Upto_April23__1___1[Sector]="Rural+Urban"),0)),
    INDEX(All_India_Index_Upto_April23__1___1[Non-alcoholic beverages],
      MATCH(1,(All_India_Index_Upto_April23__1___1[Date]=EDATE($A36,-12))*
              (All_India_Index_Upto_April23__1___1[Sector]="Rural+Urban"),0)),
    INDEX(All_India_Index_Upto_April23__1___1[Prepared meals, snacks, sweets etc.],
      MATCH(1,(All_India_Index_Upto_April23__1___1[Date]=EDATE($A36,-12))*
              (All_India_Index_Upto_April23__1___1[Sector]="Rural+Urban"),0))
  ),
"")</f>
        <v>135.3833333333333</v>
      </c>
      <c r="Q36" s="8">
        <f t="shared" si="2"/>
        <v>0.10248676597316307</v>
      </c>
      <c r="R36" t="str">
        <f t="shared" si="3"/>
        <v>Pre-COVID</v>
      </c>
      <c r="T36" s="2" cm="1">
        <f t="array" ref="T36">IFERROR(
  INDEX(
    All_India_Index_Upto_April23__1___1[Health],
    MATCH(
      1,
      (All_India_Index_Upto_April23__1___1[Date]=$A36) *
      (All_India_Index_Upto_April23__1___1[Sector]="Rural+Urban"),
      0
    )
  ),
"")</f>
        <v>150.4</v>
      </c>
      <c r="U36" s="2" cm="1">
        <f t="array" ref="U36">IFERROR(
  INDEX(
    All_India_Index_Upto_April23__1___1[Health],
    MATCH(
      1,
      (All_India_Index_Upto_April23__1___1[Date]=EDATE($A36,-12)) *
      (All_India_Index_Upto_April23__1___1[Sector]="Rural+Urban"),
      0
    )
  ),
"")</f>
        <v>144.9</v>
      </c>
      <c r="V36" s="8">
        <f t="shared" si="4"/>
        <v>3.7957211870255345E-2</v>
      </c>
      <c r="W36" t="str">
        <f t="shared" si="5"/>
        <v>Pre-COVID</v>
      </c>
      <c r="Y36" s="2" cm="1">
        <f t="array" ref="Y36">IFERROR(
  AVERAGE(
    INDEX(All_India_Index_Upto_April23__1___1[Pan, tobacco and intoxicants],
      MATCH(1,(All_India_Index_Upto_April23__1___1[Date]=$A36)*
              (All_India_Index_Upto_April23__1___1[Sector]="Rural+Urban"),0)),
    INDEX(All_India_Index_Upto_April23__1___1[Clothing],
      MATCH(1,(All_India_Index_Upto_April23__1___1[Date]=$A36)*
              (All_India_Index_Upto_April23__1___1[Sector]="Rural+Urban"),0)),
    INDEX(All_India_Index_Upto_April23__1___1[Footwear],
      MATCH(1,(All_India_Index_Upto_April23__1___1[Date]=$A36)*
              (All_India_Index_Upto_April23__1___1[Sector]="Rural+Urban"),0)),
    INDEX(All_India_Index_Upto_April23__1___1[Clothing and footwear],
      MATCH(1,(All_India_Index_Upto_April23__1___1[Date]=$A36)*
              (All_India_Index_Upto_April23__1___1[Sector]="Rural+Urban"),0)),
    INDEX(All_India_Index_Upto_April23__1___1[Housing],
      MATCH(1,(All_India_Index_Upto_April23__1___1[Date]=$A36)*
              (All_India_Index_Upto_April23__1___1[Sector]="Rural+Urban"),0)),
    INDEX(All_India_Index_Upto_April23__1___1[Fuel and light],
      MATCH(1,(All_India_Index_Upto_April23__1___1[Date]=$A36)*
              (All_India_Index_Upto_April23__1___1[Sector]="Rural+Urban"),0)),
    INDEX(All_India_Index_Upto_April23__1___1[Household goods and services],
      MATCH(1,(All_India_Index_Upto_April23__1___1[Date]=$A36)*
              (All_India_Index_Upto_April23__1___1[Sector]="Rural+Urban"),0)),
    INDEX(All_India_Index_Upto_April23__1___1[Health],
      MATCH(1,(All_India_Index_Upto_April23__1___1[Date]=$A36)*
              (All_India_Index_Upto_April23__1___1[Sector]="Rural+Urban"),0)),
    INDEX(All_India_Index_Upto_April23__1___1[Transport and communication],
      MATCH(1,(All_India_Index_Upto_April23__1___1[Date]=$A36)*
              (All_India_Index_Upto_April23__1___1[Sector]="Rural+Urban"),0)),
    INDEX(All_India_Index_Upto_April23__1___1[Recreation and amusement],
      MATCH(1,(All_India_Index_Upto_April23__1___1[Date]=$A36)*
              (All_India_Index_Upto_April23__1___1[Sector]="Rural+Urban"),0)),
    INDEX(All_India_Index_Upto_April23__1___1[Education],
      MATCH(1,(All_India_Index_Upto_April23__1___1[Date]=$A36)*
              (All_India_Index_Upto_April23__1___1[Sector]="Rural+Urban"),0)),
    INDEX(All_India_Index_Upto_April23__1___1[Personal care and effects],
      MATCH(1,(All_India_Index_Upto_April23__1___1[Date]=$A36)*
              (All_India_Index_Upto_April23__1___1[Sector]="Rural+Urban"),0)),
    INDEX(All_India_Index_Upto_April23__1___1[Miscellaneous],
      MATCH(1,(All_India_Index_Upto_April23__1___1[Date]=$A36)*
              (All_India_Index_Upto_April23__1___1[Sector]="Rural+Urban"),0))
  ),
"")</f>
        <v>146.64166666666668</v>
      </c>
      <c r="Z36" s="2" cm="1">
        <f t="array" ref="Z36">IFERROR(
  AVERAGE(
    INDEX(All_India_Index_Upto_April23__1___1[Pan, tobacco and intoxicants],
      MATCH(1,(All_India_Index_Upto_April23__1___1[Date]=EDATE($A36,-12))*
              (All_India_Index_Upto_April23__1___1[Sector]="Rural+Urban"),0)),
    INDEX(All_India_Index_Upto_April23__1___1[Clothing],
      MATCH(1,(All_India_Index_Upto_April23__1___1[Date]=EDATE($A36,-12))*
              (All_India_Index_Upto_April23__1___1[Sector]="Rural+Urban"),0)),
    INDEX(All_India_Index_Upto_April23__1___1[Footwear],
      MATCH(1,(All_India_Index_Upto_April23__1___1[Date]=EDATE($A36,-12))*
              (All_India_Index_Upto_April23__1___1[Sector]="Rural+Urban"),0)),
    INDEX(All_India_Index_Upto_April23__1___1[Clothing and footwear],
      MATCH(1,(All_India_Index_Upto_April23__1___1[Date]=EDATE($A36,-12))*
              (All_India_Index_Upto_April23__1___1[Sector]="Rural+Urban"),0)),
    INDEX(All_India_Index_Upto_April23__1___1[Housing],
      MATCH(1,(All_India_Index_Upto_April23__1___1[Date]=EDATE($A36,-12))*
              (All_India_Index_Upto_April23__1___1[Sector]="Rural+Urban"),0)),
    INDEX(All_India_Index_Upto_April23__1___1[Fuel and light],
      MATCH(1,(All_India_Index_Upto_April23__1___1[Date]=EDATE($A36,-12))*
              (All_India_Index_Upto_April23__1___1[Sector]="Rural+Urban"),0)),
    INDEX(All_India_Index_Upto_April23__1___1[Household goods and services],
      MATCH(1,(All_India_Index_Upto_April23__1___1[Date]=EDATE($A36,-12))*
              (All_India_Index_Upto_April23__1___1[Sector]="Rural+Urban"),0)),
    INDEX(All_India_Index_Upto_April23__1___1[Health],
      MATCH(1,(All_India_Index_Upto_April23__1___1[Date]=EDATE($A36,-12))*
              (All_India_Index_Upto_April23__1___1[Sector]="Rural+Urban"),0)),
    INDEX(All_India_Index_Upto_April23__1___1[Transport and communication],
      MATCH(1,(All_India_Index_Upto_April23__1___1[Date]=EDATE($A36,-12))*
              (All_India_Index_Upto_April23__1___1[Sector]="Rural+Urban"),0)),
    INDEX(All_India_Index_Upto_April23__1___1[Recreation and amusement],
      MATCH(1,(All_India_Index_Upto_April23__1___1[Date]=EDATE($A36,-12))*
              (All_India_Index_Upto_April23__1___1[Sector]="Rural+Urban"),0)),
    INDEX(All_India_Index_Upto_April23__1___1[Education],
      MATCH(1,(All_India_Index_Upto_April23__1___1[Date]=EDATE($A36,-12))*
              (All_India_Index_Upto_April23__1___1[Sector]="Rural+Urban"),0)),
    INDEX(All_India_Index_Upto_April23__1___1[Personal care and effects],
      MATCH(1,(All_India_Index_Upto_April23__1___1[Date]=EDATE($A36,-12))*
              (All_India_Index_Upto_April23__1___1[Sector]="Rural+Urban"),0)),
    INDEX(All_India_Index_Upto_April23__1___1[Miscellaneous],
      MATCH(1,(All_India_Index_Upto_April23__1___1[Date]=EDATE($A36,-12))*
              (All_India_Index_Upto_April23__1___1[Sector]="Rural+Urban"),0))
  ),
"")</f>
        <v>142.29999999999998</v>
      </c>
      <c r="AA36" s="8">
        <f t="shared" si="6"/>
        <v>3.0510658233778618E-2</v>
      </c>
      <c r="AB36" t="str">
        <f t="shared" si="7"/>
        <v>Pre-COVID</v>
      </c>
    </row>
    <row r="37" spans="1:28" x14ac:dyDescent="0.2">
      <c r="A37" s="22">
        <v>43831</v>
      </c>
      <c r="B37">
        <v>2020</v>
      </c>
      <c r="C37" t="s">
        <v>31</v>
      </c>
      <c r="D37" s="2" cm="1">
        <f t="array" ref="D37">IFERROR(
  INDEX(
    All_India_Index_Upto_April23__1___1[General index],
    MATCH(
      1,
      (All_India_Index_Upto_April23__1___1[Sector]="Rural+Urban") *
      (All_India_Index_Upto_April23__1___1[Date]=A37),
      0
    )
  ),
"")</f>
        <v>150.19999999999999</v>
      </c>
      <c r="E37" s="2" cm="1">
        <f t="array" ref="E37">IFERROR(
  INDEX(
    All_India_Index_Upto_April23__1___1[General index],
    MATCH(
      1,
      (All_India_Index_Upto_April23__1___1[Sector]="Rural+Urban") *
      (All_India_Index_Upto_April23__1___1[Date]=EDATE(A37,-12)),
      0
    )
  ),
"")</f>
        <v>139.6</v>
      </c>
      <c r="F37" s="8">
        <f t="shared" si="0"/>
        <v>7.5931232091690504E-2</v>
      </c>
      <c r="G37" t="str">
        <f t="shared" si="1"/>
        <v>Pre-COVID</v>
      </c>
      <c r="O37" s="2" cm="1">
        <f t="array" ref="O37">IFERROR(
  AVERAGE(
    INDEX(All_India_Index_Upto_April23__1___1[Cereals and products],
      MATCH(1,(All_India_Index_Upto_April23__1___1[Date]=$A37)*
              (All_India_Index_Upto_April23__1___1[Sector]="Rural+Urban"),0)),
    INDEX(All_India_Index_Upto_April23__1___1[Meat and fish],
      MATCH(1,(All_India_Index_Upto_April23__1___1[Date]=$A37)*
              (All_India_Index_Upto_April23__1___1[Sector]="Rural+Urban"),0)),
    INDEX(All_India_Index_Upto_April23__1___1[Egg],
      MATCH(1,(All_India_Index_Upto_April23__1___1[Date]=$A37)*
              (All_India_Index_Upto_April23__1___1[Sector]="Rural+Urban"),0)),
    INDEX(All_India_Index_Upto_April23__1___1[Milk and products],
      MATCH(1,(All_India_Index_Upto_April23__1___1[Date]=$A37)*
              (All_India_Index_Upto_April23__1___1[Sector]="Rural+Urban"),0)),
    INDEX(All_India_Index_Upto_April23__1___1[Oils and fats],
      MATCH(1,(All_India_Index_Upto_April23__1___1[Date]=$A37)*
              (All_India_Index_Upto_April23__1___1[Sector]="Rural+Urban"),0)),
    INDEX(All_India_Index_Upto_April23__1___1[Fruits],
      MATCH(1,(All_India_Index_Upto_April23__1___1[Date]=$A37)*
              (All_India_Index_Upto_April23__1___1[Sector]="Rural+Urban"),0)),
    INDEX(All_India_Index_Upto_April23__1___1[Vegetables],
      MATCH(1,(All_India_Index_Upto_April23__1___1[Date]=$A37)*
              (All_India_Index_Upto_April23__1___1[Sector]="Rural+Urban"),0)),
    INDEX(All_India_Index_Upto_April23__1___1[Pulses and products],
      MATCH(1,(All_India_Index_Upto_April23__1___1[Date]=$A37)*
              (All_India_Index_Upto_April23__1___1[Sector]="Rural+Urban"),0)),
    INDEX(All_India_Index_Upto_April23__1___1[Sugar and Confectionery],
      MATCH(1,(All_India_Index_Upto_April23__1___1[Date]=$A37)*
              (All_India_Index_Upto_April23__1___1[Sector]="Rural+Urban"),0)),
    INDEX(All_India_Index_Upto_April23__1___1[Spices],
      MATCH(1,(All_India_Index_Upto_April23__1___1[Date]=$A37)*
              (All_India_Index_Upto_April23__1___1[Sector]="Rural+Urban"),0)),
    INDEX(All_India_Index_Upto_April23__1___1[Non-alcoholic beverages],
      MATCH(1,(All_India_Index_Upto_April23__1___1[Date]=$A37)*
              (All_India_Index_Upto_April23__1___1[Sector]="Rural+Urban"),0)),
    INDEX(All_India_Index_Upto_April23__1___1[Prepared meals, snacks, sweets etc.],
      MATCH(1,(All_India_Index_Upto_April23__1___1[Date]=$A37)*
              (All_India_Index_Upto_April23__1___1[Sector]="Rural+Urban"),0))
  ),
"")</f>
        <v>148.90833333333333</v>
      </c>
      <c r="P37" s="2" cm="1">
        <f t="array" ref="P37">IFERROR(
  AVERAGE(
    INDEX(All_India_Index_Upto_April23__1___1[Cereals and products],
      MATCH(1,(All_India_Index_Upto_April23__1___1[Date]=EDATE($A37,-12))*
              (All_India_Index_Upto_April23__1___1[Sector]="Rural+Urban"),0)),
    INDEX(All_India_Index_Upto_April23__1___1[Meat and fish],
      MATCH(1,(All_India_Index_Upto_April23__1___1[Date]=EDATE($A37,-12))*
              (All_India_Index_Upto_April23__1___1[Sector]="Rural+Urban"),0)),
    INDEX(All_India_Index_Upto_April23__1___1[Egg],
      MATCH(1,(All_India_Index_Upto_April23__1___1[Date]=EDATE($A37,-12))*
              (All_India_Index_Upto_April23__1___1[Sector]="Rural+Urban"),0)),
    INDEX(All_India_Index_Upto_April23__1___1[Milk and products],
      MATCH(1,(All_India_Index_Upto_April23__1___1[Date]=EDATE($A37,-12))*
              (All_India_Index_Upto_April23__1___1[Sector]="Rural+Urban"),0)),
    INDEX(All_India_Index_Upto_April23__1___1[Oils and fats],
      MATCH(1,(All_India_Index_Upto_April23__1___1[Date]=EDATE($A37,-12))*
              (All_India_Index_Upto_April23__1___1[Sector]="Rural+Urban"),0)),
    INDEX(All_India_Index_Upto_April23__1___1[Fruits],
      MATCH(1,(All_India_Index_Upto_April23__1___1[Date]=EDATE($A37,-12))*
              (All_India_Index_Upto_April23__1___1[Sector]="Rural+Urban"),0)),
    INDEX(All_India_Index_Upto_April23__1___1[Vegetables],
      MATCH(1,(All_India_Index_Upto_April23__1___1[Date]=EDATE($A37,-12))*
              (All_India_Index_Upto_April23__1___1[Sector]="Rural+Urban"),0)),
    INDEX(All_India_Index_Upto_April23__1___1[Pulses and products],
      MATCH(1,(All_India_Index_Upto_April23__1___1[Date]=EDATE($A37,-12))*
              (All_India_Index_Upto_April23__1___1[Sector]="Rural+Urban"),0)),
    INDEX(All_India_Index_Upto_April23__1___1[Sugar and Confectionery],
      MATCH(1,(All_India_Index_Upto_April23__1___1[Date]=EDATE($A37,-12))*
              (All_India_Index_Upto_April23__1___1[Sector]="Rural+Urban"),0)),
    INDEX(All_India_Index_Upto_April23__1___1[Spices],
      MATCH(1,(All_India_Index_Upto_April23__1___1[Date]=EDATE($A37,-12))*
              (All_India_Index_Upto_April23__1___1[Sector]="Rural+Urban"),0)),
    INDEX(All_India_Index_Upto_April23__1___1[Non-alcoholic beverages],
      MATCH(1,(All_India_Index_Upto_April23__1___1[Date]=EDATE($A37,-12))*
              (All_India_Index_Upto_April23__1___1[Sector]="Rural+Urban"),0)),
    INDEX(All_India_Index_Upto_April23__1___1[Prepared meals, snacks, sweets etc.],
      MATCH(1,(All_India_Index_Upto_April23__1___1[Date]=EDATE($A37,-12))*
              (All_India_Index_Upto_April23__1___1[Sector]="Rural+Urban"),0))
  ),
"")</f>
        <v>134.66666666666666</v>
      </c>
      <c r="Q37" s="8">
        <f t="shared" si="2"/>
        <v>0.10575495049504957</v>
      </c>
      <c r="R37" t="str">
        <f t="shared" si="3"/>
        <v>Pre-COVID</v>
      </c>
      <c r="T37" s="2" cm="1">
        <f t="array" ref="T37">IFERROR(
  INDEX(
    All_India_Index_Upto_April23__1___1[Health],
    MATCH(
      1,
      (All_India_Index_Upto_April23__1___1[Date]=$A37) *
      (All_India_Index_Upto_April23__1___1[Sector]="Rural+Urban"),
      0
    )
  ),
"")</f>
        <v>151.19999999999999</v>
      </c>
      <c r="U37" s="2" cm="1">
        <f t="array" ref="U37">IFERROR(
  INDEX(
    All_India_Index_Upto_April23__1___1[Health],
    MATCH(
      1,
      (All_India_Index_Upto_April23__1___1[Date]=EDATE($A37,-12)) *
      (All_India_Index_Upto_April23__1___1[Sector]="Rural+Urban"),
      0
    )
  ),
"")</f>
        <v>145.1</v>
      </c>
      <c r="V37" s="8">
        <f t="shared" si="4"/>
        <v>4.2039972432804926E-2</v>
      </c>
      <c r="W37" t="str">
        <f t="shared" si="5"/>
        <v>Pre-COVID</v>
      </c>
      <c r="Y37" s="2" cm="1">
        <f t="array" ref="Y37">IFERROR(
  AVERAGE(
    INDEX(All_India_Index_Upto_April23__1___1[Pan, tobacco and intoxicants],
      MATCH(1,(All_India_Index_Upto_April23__1___1[Date]=$A37)*
              (All_India_Index_Upto_April23__1___1[Sector]="Rural+Urban"),0)),
    INDEX(All_India_Index_Upto_April23__1___1[Clothing],
      MATCH(1,(All_India_Index_Upto_April23__1___1[Date]=$A37)*
              (All_India_Index_Upto_April23__1___1[Sector]="Rural+Urban"),0)),
    INDEX(All_India_Index_Upto_April23__1___1[Footwear],
      MATCH(1,(All_India_Index_Upto_April23__1___1[Date]=$A37)*
              (All_India_Index_Upto_April23__1___1[Sector]="Rural+Urban"),0)),
    INDEX(All_India_Index_Upto_April23__1___1[Clothing and footwear],
      MATCH(1,(All_India_Index_Upto_April23__1___1[Date]=$A37)*
              (All_India_Index_Upto_April23__1___1[Sector]="Rural+Urban"),0)),
    INDEX(All_India_Index_Upto_April23__1___1[Housing],
      MATCH(1,(All_India_Index_Upto_April23__1___1[Date]=$A37)*
              (All_India_Index_Upto_April23__1___1[Sector]="Rural+Urban"),0)),
    INDEX(All_India_Index_Upto_April23__1___1[Fuel and light],
      MATCH(1,(All_India_Index_Upto_April23__1___1[Date]=$A37)*
              (All_India_Index_Upto_April23__1___1[Sector]="Rural+Urban"),0)),
    INDEX(All_India_Index_Upto_April23__1___1[Household goods and services],
      MATCH(1,(All_India_Index_Upto_April23__1___1[Date]=$A37)*
              (All_India_Index_Upto_April23__1___1[Sector]="Rural+Urban"),0)),
    INDEX(All_India_Index_Upto_April23__1___1[Health],
      MATCH(1,(All_India_Index_Upto_April23__1___1[Date]=$A37)*
              (All_India_Index_Upto_April23__1___1[Sector]="Rural+Urban"),0)),
    INDEX(All_India_Index_Upto_April23__1___1[Transport and communication],
      MATCH(1,(All_India_Index_Upto_April23__1___1[Date]=$A37)*
              (All_India_Index_Upto_April23__1___1[Sector]="Rural+Urban"),0)),
    INDEX(All_India_Index_Upto_April23__1___1[Recreation and amusement],
      MATCH(1,(All_India_Index_Upto_April23__1___1[Date]=$A37)*
              (All_India_Index_Upto_April23__1___1[Sector]="Rural+Urban"),0)),
    INDEX(All_India_Index_Upto_April23__1___1[Education],
      MATCH(1,(All_India_Index_Upto_April23__1___1[Date]=$A37)*
              (All_India_Index_Upto_April23__1___1[Sector]="Rural+Urban"),0)),
    INDEX(All_India_Index_Upto_April23__1___1[Personal care and effects],
      MATCH(1,(All_India_Index_Upto_April23__1___1[Date]=$A37)*
              (All_India_Index_Upto_April23__1___1[Sector]="Rural+Urban"),0)),
    INDEX(All_India_Index_Upto_April23__1___1[Miscellaneous],
      MATCH(1,(All_India_Index_Upto_April23__1___1[Date]=$A37)*
              (All_India_Index_Upto_April23__1___1[Sector]="Rural+Urban"),0))
  ),
"")</f>
        <v>147.32500000000002</v>
      </c>
      <c r="Z37" s="2" cm="1">
        <f t="array" ref="Z37">IFERROR(
  AVERAGE(
    INDEX(All_India_Index_Upto_April23__1___1[Pan, tobacco and intoxicants],
      MATCH(1,(All_India_Index_Upto_April23__1___1[Date]=EDATE($A37,-12))*
              (All_India_Index_Upto_April23__1___1[Sector]="Rural+Urban"),0)),
    INDEX(All_India_Index_Upto_April23__1___1[Clothing],
      MATCH(1,(All_India_Index_Upto_April23__1___1[Date]=EDATE($A37,-12))*
              (All_India_Index_Upto_April23__1___1[Sector]="Rural+Urban"),0)),
    INDEX(All_India_Index_Upto_April23__1___1[Footwear],
      MATCH(1,(All_India_Index_Upto_April23__1___1[Date]=EDATE($A37,-12))*
              (All_India_Index_Upto_April23__1___1[Sector]="Rural+Urban"),0)),
    INDEX(All_India_Index_Upto_April23__1___1[Clothing and footwear],
      MATCH(1,(All_India_Index_Upto_April23__1___1[Date]=EDATE($A37,-12))*
              (All_India_Index_Upto_April23__1___1[Sector]="Rural+Urban"),0)),
    INDEX(All_India_Index_Upto_April23__1___1[Housing],
      MATCH(1,(All_India_Index_Upto_April23__1___1[Date]=EDATE($A37,-12))*
              (All_India_Index_Upto_April23__1___1[Sector]="Rural+Urban"),0)),
    INDEX(All_India_Index_Upto_April23__1___1[Fuel and light],
      MATCH(1,(All_India_Index_Upto_April23__1___1[Date]=EDATE($A37,-12))*
              (All_India_Index_Upto_April23__1___1[Sector]="Rural+Urban"),0)),
    INDEX(All_India_Index_Upto_April23__1___1[Household goods and services],
      MATCH(1,(All_India_Index_Upto_April23__1___1[Date]=EDATE($A37,-12))*
              (All_India_Index_Upto_April23__1___1[Sector]="Rural+Urban"),0)),
    INDEX(All_India_Index_Upto_April23__1___1[Health],
      MATCH(1,(All_India_Index_Upto_April23__1___1[Date]=EDATE($A37,-12))*
              (All_India_Index_Upto_April23__1___1[Sector]="Rural+Urban"),0)),
    INDEX(All_India_Index_Upto_April23__1___1[Transport and communication],
      MATCH(1,(All_India_Index_Upto_April23__1___1[Date]=EDATE($A37,-12))*
              (All_India_Index_Upto_April23__1___1[Sector]="Rural+Urban"),0)),
    INDEX(All_India_Index_Upto_April23__1___1[Recreation and amusement],
      MATCH(1,(All_India_Index_Upto_April23__1___1[Date]=EDATE($A37,-12))*
              (All_India_Index_Upto_April23__1___1[Sector]="Rural+Urban"),0)),
    INDEX(All_India_Index_Upto_April23__1___1[Education],
      MATCH(1,(All_India_Index_Upto_April23__1___1[Date]=EDATE($A37,-12))*
              (All_India_Index_Upto_April23__1___1[Sector]="Rural+Urban"),0)),
    INDEX(All_India_Index_Upto_April23__1___1[Personal care and effects],
      MATCH(1,(All_India_Index_Upto_April23__1___1[Date]=EDATE($A37,-12))*
              (All_India_Index_Upto_April23__1___1[Sector]="Rural+Urban"),0)),
    INDEX(All_India_Index_Upto_April23__1___1[Miscellaneous],
      MATCH(1,(All_India_Index_Upto_April23__1___1[Date]=EDATE($A37,-12))*
              (All_India_Index_Upto_April23__1___1[Sector]="Rural+Urban"),0))
  ),
"")</f>
        <v>142.02500000000001</v>
      </c>
      <c r="AA37" s="8">
        <f t="shared" si="6"/>
        <v>3.7317373701813136E-2</v>
      </c>
      <c r="AB37" t="str">
        <f t="shared" si="7"/>
        <v>Pre-COVID</v>
      </c>
    </row>
    <row r="38" spans="1:28" x14ac:dyDescent="0.2">
      <c r="A38" s="22">
        <v>43862</v>
      </c>
      <c r="B38">
        <v>2020</v>
      </c>
      <c r="C38" t="s">
        <v>35</v>
      </c>
      <c r="D38" s="2" cm="1">
        <f t="array" ref="D38">IFERROR(
  INDEX(
    All_India_Index_Upto_April23__1___1[General index],
    MATCH(
      1,
      (All_India_Index_Upto_April23__1___1[Sector]="Rural+Urban") *
      (All_India_Index_Upto_April23__1___1[Date]=A38),
      0
    )
  ),
"")</f>
        <v>149.1</v>
      </c>
      <c r="E38" s="2" cm="1">
        <f t="array" ref="E38">IFERROR(
  INDEX(
    All_India_Index_Upto_April23__1___1[General index],
    MATCH(
      1,
      (All_India_Index_Upto_April23__1___1[Sector]="Rural+Urban") *
      (All_India_Index_Upto_April23__1___1[Date]=EDATE(A38,-12)),
      0
    )
  ),
"")</f>
        <v>139.9</v>
      </c>
      <c r="F38" s="8">
        <f t="shared" si="0"/>
        <v>6.5761258041458159E-2</v>
      </c>
      <c r="G38" t="str">
        <f t="shared" si="1"/>
        <v>Pre-COVID</v>
      </c>
      <c r="O38" s="2" cm="1">
        <f t="array" ref="O38">IFERROR(
  AVERAGE(
    INDEX(All_India_Index_Upto_April23__1___1[Cereals and products],
      MATCH(1,(All_India_Index_Upto_April23__1___1[Date]=$A38)*
              (All_India_Index_Upto_April23__1___1[Sector]="Rural+Urban"),0)),
    INDEX(All_India_Index_Upto_April23__1___1[Meat and fish],
      MATCH(1,(All_India_Index_Upto_April23__1___1[Date]=$A38)*
              (All_India_Index_Upto_April23__1___1[Sector]="Rural+Urban"),0)),
    INDEX(All_India_Index_Upto_April23__1___1[Egg],
      MATCH(1,(All_India_Index_Upto_April23__1___1[Date]=$A38)*
              (All_India_Index_Upto_April23__1___1[Sector]="Rural+Urban"),0)),
    INDEX(All_India_Index_Upto_April23__1___1[Milk and products],
      MATCH(1,(All_India_Index_Upto_April23__1___1[Date]=$A38)*
              (All_India_Index_Upto_April23__1___1[Sector]="Rural+Urban"),0)),
    INDEX(All_India_Index_Upto_April23__1___1[Oils and fats],
      MATCH(1,(All_India_Index_Upto_April23__1___1[Date]=$A38)*
              (All_India_Index_Upto_April23__1___1[Sector]="Rural+Urban"),0)),
    INDEX(All_India_Index_Upto_April23__1___1[Fruits],
      MATCH(1,(All_India_Index_Upto_April23__1___1[Date]=$A38)*
              (All_India_Index_Upto_April23__1___1[Sector]="Rural+Urban"),0)),
    INDEX(All_India_Index_Upto_April23__1___1[Vegetables],
      MATCH(1,(All_India_Index_Upto_April23__1___1[Date]=$A38)*
              (All_India_Index_Upto_April23__1___1[Sector]="Rural+Urban"),0)),
    INDEX(All_India_Index_Upto_April23__1___1[Pulses and products],
      MATCH(1,(All_India_Index_Upto_April23__1___1[Date]=$A38)*
              (All_India_Index_Upto_April23__1___1[Sector]="Rural+Urban"),0)),
    INDEX(All_India_Index_Upto_April23__1___1[Sugar and Confectionery],
      MATCH(1,(All_India_Index_Upto_April23__1___1[Date]=$A38)*
              (All_India_Index_Upto_April23__1___1[Sector]="Rural+Urban"),0)),
    INDEX(All_India_Index_Upto_April23__1___1[Spices],
      MATCH(1,(All_India_Index_Upto_April23__1___1[Date]=$A38)*
              (All_India_Index_Upto_April23__1___1[Sector]="Rural+Urban"),0)),
    INDEX(All_India_Index_Upto_April23__1___1[Non-alcoholic beverages],
      MATCH(1,(All_India_Index_Upto_April23__1___1[Date]=$A38)*
              (All_India_Index_Upto_April23__1___1[Sector]="Rural+Urban"),0)),
    INDEX(All_India_Index_Upto_April23__1___1[Prepared meals, snacks, sweets etc.],
      MATCH(1,(All_India_Index_Upto_April23__1___1[Date]=$A38)*
              (All_India_Index_Upto_April23__1___1[Sector]="Rural+Urban"),0))
  ),
"")</f>
        <v>146.75833333333333</v>
      </c>
      <c r="P38" s="2" cm="1">
        <f t="array" ref="P38">IFERROR(
  AVERAGE(
    INDEX(All_India_Index_Upto_April23__1___1[Cereals and products],
      MATCH(1,(All_India_Index_Upto_April23__1___1[Date]=EDATE($A38,-12))*
              (All_India_Index_Upto_April23__1___1[Sector]="Rural+Urban"),0)),
    INDEX(All_India_Index_Upto_April23__1___1[Meat and fish],
      MATCH(1,(All_India_Index_Upto_April23__1___1[Date]=EDATE($A38,-12))*
              (All_India_Index_Upto_April23__1___1[Sector]="Rural+Urban"),0)),
    INDEX(All_India_Index_Upto_April23__1___1[Egg],
      MATCH(1,(All_India_Index_Upto_April23__1___1[Date]=EDATE($A38,-12))*
              (All_India_Index_Upto_April23__1___1[Sector]="Rural+Urban"),0)),
    INDEX(All_India_Index_Upto_April23__1___1[Milk and products],
      MATCH(1,(All_India_Index_Upto_April23__1___1[Date]=EDATE($A38,-12))*
              (All_India_Index_Upto_April23__1___1[Sector]="Rural+Urban"),0)),
    INDEX(All_India_Index_Upto_April23__1___1[Oils and fats],
      MATCH(1,(All_India_Index_Upto_April23__1___1[Date]=EDATE($A38,-12))*
              (All_India_Index_Upto_April23__1___1[Sector]="Rural+Urban"),0)),
    INDEX(All_India_Index_Upto_April23__1___1[Fruits],
      MATCH(1,(All_India_Index_Upto_April23__1___1[Date]=EDATE($A38,-12))*
              (All_India_Index_Upto_April23__1___1[Sector]="Rural+Urban"),0)),
    INDEX(All_India_Index_Upto_April23__1___1[Vegetables],
      MATCH(1,(All_India_Index_Upto_April23__1___1[Date]=EDATE($A38,-12))*
              (All_India_Index_Upto_April23__1___1[Sector]="Rural+Urban"),0)),
    INDEX(All_India_Index_Upto_April23__1___1[Pulses and products],
      MATCH(1,(All_India_Index_Upto_April23__1___1[Date]=EDATE($A38,-12))*
              (All_India_Index_Upto_April23__1___1[Sector]="Rural+Urban"),0)),
    INDEX(All_India_Index_Upto_April23__1___1[Sugar and Confectionery],
      MATCH(1,(All_India_Index_Upto_April23__1___1[Date]=EDATE($A38,-12))*
              (All_India_Index_Upto_April23__1___1[Sector]="Rural+Urban"),0)),
    INDEX(All_India_Index_Upto_April23__1___1[Spices],
      MATCH(1,(All_India_Index_Upto_April23__1___1[Date]=EDATE($A38,-12))*
              (All_India_Index_Upto_April23__1___1[Sector]="Rural+Urban"),0)),
    INDEX(All_India_Index_Upto_April23__1___1[Non-alcoholic beverages],
      MATCH(1,(All_India_Index_Upto_April23__1___1[Date]=EDATE($A38,-12))*
              (All_India_Index_Upto_April23__1___1[Sector]="Rural+Urban"),0)),
    INDEX(All_India_Index_Upto_April23__1___1[Prepared meals, snacks, sweets etc.],
      MATCH(1,(All_India_Index_Upto_April23__1___1[Date]=EDATE($A38,-12))*
              (All_India_Index_Upto_April23__1___1[Sector]="Rural+Urban"),0))
  ),
"")</f>
        <v>134.96666666666667</v>
      </c>
      <c r="Q38" s="8">
        <f t="shared" si="2"/>
        <v>8.7367251173129101E-2</v>
      </c>
      <c r="R38" t="str">
        <f t="shared" si="3"/>
        <v>Pre-COVID</v>
      </c>
      <c r="T38" s="2" cm="1">
        <f t="array" ref="T38">IFERROR(
  INDEX(
    All_India_Index_Upto_April23__1___1[Health],
    MATCH(
      1,
      (All_India_Index_Upto_April23__1___1[Date]=$A38) *
      (All_India_Index_Upto_April23__1___1[Sector]="Rural+Urban"),
      0
    )
  ),
"")</f>
        <v>151.69999999999999</v>
      </c>
      <c r="U38" s="2" cm="1">
        <f t="array" ref="U38">IFERROR(
  INDEX(
    All_India_Index_Upto_April23__1___1[Health],
    MATCH(
      1,
      (All_India_Index_Upto_April23__1___1[Date]=EDATE($A38,-12)) *
      (All_India_Index_Upto_April23__1___1[Sector]="Rural+Urban"),
      0
    )
  ),
"")</f>
        <v>145.6</v>
      </c>
      <c r="V38" s="8">
        <f t="shared" si="4"/>
        <v>4.1895604395604358E-2</v>
      </c>
      <c r="W38" t="str">
        <f t="shared" si="5"/>
        <v>Pre-COVID</v>
      </c>
      <c r="Y38" s="2" cm="1">
        <f t="array" ref="Y38">IFERROR(
  AVERAGE(
    INDEX(All_India_Index_Upto_April23__1___1[Pan, tobacco and intoxicants],
      MATCH(1,(All_India_Index_Upto_April23__1___1[Date]=$A38)*
              (All_India_Index_Upto_April23__1___1[Sector]="Rural+Urban"),0)),
    INDEX(All_India_Index_Upto_April23__1___1[Clothing],
      MATCH(1,(All_India_Index_Upto_April23__1___1[Date]=$A38)*
              (All_India_Index_Upto_April23__1___1[Sector]="Rural+Urban"),0)),
    INDEX(All_India_Index_Upto_April23__1___1[Footwear],
      MATCH(1,(All_India_Index_Upto_April23__1___1[Date]=$A38)*
              (All_India_Index_Upto_April23__1___1[Sector]="Rural+Urban"),0)),
    INDEX(All_India_Index_Upto_April23__1___1[Clothing and footwear],
      MATCH(1,(All_India_Index_Upto_April23__1___1[Date]=$A38)*
              (All_India_Index_Upto_April23__1___1[Sector]="Rural+Urban"),0)),
    INDEX(All_India_Index_Upto_April23__1___1[Housing],
      MATCH(1,(All_India_Index_Upto_April23__1___1[Date]=$A38)*
              (All_India_Index_Upto_April23__1___1[Sector]="Rural+Urban"),0)),
    INDEX(All_India_Index_Upto_April23__1___1[Fuel and light],
      MATCH(1,(All_India_Index_Upto_April23__1___1[Date]=$A38)*
              (All_India_Index_Upto_April23__1___1[Sector]="Rural+Urban"),0)),
    INDEX(All_India_Index_Upto_April23__1___1[Household goods and services],
      MATCH(1,(All_India_Index_Upto_April23__1___1[Date]=$A38)*
              (All_India_Index_Upto_April23__1___1[Sector]="Rural+Urban"),0)),
    INDEX(All_India_Index_Upto_April23__1___1[Health],
      MATCH(1,(All_India_Index_Upto_April23__1___1[Date]=$A38)*
              (All_India_Index_Upto_April23__1___1[Sector]="Rural+Urban"),0)),
    INDEX(All_India_Index_Upto_April23__1___1[Transport and communication],
      MATCH(1,(All_India_Index_Upto_April23__1___1[Date]=$A38)*
              (All_India_Index_Upto_April23__1___1[Sector]="Rural+Urban"),0)),
    INDEX(All_India_Index_Upto_April23__1___1[Recreation and amusement],
      MATCH(1,(All_India_Index_Upto_April23__1___1[Date]=$A38)*
              (All_India_Index_Upto_April23__1___1[Sector]="Rural+Urban"),0)),
    INDEX(All_India_Index_Upto_April23__1___1[Education],
      MATCH(1,(All_India_Index_Upto_April23__1___1[Date]=$A38)*
              (All_India_Index_Upto_April23__1___1[Sector]="Rural+Urban"),0)),
    INDEX(All_India_Index_Upto_April23__1___1[Personal care and effects],
      MATCH(1,(All_India_Index_Upto_April23__1___1[Date]=$A38)*
              (All_India_Index_Upto_April23__1___1[Sector]="Rural+Urban"),0)),
    INDEX(All_India_Index_Upto_April23__1___1[Miscellaneous],
      MATCH(1,(All_India_Index_Upto_April23__1___1[Date]=$A38)*
              (All_India_Index_Upto_April23__1___1[Sector]="Rural+Urban"),0))
  ),
"")</f>
        <v>147.84166666666667</v>
      </c>
      <c r="Z38" s="2" cm="1">
        <f t="array" ref="Z38">IFERROR(
  AVERAGE(
    INDEX(All_India_Index_Upto_April23__1___1[Pan, tobacco and intoxicants],
      MATCH(1,(All_India_Index_Upto_April23__1___1[Date]=EDATE($A38,-12))*
              (All_India_Index_Upto_April23__1___1[Sector]="Rural+Urban"),0)),
    INDEX(All_India_Index_Upto_April23__1___1[Clothing],
      MATCH(1,(All_India_Index_Upto_April23__1___1[Date]=EDATE($A38,-12))*
              (All_India_Index_Upto_April23__1___1[Sector]="Rural+Urban"),0)),
    INDEX(All_India_Index_Upto_April23__1___1[Footwear],
      MATCH(1,(All_India_Index_Upto_April23__1___1[Date]=EDATE($A38,-12))*
              (All_India_Index_Upto_April23__1___1[Sector]="Rural+Urban"),0)),
    INDEX(All_India_Index_Upto_April23__1___1[Clothing and footwear],
      MATCH(1,(All_India_Index_Upto_April23__1___1[Date]=EDATE($A38,-12))*
              (All_India_Index_Upto_April23__1___1[Sector]="Rural+Urban"),0)),
    INDEX(All_India_Index_Upto_April23__1___1[Housing],
      MATCH(1,(All_India_Index_Upto_April23__1___1[Date]=EDATE($A38,-12))*
              (All_India_Index_Upto_April23__1___1[Sector]="Rural+Urban"),0)),
    INDEX(All_India_Index_Upto_April23__1___1[Fuel and light],
      MATCH(1,(All_India_Index_Upto_April23__1___1[Date]=EDATE($A38,-12))*
              (All_India_Index_Upto_April23__1___1[Sector]="Rural+Urban"),0)),
    INDEX(All_India_Index_Upto_April23__1___1[Household goods and services],
      MATCH(1,(All_India_Index_Upto_April23__1___1[Date]=EDATE($A38,-12))*
              (All_India_Index_Upto_April23__1___1[Sector]="Rural+Urban"),0)),
    INDEX(All_India_Index_Upto_April23__1___1[Health],
      MATCH(1,(All_India_Index_Upto_April23__1___1[Date]=EDATE($A38,-12))*
              (All_India_Index_Upto_April23__1___1[Sector]="Rural+Urban"),0)),
    INDEX(All_India_Index_Upto_April23__1___1[Transport and communication],
      MATCH(1,(All_India_Index_Upto_April23__1___1[Date]=EDATE($A38,-12))*
              (All_India_Index_Upto_April23__1___1[Sector]="Rural+Urban"),0)),
    INDEX(All_India_Index_Upto_April23__1___1[Recreation and amusement],
      MATCH(1,(All_India_Index_Upto_April23__1___1[Date]=EDATE($A38,-12))*
              (All_India_Index_Upto_April23__1___1[Sector]="Rural+Urban"),0)),
    INDEX(All_India_Index_Upto_April23__1___1[Education],
      MATCH(1,(All_India_Index_Upto_April23__1___1[Date]=EDATE($A38,-12))*
              (All_India_Index_Upto_April23__1___1[Sector]="Rural+Urban"),0)),
    INDEX(All_India_Index_Upto_April23__1___1[Personal care and effects],
      MATCH(1,(All_India_Index_Upto_April23__1___1[Date]=EDATE($A38,-12))*
              (All_India_Index_Upto_April23__1___1[Sector]="Rural+Urban"),0)),
    INDEX(All_India_Index_Upto_April23__1___1[Miscellaneous],
      MATCH(1,(All_India_Index_Upto_April23__1___1[Date]=EDATE($A38,-12))*
              (All_India_Index_Upto_April23__1___1[Sector]="Rural+Urban"),0))
  ),
"")</f>
        <v>142.31666666666663</v>
      </c>
      <c r="AA38" s="8">
        <f t="shared" si="6"/>
        <v>3.8821876097903982E-2</v>
      </c>
      <c r="AB38" t="str">
        <f t="shared" si="7"/>
        <v>Pre-COVID</v>
      </c>
    </row>
    <row r="39" spans="1:28" x14ac:dyDescent="0.2">
      <c r="A39" s="22">
        <v>43891</v>
      </c>
      <c r="B39">
        <v>2020</v>
      </c>
      <c r="C39" t="s">
        <v>37</v>
      </c>
      <c r="D39" s="2" cm="1">
        <f t="array" ref="D39">IFERROR(
  INDEX(
    All_India_Index_Upto_April23__1___1[General index],
    MATCH(
      1,
      (All_India_Index_Upto_April23__1___1[Sector]="Rural+Urban") *
      (All_India_Index_Upto_April23__1___1[Date]=A39),
      0
    )
  ),
"")</f>
        <v>148.6</v>
      </c>
      <c r="E39" s="2" cm="1">
        <f t="array" ref="E39">IFERROR(
  INDEX(
    All_India_Index_Upto_April23__1___1[General index],
    MATCH(
      1,
      (All_India_Index_Upto_April23__1___1[Sector]="Rural+Urban") *
      (All_India_Index_Upto_April23__1___1[Date]=EDATE(A39,-12)),
      0
    )
  ),
"")</f>
        <v>140.4</v>
      </c>
      <c r="F39" s="8">
        <f t="shared" si="0"/>
        <v>5.8404558404558271E-2</v>
      </c>
      <c r="G39" t="str">
        <f t="shared" si="1"/>
        <v>COVID</v>
      </c>
      <c r="O39" s="2" cm="1">
        <f t="array" ref="O39">IFERROR(
  AVERAGE(
    INDEX(All_India_Index_Upto_April23__1___1[Cereals and products],
      MATCH(1,(All_India_Index_Upto_April23__1___1[Date]=$A39)*
              (All_India_Index_Upto_April23__1___1[Sector]="Rural+Urban"),0)),
    INDEX(All_India_Index_Upto_April23__1___1[Meat and fish],
      MATCH(1,(All_India_Index_Upto_April23__1___1[Date]=$A39)*
              (All_India_Index_Upto_April23__1___1[Sector]="Rural+Urban"),0)),
    INDEX(All_India_Index_Upto_April23__1___1[Egg],
      MATCH(1,(All_India_Index_Upto_April23__1___1[Date]=$A39)*
              (All_India_Index_Upto_April23__1___1[Sector]="Rural+Urban"),0)),
    INDEX(All_India_Index_Upto_April23__1___1[Milk and products],
      MATCH(1,(All_India_Index_Upto_April23__1___1[Date]=$A39)*
              (All_India_Index_Upto_April23__1___1[Sector]="Rural+Urban"),0)),
    INDEX(All_India_Index_Upto_April23__1___1[Oils and fats],
      MATCH(1,(All_India_Index_Upto_April23__1___1[Date]=$A39)*
              (All_India_Index_Upto_April23__1___1[Sector]="Rural+Urban"),0)),
    INDEX(All_India_Index_Upto_April23__1___1[Fruits],
      MATCH(1,(All_India_Index_Upto_April23__1___1[Date]=$A39)*
              (All_India_Index_Upto_April23__1___1[Sector]="Rural+Urban"),0)),
    INDEX(All_India_Index_Upto_April23__1___1[Vegetables],
      MATCH(1,(All_India_Index_Upto_April23__1___1[Date]=$A39)*
              (All_India_Index_Upto_April23__1___1[Sector]="Rural+Urban"),0)),
    INDEX(All_India_Index_Upto_April23__1___1[Pulses and products],
      MATCH(1,(All_India_Index_Upto_April23__1___1[Date]=$A39)*
              (All_India_Index_Upto_April23__1___1[Sector]="Rural+Urban"),0)),
    INDEX(All_India_Index_Upto_April23__1___1[Sugar and Confectionery],
      MATCH(1,(All_India_Index_Upto_April23__1___1[Date]=$A39)*
              (All_India_Index_Upto_April23__1___1[Sector]="Rural+Urban"),0)),
    INDEX(All_India_Index_Upto_April23__1___1[Spices],
      MATCH(1,(All_India_Index_Upto_April23__1___1[Date]=$A39)*
              (All_India_Index_Upto_April23__1___1[Sector]="Rural+Urban"),0)),
    INDEX(All_India_Index_Upto_April23__1___1[Non-alcoholic beverages],
      MATCH(1,(All_India_Index_Upto_April23__1___1[Date]=$A39)*
              (All_India_Index_Upto_April23__1___1[Sector]="Rural+Urban"),0)),
    INDEX(All_India_Index_Upto_April23__1___1[Prepared meals, snacks, sweets etc.],
      MATCH(1,(All_India_Index_Upto_April23__1___1[Date]=$A39)*
              (All_India_Index_Upto_April23__1___1[Sector]="Rural+Urban"),0))
  ),
"")</f>
        <v>145.54166666666666</v>
      </c>
      <c r="P39" s="2" cm="1">
        <f t="array" ref="P39">IFERROR(
  AVERAGE(
    INDEX(All_India_Index_Upto_April23__1___1[Cereals and products],
      MATCH(1,(All_India_Index_Upto_April23__1___1[Date]=EDATE($A39,-12))*
              (All_India_Index_Upto_April23__1___1[Sector]="Rural+Urban"),0)),
    INDEX(All_India_Index_Upto_April23__1___1[Meat and fish],
      MATCH(1,(All_India_Index_Upto_April23__1___1[Date]=EDATE($A39,-12))*
              (All_India_Index_Upto_April23__1___1[Sector]="Rural+Urban"),0)),
    INDEX(All_India_Index_Upto_April23__1___1[Egg],
      MATCH(1,(All_India_Index_Upto_April23__1___1[Date]=EDATE($A39,-12))*
              (All_India_Index_Upto_April23__1___1[Sector]="Rural+Urban"),0)),
    INDEX(All_India_Index_Upto_April23__1___1[Milk and products],
      MATCH(1,(All_India_Index_Upto_April23__1___1[Date]=EDATE($A39,-12))*
              (All_India_Index_Upto_April23__1___1[Sector]="Rural+Urban"),0)),
    INDEX(All_India_Index_Upto_April23__1___1[Oils and fats],
      MATCH(1,(All_India_Index_Upto_April23__1___1[Date]=EDATE($A39,-12))*
              (All_India_Index_Upto_April23__1___1[Sector]="Rural+Urban"),0)),
    INDEX(All_India_Index_Upto_April23__1___1[Fruits],
      MATCH(1,(All_India_Index_Upto_April23__1___1[Date]=EDATE($A39,-12))*
              (All_India_Index_Upto_April23__1___1[Sector]="Rural+Urban"),0)),
    INDEX(All_India_Index_Upto_April23__1___1[Vegetables],
      MATCH(1,(All_India_Index_Upto_April23__1___1[Date]=EDATE($A39,-12))*
              (All_India_Index_Upto_April23__1___1[Sector]="Rural+Urban"),0)),
    INDEX(All_India_Index_Upto_April23__1___1[Pulses and products],
      MATCH(1,(All_India_Index_Upto_April23__1___1[Date]=EDATE($A39,-12))*
              (All_India_Index_Upto_April23__1___1[Sector]="Rural+Urban"),0)),
    INDEX(All_India_Index_Upto_April23__1___1[Sugar and Confectionery],
      MATCH(1,(All_India_Index_Upto_April23__1___1[Date]=EDATE($A39,-12))*
              (All_India_Index_Upto_April23__1___1[Sector]="Rural+Urban"),0)),
    INDEX(All_India_Index_Upto_April23__1___1[Spices],
      MATCH(1,(All_India_Index_Upto_April23__1___1[Date]=EDATE($A39,-12))*
              (All_India_Index_Upto_April23__1___1[Sector]="Rural+Urban"),0)),
    INDEX(All_India_Index_Upto_April23__1___1[Non-alcoholic beverages],
      MATCH(1,(All_India_Index_Upto_April23__1___1[Date]=EDATE($A39,-12))*
              (All_India_Index_Upto_April23__1___1[Sector]="Rural+Urban"),0)),
    INDEX(All_India_Index_Upto_April23__1___1[Prepared meals, snacks, sweets etc.],
      MATCH(1,(All_India_Index_Upto_April23__1___1[Date]=EDATE($A39,-12))*
              (All_India_Index_Upto_April23__1___1[Sector]="Rural+Urban"),0))
  ),
"")</f>
        <v>135.4</v>
      </c>
      <c r="Q39" s="8">
        <f t="shared" si="2"/>
        <v>7.4901526341703481E-2</v>
      </c>
      <c r="R39" t="str">
        <f t="shared" si="3"/>
        <v>COVID</v>
      </c>
      <c r="T39" s="2" cm="1">
        <f t="array" ref="T39">IFERROR(
  INDEX(
    All_India_Index_Upto_April23__1___1[Health],
    MATCH(
      1,
      (All_India_Index_Upto_April23__1___1[Date]=$A39) *
      (All_India_Index_Upto_April23__1___1[Sector]="Rural+Urban"),
      0
    )
  ),
"")</f>
        <v>152.30000000000001</v>
      </c>
      <c r="U39" s="2" cm="1">
        <f t="array" ref="U39">IFERROR(
  INDEX(
    All_India_Index_Upto_April23__1___1[Health],
    MATCH(
      1,
      (All_India_Index_Upto_April23__1___1[Date]=EDATE($A39,-12)) *
      (All_India_Index_Upto_April23__1___1[Sector]="Rural+Urban"),
      0
    )
  ),
"")</f>
        <v>146.19999999999999</v>
      </c>
      <c r="V39" s="8">
        <f t="shared" si="4"/>
        <v>4.1723666210670474E-2</v>
      </c>
      <c r="W39" t="str">
        <f t="shared" si="5"/>
        <v>COVID</v>
      </c>
      <c r="Y39" s="2" cm="1">
        <f t="array" ref="Y39">IFERROR(
  AVERAGE(
    INDEX(All_India_Index_Upto_April23__1___1[Pan, tobacco and intoxicants],
      MATCH(1,(All_India_Index_Upto_April23__1___1[Date]=$A39)*
              (All_India_Index_Upto_April23__1___1[Sector]="Rural+Urban"),0)),
    INDEX(All_India_Index_Upto_April23__1___1[Clothing],
      MATCH(1,(All_India_Index_Upto_April23__1___1[Date]=$A39)*
              (All_India_Index_Upto_April23__1___1[Sector]="Rural+Urban"),0)),
    INDEX(All_India_Index_Upto_April23__1___1[Footwear],
      MATCH(1,(All_India_Index_Upto_April23__1___1[Date]=$A39)*
              (All_India_Index_Upto_April23__1___1[Sector]="Rural+Urban"),0)),
    INDEX(All_India_Index_Upto_April23__1___1[Clothing and footwear],
      MATCH(1,(All_India_Index_Upto_April23__1___1[Date]=$A39)*
              (All_India_Index_Upto_April23__1___1[Sector]="Rural+Urban"),0)),
    INDEX(All_India_Index_Upto_April23__1___1[Housing],
      MATCH(1,(All_India_Index_Upto_April23__1___1[Date]=$A39)*
              (All_India_Index_Upto_April23__1___1[Sector]="Rural+Urban"),0)),
    INDEX(All_India_Index_Upto_April23__1___1[Fuel and light],
      MATCH(1,(All_India_Index_Upto_April23__1___1[Date]=$A39)*
              (All_India_Index_Upto_April23__1___1[Sector]="Rural+Urban"),0)),
    INDEX(All_India_Index_Upto_April23__1___1[Household goods and services],
      MATCH(1,(All_India_Index_Upto_April23__1___1[Date]=$A39)*
              (All_India_Index_Upto_April23__1___1[Sector]="Rural+Urban"),0)),
    INDEX(All_India_Index_Upto_April23__1___1[Health],
      MATCH(1,(All_India_Index_Upto_April23__1___1[Date]=$A39)*
              (All_India_Index_Upto_April23__1___1[Sector]="Rural+Urban"),0)),
    INDEX(All_India_Index_Upto_April23__1___1[Transport and communication],
      MATCH(1,(All_India_Index_Upto_April23__1___1[Date]=$A39)*
              (All_India_Index_Upto_April23__1___1[Sector]="Rural+Urban"),0)),
    INDEX(All_India_Index_Upto_April23__1___1[Recreation and amusement],
      MATCH(1,(All_India_Index_Upto_April23__1___1[Date]=$A39)*
              (All_India_Index_Upto_April23__1___1[Sector]="Rural+Urban"),0)),
    INDEX(All_India_Index_Upto_April23__1___1[Education],
      MATCH(1,(All_India_Index_Upto_April23__1___1[Date]=$A39)*
              (All_India_Index_Upto_April23__1___1[Sector]="Rural+Urban"),0)),
    INDEX(All_India_Index_Upto_April23__1___1[Personal care and effects],
      MATCH(1,(All_India_Index_Upto_April23__1___1[Date]=$A39)*
              (All_India_Index_Upto_April23__1___1[Sector]="Rural+Urban"),0)),
    INDEX(All_India_Index_Upto_April23__1___1[Miscellaneous],
      MATCH(1,(All_India_Index_Upto_April23__1___1[Date]=$A39)*
              (All_India_Index_Upto_April23__1___1[Sector]="Rural+Urban"),0))
  ),
"")</f>
        <v>148.36666666666665</v>
      </c>
      <c r="Z39" s="2" cm="1">
        <f t="array" ref="Z39">IFERROR(
  AVERAGE(
    INDEX(All_India_Index_Upto_April23__1___1[Pan, tobacco and intoxicants],
      MATCH(1,(All_India_Index_Upto_April23__1___1[Date]=EDATE($A39,-12))*
              (All_India_Index_Upto_April23__1___1[Sector]="Rural+Urban"),0)),
    INDEX(All_India_Index_Upto_April23__1___1[Clothing],
      MATCH(1,(All_India_Index_Upto_April23__1___1[Date]=EDATE($A39,-12))*
              (All_India_Index_Upto_April23__1___1[Sector]="Rural+Urban"),0)),
    INDEX(All_India_Index_Upto_April23__1___1[Footwear],
      MATCH(1,(All_India_Index_Upto_April23__1___1[Date]=EDATE($A39,-12))*
              (All_India_Index_Upto_April23__1___1[Sector]="Rural+Urban"),0)),
    INDEX(All_India_Index_Upto_April23__1___1[Clothing and footwear],
      MATCH(1,(All_India_Index_Upto_April23__1___1[Date]=EDATE($A39,-12))*
              (All_India_Index_Upto_April23__1___1[Sector]="Rural+Urban"),0)),
    INDEX(All_India_Index_Upto_April23__1___1[Housing],
      MATCH(1,(All_India_Index_Upto_April23__1___1[Date]=EDATE($A39,-12))*
              (All_India_Index_Upto_April23__1___1[Sector]="Rural+Urban"),0)),
    INDEX(All_India_Index_Upto_April23__1___1[Fuel and light],
      MATCH(1,(All_India_Index_Upto_April23__1___1[Date]=EDATE($A39,-12))*
              (All_India_Index_Upto_April23__1___1[Sector]="Rural+Urban"),0)),
    INDEX(All_India_Index_Upto_April23__1___1[Household goods and services],
      MATCH(1,(All_India_Index_Upto_April23__1___1[Date]=EDATE($A39,-12))*
              (All_India_Index_Upto_April23__1___1[Sector]="Rural+Urban"),0)),
    INDEX(All_India_Index_Upto_April23__1___1[Health],
      MATCH(1,(All_India_Index_Upto_April23__1___1[Date]=EDATE($A39,-12))*
              (All_India_Index_Upto_April23__1___1[Sector]="Rural+Urban"),0)),
    INDEX(All_India_Index_Upto_April23__1___1[Transport and communication],
      MATCH(1,(All_India_Index_Upto_April23__1___1[Date]=EDATE($A39,-12))*
              (All_India_Index_Upto_April23__1___1[Sector]="Rural+Urban"),0)),
    INDEX(All_India_Index_Upto_April23__1___1[Recreation and amusement],
      MATCH(1,(All_India_Index_Upto_April23__1___1[Date]=EDATE($A39,-12))*
              (All_India_Index_Upto_April23__1___1[Sector]="Rural+Urban"),0)),
    INDEX(All_India_Index_Upto_April23__1___1[Education],
      MATCH(1,(All_India_Index_Upto_April23__1___1[Date]=EDATE($A39,-12))*
              (All_India_Index_Upto_April23__1___1[Sector]="Rural+Urban"),0)),
    INDEX(All_India_Index_Upto_April23__1___1[Personal care and effects],
      MATCH(1,(All_India_Index_Upto_April23__1___1[Date]=EDATE($A39,-12))*
              (All_India_Index_Upto_April23__1___1[Sector]="Rural+Urban"),0)),
    INDEX(All_India_Index_Upto_April23__1___1[Miscellaneous],
      MATCH(1,(All_India_Index_Upto_April23__1___1[Date]=EDATE($A39,-12))*
              (All_India_Index_Upto_April23__1___1[Sector]="Rural+Urban"),0))
  ),
"")</f>
        <v>142.61666666666667</v>
      </c>
      <c r="AA39" s="8">
        <f t="shared" si="6"/>
        <v>4.0317868411826371E-2</v>
      </c>
      <c r="AB39" t="str">
        <f t="shared" si="7"/>
        <v>COVID</v>
      </c>
    </row>
    <row r="40" spans="1:28" x14ac:dyDescent="0.2">
      <c r="A40" s="22">
        <v>43922</v>
      </c>
      <c r="B40">
        <v>2020</v>
      </c>
      <c r="C40" t="s">
        <v>38</v>
      </c>
      <c r="D40" s="2" cm="1">
        <f t="array" ref="D40">IFERROR(
  INDEX(
    All_India_Index_Upto_April23__1___1[General index],
    MATCH(
      1,
      (All_India_Index_Upto_April23__1___1[Sector]="Rural+Urban") *
      (All_India_Index_Upto_April23__1___1[Date]=A40),
      0
    )
  ),
"")</f>
        <v>153.30000000000001</v>
      </c>
      <c r="E40" s="2" t="str" cm="1">
        <f t="array" ref="E40">IFERROR(
  INDEX(
    All_India_Index_Upto_April23__1___1[General index],
    MATCH(
      1,
      (All_India_Index_Upto_April23__1___1[Sector]="Rural+Urban") *
      (All_India_Index_Upto_April23__1___1[Date]=EDATE(A40,-12)),
      0
    )
  ),
"")</f>
        <v/>
      </c>
      <c r="F40" s="8" t="e">
        <f t="shared" si="0"/>
        <v>#N/A</v>
      </c>
      <c r="G40" t="str">
        <f t="shared" si="1"/>
        <v>COVID</v>
      </c>
      <c r="O40" s="2" cm="1">
        <f t="array" ref="O40">IFERROR(
  AVERAGE(
    INDEX(All_India_Index_Upto_April23__1___1[Cereals and products],
      MATCH(1,(All_India_Index_Upto_April23__1___1[Date]=$A40)*
              (All_India_Index_Upto_April23__1___1[Sector]="Rural+Urban"),0)),
    INDEX(All_India_Index_Upto_April23__1___1[Meat and fish],
      MATCH(1,(All_India_Index_Upto_April23__1___1[Date]=$A40)*
              (All_India_Index_Upto_April23__1___1[Sector]="Rural+Urban"),0)),
    INDEX(All_India_Index_Upto_April23__1___1[Egg],
      MATCH(1,(All_India_Index_Upto_April23__1___1[Date]=$A40)*
              (All_India_Index_Upto_April23__1___1[Sector]="Rural+Urban"),0)),
    INDEX(All_India_Index_Upto_April23__1___1[Milk and products],
      MATCH(1,(All_India_Index_Upto_April23__1___1[Date]=$A40)*
              (All_India_Index_Upto_April23__1___1[Sector]="Rural+Urban"),0)),
    INDEX(All_India_Index_Upto_April23__1___1[Oils and fats],
      MATCH(1,(All_India_Index_Upto_April23__1___1[Date]=$A40)*
              (All_India_Index_Upto_April23__1___1[Sector]="Rural+Urban"),0)),
    INDEX(All_India_Index_Upto_April23__1___1[Fruits],
      MATCH(1,(All_India_Index_Upto_April23__1___1[Date]=$A40)*
              (All_India_Index_Upto_April23__1___1[Sector]="Rural+Urban"),0)),
    INDEX(All_India_Index_Upto_April23__1___1[Vegetables],
      MATCH(1,(All_India_Index_Upto_April23__1___1[Date]=$A40)*
              (All_India_Index_Upto_April23__1___1[Sector]="Rural+Urban"),0)),
    INDEX(All_India_Index_Upto_April23__1___1[Pulses and products],
      MATCH(1,(All_India_Index_Upto_April23__1___1[Date]=$A40)*
              (All_India_Index_Upto_April23__1___1[Sector]="Rural+Urban"),0)),
    INDEX(All_India_Index_Upto_April23__1___1[Sugar and Confectionery],
      MATCH(1,(All_India_Index_Upto_April23__1___1[Date]=$A40)*
              (All_India_Index_Upto_April23__1___1[Sector]="Rural+Urban"),0)),
    INDEX(All_India_Index_Upto_April23__1___1[Spices],
      MATCH(1,(All_India_Index_Upto_April23__1___1[Date]=$A40)*
              (All_India_Index_Upto_April23__1___1[Sector]="Rural+Urban"),0)),
    INDEX(All_India_Index_Upto_April23__1___1[Non-alcoholic beverages],
      MATCH(1,(All_India_Index_Upto_April23__1___1[Date]=$A40)*
              (All_India_Index_Upto_April23__1___1[Sector]="Rural+Urban"),0)),
    INDEX(All_India_Index_Upto_April23__1___1[Prepared meals, snacks, sweets etc.],
      MATCH(1,(All_India_Index_Upto_April23__1___1[Date]=$A40)*
              (All_India_Index_Upto_April23__1___1[Sector]="Rural+Urban"),0))
  ),
"")</f>
        <v>150.86249999999998</v>
      </c>
      <c r="P40" s="2" t="str" cm="1">
        <f t="array" ref="P40">IFERROR(
  AVERAGE(
    INDEX(All_India_Index_Upto_April23__1___1[Cereals and products],
      MATCH(1,(All_India_Index_Upto_April23__1___1[Date]=EDATE($A40,-12))*
              (All_India_Index_Upto_April23__1___1[Sector]="Rural+Urban"),0)),
    INDEX(All_India_Index_Upto_April23__1___1[Meat and fish],
      MATCH(1,(All_India_Index_Upto_April23__1___1[Date]=EDATE($A40,-12))*
              (All_India_Index_Upto_April23__1___1[Sector]="Rural+Urban"),0)),
    INDEX(All_India_Index_Upto_April23__1___1[Egg],
      MATCH(1,(All_India_Index_Upto_April23__1___1[Date]=EDATE($A40,-12))*
              (All_India_Index_Upto_April23__1___1[Sector]="Rural+Urban"),0)),
    INDEX(All_India_Index_Upto_April23__1___1[Milk and products],
      MATCH(1,(All_India_Index_Upto_April23__1___1[Date]=EDATE($A40,-12))*
              (All_India_Index_Upto_April23__1___1[Sector]="Rural+Urban"),0)),
    INDEX(All_India_Index_Upto_April23__1___1[Oils and fats],
      MATCH(1,(All_India_Index_Upto_April23__1___1[Date]=EDATE($A40,-12))*
              (All_India_Index_Upto_April23__1___1[Sector]="Rural+Urban"),0)),
    INDEX(All_India_Index_Upto_April23__1___1[Fruits],
      MATCH(1,(All_India_Index_Upto_April23__1___1[Date]=EDATE($A40,-12))*
              (All_India_Index_Upto_April23__1___1[Sector]="Rural+Urban"),0)),
    INDEX(All_India_Index_Upto_April23__1___1[Vegetables],
      MATCH(1,(All_India_Index_Upto_April23__1___1[Date]=EDATE($A40,-12))*
              (All_India_Index_Upto_April23__1___1[Sector]="Rural+Urban"),0)),
    INDEX(All_India_Index_Upto_April23__1___1[Pulses and products],
      MATCH(1,(All_India_Index_Upto_April23__1___1[Date]=EDATE($A40,-12))*
              (All_India_Index_Upto_April23__1___1[Sector]="Rural+Urban"),0)),
    INDEX(All_India_Index_Upto_April23__1___1[Sugar and Confectionery],
      MATCH(1,(All_India_Index_Upto_April23__1___1[Date]=EDATE($A40,-12))*
              (All_India_Index_Upto_April23__1___1[Sector]="Rural+Urban"),0)),
    INDEX(All_India_Index_Upto_April23__1___1[Spices],
      MATCH(1,(All_India_Index_Upto_April23__1___1[Date]=EDATE($A40,-12))*
              (All_India_Index_Upto_April23__1___1[Sector]="Rural+Urban"),0)),
    INDEX(All_India_Index_Upto_April23__1___1[Non-alcoholic beverages],
      MATCH(1,(All_India_Index_Upto_April23__1___1[Date]=EDATE($A40,-12))*
              (All_India_Index_Upto_April23__1___1[Sector]="Rural+Urban"),0)),
    INDEX(All_India_Index_Upto_April23__1___1[Prepared meals, snacks, sweets etc.],
      MATCH(1,(All_India_Index_Upto_April23__1___1[Date]=EDATE($A40,-12))*
              (All_India_Index_Upto_April23__1___1[Sector]="Rural+Urban"),0))
  ),
"")</f>
        <v/>
      </c>
      <c r="Q40" s="8" t="e">
        <f>IF(OR(P40="",O40=""),NA(),(O40/P40)-1)</f>
        <v>#N/A</v>
      </c>
      <c r="R40" t="str">
        <f t="shared" si="3"/>
        <v>COVID</v>
      </c>
      <c r="T40" s="2" cm="1">
        <f t="array" ref="T40">IFERROR(
  INDEX(
    All_India_Index_Upto_April23__1___1[Health],
    MATCH(
      1,
      (All_India_Index_Upto_April23__1___1[Date]=$A40) *
      (All_India_Index_Upto_April23__1___1[Sector]="Rural+Urban"),
      0
    )
  ),
"")</f>
        <v>150.69999999999999</v>
      </c>
      <c r="U40" s="2" t="str" cm="1">
        <f t="array" ref="U40">IFERROR(
  INDEX(
    All_India_Index_Upto_April23__1___1[Health],
    MATCH(
      1,
      (All_India_Index_Upto_April23__1___1[Date]=EDATE($A40,-12)) *
      (All_India_Index_Upto_April23__1___1[Sector]="Rural+Urban"),
      0
    )
  ),
"")</f>
        <v/>
      </c>
      <c r="V40" s="8" t="e">
        <f>IF(OR(U40="",T40=""),NA(),(T40/U40)-1)</f>
        <v>#N/A</v>
      </c>
      <c r="W40" t="str">
        <f t="shared" si="5"/>
        <v>COVID</v>
      </c>
      <c r="Y40" s="2" cm="1">
        <f t="array" ref="Y40">IFERROR(
  AVERAGE(
    INDEX(All_India_Index_Upto_April23__1___1[Pan, tobacco and intoxicants],
      MATCH(1,(All_India_Index_Upto_April23__1___1[Date]=$A40)*
              (All_India_Index_Upto_April23__1___1[Sector]="Rural+Urban"),0)),
    INDEX(All_India_Index_Upto_April23__1___1[Clothing],
      MATCH(1,(All_India_Index_Upto_April23__1___1[Date]=$A40)*
              (All_India_Index_Upto_April23__1___1[Sector]="Rural+Urban"),0)),
    INDEX(All_India_Index_Upto_April23__1___1[Footwear],
      MATCH(1,(All_India_Index_Upto_April23__1___1[Date]=$A40)*
              (All_India_Index_Upto_April23__1___1[Sector]="Rural+Urban"),0)),
    INDEX(All_India_Index_Upto_April23__1___1[Clothing and footwear],
      MATCH(1,(All_India_Index_Upto_April23__1___1[Date]=$A40)*
              (All_India_Index_Upto_April23__1___1[Sector]="Rural+Urban"),0)),
    INDEX(All_India_Index_Upto_April23__1___1[Housing],
      MATCH(1,(All_India_Index_Upto_April23__1___1[Date]=$A40)*
              (All_India_Index_Upto_April23__1___1[Sector]="Rural+Urban"),0)),
    INDEX(All_India_Index_Upto_April23__1___1[Fuel and light],
      MATCH(1,(All_India_Index_Upto_April23__1___1[Date]=$A40)*
              (All_India_Index_Upto_April23__1___1[Sector]="Rural+Urban"),0)),
    INDEX(All_India_Index_Upto_April23__1___1[Household goods and services],
      MATCH(1,(All_India_Index_Upto_April23__1___1[Date]=$A40)*
              (All_India_Index_Upto_April23__1___1[Sector]="Rural+Urban"),0)),
    INDEX(All_India_Index_Upto_April23__1___1[Health],
      MATCH(1,(All_India_Index_Upto_April23__1___1[Date]=$A40)*
              (All_India_Index_Upto_April23__1___1[Sector]="Rural+Urban"),0)),
    INDEX(All_India_Index_Upto_April23__1___1[Transport and communication],
      MATCH(1,(All_India_Index_Upto_April23__1___1[Date]=$A40)*
              (All_India_Index_Upto_April23__1___1[Sector]="Rural+Urban"),0)),
    INDEX(All_India_Index_Upto_April23__1___1[Recreation and amusement],
      MATCH(1,(All_India_Index_Upto_April23__1___1[Date]=$A40)*
              (All_India_Index_Upto_April23__1___1[Sector]="Rural+Urban"),0)),
    INDEX(All_India_Index_Upto_April23__1___1[Education],
      MATCH(1,(All_India_Index_Upto_April23__1___1[Date]=$A40)*
              (All_India_Index_Upto_April23__1___1[Sector]="Rural+Urban"),0)),
    INDEX(All_India_Index_Upto_April23__1___1[Personal care and effects],
      MATCH(1,(All_India_Index_Upto_April23__1___1[Date]=$A40)*
              (All_India_Index_Upto_April23__1___1[Sector]="Rural+Urban"),0)),
    INDEX(All_India_Index_Upto_April23__1___1[Miscellaneous],
      MATCH(1,(All_India_Index_Upto_April23__1___1[Date]=$A40)*
              (All_India_Index_Upto_April23__1___1[Sector]="Rural+Urban"),0))
  ),
"")</f>
        <v>149.9291666666667</v>
      </c>
      <c r="Z40" s="2" t="str" cm="1">
        <f t="array" ref="Z40">IFERROR(
  AVERAGE(
    INDEX(All_India_Index_Upto_April23__1___1[Pan, tobacco and intoxicants],
      MATCH(1,(All_India_Index_Upto_April23__1___1[Date]=EDATE($A40,-12))*
              (All_India_Index_Upto_April23__1___1[Sector]="Rural+Urban"),0)),
    INDEX(All_India_Index_Upto_April23__1___1[Clothing],
      MATCH(1,(All_India_Index_Upto_April23__1___1[Date]=EDATE($A40,-12))*
              (All_India_Index_Upto_April23__1___1[Sector]="Rural+Urban"),0)),
    INDEX(All_India_Index_Upto_April23__1___1[Footwear],
      MATCH(1,(All_India_Index_Upto_April23__1___1[Date]=EDATE($A40,-12))*
              (All_India_Index_Upto_April23__1___1[Sector]="Rural+Urban"),0)),
    INDEX(All_India_Index_Upto_April23__1___1[Clothing and footwear],
      MATCH(1,(All_India_Index_Upto_April23__1___1[Date]=EDATE($A40,-12))*
              (All_India_Index_Upto_April23__1___1[Sector]="Rural+Urban"),0)),
    INDEX(All_India_Index_Upto_April23__1___1[Housing],
      MATCH(1,(All_India_Index_Upto_April23__1___1[Date]=EDATE($A40,-12))*
              (All_India_Index_Upto_April23__1___1[Sector]="Rural+Urban"),0)),
    INDEX(All_India_Index_Upto_April23__1___1[Fuel and light],
      MATCH(1,(All_India_Index_Upto_April23__1___1[Date]=EDATE($A40,-12))*
              (All_India_Index_Upto_April23__1___1[Sector]="Rural+Urban"),0)),
    INDEX(All_India_Index_Upto_April23__1___1[Household goods and services],
      MATCH(1,(All_India_Index_Upto_April23__1___1[Date]=EDATE($A40,-12))*
              (All_India_Index_Upto_April23__1___1[Sector]="Rural+Urban"),0)),
    INDEX(All_India_Index_Upto_April23__1___1[Health],
      MATCH(1,(All_India_Index_Upto_April23__1___1[Date]=EDATE($A40,-12))*
              (All_India_Index_Upto_April23__1___1[Sector]="Rural+Urban"),0)),
    INDEX(All_India_Index_Upto_April23__1___1[Transport and communication],
      MATCH(1,(All_India_Index_Upto_April23__1___1[Date]=EDATE($A40,-12))*
              (All_India_Index_Upto_April23__1___1[Sector]="Rural+Urban"),0)),
    INDEX(All_India_Index_Upto_April23__1___1[Recreation and amusement],
      MATCH(1,(All_India_Index_Upto_April23__1___1[Date]=EDATE($A40,-12))*
              (All_India_Index_Upto_April23__1___1[Sector]="Rural+Urban"),0)),
    INDEX(All_India_Index_Upto_April23__1___1[Education],
      MATCH(1,(All_India_Index_Upto_April23__1___1[Date]=EDATE($A40,-12))*
              (All_India_Index_Upto_April23__1___1[Sector]="Rural+Urban"),0)),
    INDEX(All_India_Index_Upto_April23__1___1[Personal care and effects],
      MATCH(1,(All_India_Index_Upto_April23__1___1[Date]=EDATE($A40,-12))*
              (All_India_Index_Upto_April23__1___1[Sector]="Rural+Urban"),0)),
    INDEX(All_India_Index_Upto_April23__1___1[Miscellaneous],
      MATCH(1,(All_India_Index_Upto_April23__1___1[Date]=EDATE($A40,-12))*
              (All_India_Index_Upto_April23__1___1[Sector]="Rural+Urban"),0))
  ),
"")</f>
        <v/>
      </c>
      <c r="AA40" s="8" t="e">
        <f>IF(OR(Z40="",Y40=""),NA(),(Y40/Z40)-1)</f>
        <v>#N/A</v>
      </c>
      <c r="AB40" t="str">
        <f t="shared" si="7"/>
        <v>COVID</v>
      </c>
    </row>
    <row r="41" spans="1:28" x14ac:dyDescent="0.2">
      <c r="A41" s="22">
        <v>43952</v>
      </c>
      <c r="B41">
        <v>2020</v>
      </c>
      <c r="C41" t="s">
        <v>40</v>
      </c>
      <c r="D41" s="2" cm="1">
        <f t="array" ref="D41">IFERROR(
  INDEX(
    All_India_Index_Upto_April23__1___1[General index],
    MATCH(
      1,
      (All_India_Index_Upto_April23__1___1[Sector]="Rural+Urban") *
      (All_India_Index_Upto_April23__1___1[Date]=A41),
      0
    )
  ),
"")</f>
        <v>151.5</v>
      </c>
      <c r="E41" s="2" cm="1">
        <f t="array" ref="E41">IFERROR(
  INDEX(
    All_India_Index_Upto_April23__1___1[General index],
    MATCH(
      1,
      (All_India_Index_Upto_April23__1___1[Sector]="Rural+Urban") *
      (All_India_Index_Upto_April23__1___1[Date]=EDATE(A41,-12)),
      0
    )
  ),
"")</f>
        <v>142</v>
      </c>
      <c r="F41" s="8">
        <f t="shared" si="0"/>
        <v>6.6901408450704247E-2</v>
      </c>
      <c r="G41" t="str">
        <f t="shared" si="1"/>
        <v>COVID</v>
      </c>
      <c r="O41" s="2" cm="1">
        <f t="array" ref="O41">IFERROR(
  AVERAGE(
    INDEX(All_India_Index_Upto_April23__1___1[Cereals and products],
      MATCH(1,(All_India_Index_Upto_April23__1___1[Date]=$A41)*
              (All_India_Index_Upto_April23__1___1[Sector]="Rural+Urban"),0)),
    INDEX(All_India_Index_Upto_April23__1___1[Meat and fish],
      MATCH(1,(All_India_Index_Upto_April23__1___1[Date]=$A41)*
              (All_India_Index_Upto_April23__1___1[Sector]="Rural+Urban"),0)),
    INDEX(All_India_Index_Upto_April23__1___1[Egg],
      MATCH(1,(All_India_Index_Upto_April23__1___1[Date]=$A41)*
              (All_India_Index_Upto_April23__1___1[Sector]="Rural+Urban"),0)),
    INDEX(All_India_Index_Upto_April23__1___1[Milk and products],
      MATCH(1,(All_India_Index_Upto_April23__1___1[Date]=$A41)*
              (All_India_Index_Upto_April23__1___1[Sector]="Rural+Urban"),0)),
    INDEX(All_India_Index_Upto_April23__1___1[Oils and fats],
      MATCH(1,(All_India_Index_Upto_April23__1___1[Date]=$A41)*
              (All_India_Index_Upto_April23__1___1[Sector]="Rural+Urban"),0)),
    INDEX(All_India_Index_Upto_April23__1___1[Fruits],
      MATCH(1,(All_India_Index_Upto_April23__1___1[Date]=$A41)*
              (All_India_Index_Upto_April23__1___1[Sector]="Rural+Urban"),0)),
    INDEX(All_India_Index_Upto_April23__1___1[Vegetables],
      MATCH(1,(All_India_Index_Upto_April23__1___1[Date]=$A41)*
              (All_India_Index_Upto_April23__1___1[Sector]="Rural+Urban"),0)),
    INDEX(All_India_Index_Upto_April23__1___1[Pulses and products],
      MATCH(1,(All_India_Index_Upto_April23__1___1[Date]=$A41)*
              (All_India_Index_Upto_April23__1___1[Sector]="Rural+Urban"),0)),
    INDEX(All_India_Index_Upto_April23__1___1[Sugar and Confectionery],
      MATCH(1,(All_India_Index_Upto_April23__1___1[Date]=$A41)*
              (All_India_Index_Upto_April23__1___1[Sector]="Rural+Urban"),0)),
    INDEX(All_India_Index_Upto_April23__1___1[Spices],
      MATCH(1,(All_India_Index_Upto_April23__1___1[Date]=$A41)*
              (All_India_Index_Upto_April23__1___1[Sector]="Rural+Urban"),0)),
    INDEX(All_India_Index_Upto_April23__1___1[Non-alcoholic beverages],
      MATCH(1,(All_India_Index_Upto_April23__1___1[Date]=$A41)*
              (All_India_Index_Upto_April23__1___1[Sector]="Rural+Urban"),0)),
    INDEX(All_India_Index_Upto_April23__1___1[Prepared meals, snacks, sweets etc.],
      MATCH(1,(All_India_Index_Upto_April23__1___1[Date]=$A41)*
              (All_India_Index_Upto_April23__1___1[Sector]="Rural+Urban"),0))
  ),
"")</f>
        <v>149.95000000000002</v>
      </c>
      <c r="P41" s="2" cm="1">
        <f t="array" ref="P41">IFERROR(
  AVERAGE(
    INDEX(All_India_Index_Upto_April23__1___1[Cereals and products],
      MATCH(1,(All_India_Index_Upto_April23__1___1[Date]=EDATE($A41,-12))*
              (All_India_Index_Upto_April23__1___1[Sector]="Rural+Urban"),0)),
    INDEX(All_India_Index_Upto_April23__1___1[Meat and fish],
      MATCH(1,(All_India_Index_Upto_April23__1___1[Date]=EDATE($A41,-12))*
              (All_India_Index_Upto_April23__1___1[Sector]="Rural+Urban"),0)),
    INDEX(All_India_Index_Upto_April23__1___1[Egg],
      MATCH(1,(All_India_Index_Upto_April23__1___1[Date]=EDATE($A41,-12))*
              (All_India_Index_Upto_April23__1___1[Sector]="Rural+Urban"),0)),
    INDEX(All_India_Index_Upto_April23__1___1[Milk and products],
      MATCH(1,(All_India_Index_Upto_April23__1___1[Date]=EDATE($A41,-12))*
              (All_India_Index_Upto_April23__1___1[Sector]="Rural+Urban"),0)),
    INDEX(All_India_Index_Upto_April23__1___1[Oils and fats],
      MATCH(1,(All_India_Index_Upto_April23__1___1[Date]=EDATE($A41,-12))*
              (All_India_Index_Upto_April23__1___1[Sector]="Rural+Urban"),0)),
    INDEX(All_India_Index_Upto_April23__1___1[Fruits],
      MATCH(1,(All_India_Index_Upto_April23__1___1[Date]=EDATE($A41,-12))*
              (All_India_Index_Upto_April23__1___1[Sector]="Rural+Urban"),0)),
    INDEX(All_India_Index_Upto_April23__1___1[Vegetables],
      MATCH(1,(All_India_Index_Upto_April23__1___1[Date]=EDATE($A41,-12))*
              (All_India_Index_Upto_April23__1___1[Sector]="Rural+Urban"),0)),
    INDEX(All_India_Index_Upto_April23__1___1[Pulses and products],
      MATCH(1,(All_India_Index_Upto_April23__1___1[Date]=EDATE($A41,-12))*
              (All_India_Index_Upto_April23__1___1[Sector]="Rural+Urban"),0)),
    INDEX(All_India_Index_Upto_April23__1___1[Sugar and Confectionery],
      MATCH(1,(All_India_Index_Upto_April23__1___1[Date]=EDATE($A41,-12))*
              (All_India_Index_Upto_April23__1___1[Sector]="Rural+Urban"),0)),
    INDEX(All_India_Index_Upto_April23__1___1[Spices],
      MATCH(1,(All_India_Index_Upto_April23__1___1[Date]=EDATE($A41,-12))*
              (All_India_Index_Upto_April23__1___1[Sector]="Rural+Urban"),0)),
    INDEX(All_India_Index_Upto_April23__1___1[Non-alcoholic beverages],
      MATCH(1,(All_India_Index_Upto_April23__1___1[Date]=EDATE($A41,-12))*
              (All_India_Index_Upto_April23__1___1[Sector]="Rural+Urban"),0)),
    INDEX(All_India_Index_Upto_April23__1___1[Prepared meals, snacks, sweets etc.],
      MATCH(1,(All_India_Index_Upto_April23__1___1[Date]=EDATE($A41,-12))*
              (All_India_Index_Upto_April23__1___1[Sector]="Rural+Urban"),0))
  ),
"")</f>
        <v>137.58333333333334</v>
      </c>
      <c r="Q41" s="8">
        <f t="shared" si="2"/>
        <v>8.9884918231374969E-2</v>
      </c>
      <c r="R41" t="str">
        <f t="shared" si="3"/>
        <v>COVID</v>
      </c>
      <c r="T41" s="2" cm="1">
        <f t="array" ref="T41">IFERROR(
  INDEX(
    All_India_Index_Upto_April23__1___1[Health],
    MATCH(
      1,
      (All_India_Index_Upto_April23__1___1[Date]=$A41) *
      (All_India_Index_Upto_April23__1___1[Sector]="Rural+Urban"),
      0
    )
  ),
"")</f>
        <v>153.35</v>
      </c>
      <c r="U41" s="2" cm="1">
        <f t="array" ref="U41">IFERROR(
  INDEX(
    All_India_Index_Upto_April23__1___1[Health],
    MATCH(
      1,
      (All_India_Index_Upto_April23__1___1[Date]=EDATE($A41,-12)) *
      (All_India_Index_Upto_April23__1___1[Sector]="Rural+Urban"),
      0
    )
  ),
"")</f>
        <v>146.9</v>
      </c>
      <c r="V41" s="8">
        <f t="shared" si="4"/>
        <v>4.3907420013614626E-2</v>
      </c>
      <c r="W41" t="str">
        <f t="shared" si="5"/>
        <v>COVID</v>
      </c>
      <c r="Y41" s="2" cm="1">
        <f t="array" ref="Y41">IFERROR(
  AVERAGE(
    INDEX(All_India_Index_Upto_April23__1___1[Pan, tobacco and intoxicants],
      MATCH(1,(All_India_Index_Upto_April23__1___1[Date]=$A41)*
              (All_India_Index_Upto_April23__1___1[Sector]="Rural+Urban"),0)),
    INDEX(All_India_Index_Upto_April23__1___1[Clothing],
      MATCH(1,(All_India_Index_Upto_April23__1___1[Date]=$A41)*
              (All_India_Index_Upto_April23__1___1[Sector]="Rural+Urban"),0)),
    INDEX(All_India_Index_Upto_April23__1___1[Footwear],
      MATCH(1,(All_India_Index_Upto_April23__1___1[Date]=$A41)*
              (All_India_Index_Upto_April23__1___1[Sector]="Rural+Urban"),0)),
    INDEX(All_India_Index_Upto_April23__1___1[Clothing and footwear],
      MATCH(1,(All_India_Index_Upto_April23__1___1[Date]=$A41)*
              (All_India_Index_Upto_April23__1___1[Sector]="Rural+Urban"),0)),
    INDEX(All_India_Index_Upto_April23__1___1[Housing],
      MATCH(1,(All_India_Index_Upto_April23__1___1[Date]=$A41)*
              (All_India_Index_Upto_April23__1___1[Sector]="Rural+Urban"),0)),
    INDEX(All_India_Index_Upto_April23__1___1[Fuel and light],
      MATCH(1,(All_India_Index_Upto_April23__1___1[Date]=$A41)*
              (All_India_Index_Upto_April23__1___1[Sector]="Rural+Urban"),0)),
    INDEX(All_India_Index_Upto_April23__1___1[Household goods and services],
      MATCH(1,(All_India_Index_Upto_April23__1___1[Date]=$A41)*
              (All_India_Index_Upto_April23__1___1[Sector]="Rural+Urban"),0)),
    INDEX(All_India_Index_Upto_April23__1___1[Health],
      MATCH(1,(All_India_Index_Upto_April23__1___1[Date]=$A41)*
              (All_India_Index_Upto_April23__1___1[Sector]="Rural+Urban"),0)),
    INDEX(All_India_Index_Upto_April23__1___1[Transport and communication],
      MATCH(1,(All_India_Index_Upto_April23__1___1[Date]=$A41)*
              (All_India_Index_Upto_April23__1___1[Sector]="Rural+Urban"),0)),
    INDEX(All_India_Index_Upto_April23__1___1[Recreation and amusement],
      MATCH(1,(All_India_Index_Upto_April23__1___1[Date]=$A41)*
              (All_India_Index_Upto_April23__1___1[Sector]="Rural+Urban"),0)),
    INDEX(All_India_Index_Upto_April23__1___1[Education],
      MATCH(1,(All_India_Index_Upto_April23__1___1[Date]=$A41)*
              (All_India_Index_Upto_April23__1___1[Sector]="Rural+Urban"),0)),
    INDEX(All_India_Index_Upto_April23__1___1[Personal care and effects],
      MATCH(1,(All_India_Index_Upto_April23__1___1[Date]=$A41)*
              (All_India_Index_Upto_April23__1___1[Sector]="Rural+Urban"),0)),
    INDEX(All_India_Index_Upto_April23__1___1[Miscellaneous],
      MATCH(1,(All_India_Index_Upto_April23__1___1[Date]=$A41)*
              (All_India_Index_Upto_April23__1___1[Sector]="Rural+Urban"),0))
  ),
"")</f>
        <v>150.30384615384611</v>
      </c>
      <c r="Z41" s="2" cm="1">
        <f t="array" ref="Z41">IFERROR(
  AVERAGE(
    INDEX(All_India_Index_Upto_April23__1___1[Pan, tobacco and intoxicants],
      MATCH(1,(All_India_Index_Upto_April23__1___1[Date]=EDATE($A41,-12))*
              (All_India_Index_Upto_April23__1___1[Sector]="Rural+Urban"),0)),
    INDEX(All_India_Index_Upto_April23__1___1[Clothing],
      MATCH(1,(All_India_Index_Upto_April23__1___1[Date]=EDATE($A41,-12))*
              (All_India_Index_Upto_April23__1___1[Sector]="Rural+Urban"),0)),
    INDEX(All_India_Index_Upto_April23__1___1[Footwear],
      MATCH(1,(All_India_Index_Upto_April23__1___1[Date]=EDATE($A41,-12))*
              (All_India_Index_Upto_April23__1___1[Sector]="Rural+Urban"),0)),
    INDEX(All_India_Index_Upto_April23__1___1[Clothing and footwear],
      MATCH(1,(All_India_Index_Upto_April23__1___1[Date]=EDATE($A41,-12))*
              (All_India_Index_Upto_April23__1___1[Sector]="Rural+Urban"),0)),
    INDEX(All_India_Index_Upto_April23__1___1[Housing],
      MATCH(1,(All_India_Index_Upto_April23__1___1[Date]=EDATE($A41,-12))*
              (All_India_Index_Upto_April23__1___1[Sector]="Rural+Urban"),0)),
    INDEX(All_India_Index_Upto_April23__1___1[Fuel and light],
      MATCH(1,(All_India_Index_Upto_April23__1___1[Date]=EDATE($A41,-12))*
              (All_India_Index_Upto_April23__1___1[Sector]="Rural+Urban"),0)),
    INDEX(All_India_Index_Upto_April23__1___1[Household goods and services],
      MATCH(1,(All_India_Index_Upto_April23__1___1[Date]=EDATE($A41,-12))*
              (All_India_Index_Upto_April23__1___1[Sector]="Rural+Urban"),0)),
    INDEX(All_India_Index_Upto_April23__1___1[Health],
      MATCH(1,(All_India_Index_Upto_April23__1___1[Date]=EDATE($A41,-12))*
              (All_India_Index_Upto_April23__1___1[Sector]="Rural+Urban"),0)),
    INDEX(All_India_Index_Upto_April23__1___1[Transport and communication],
      MATCH(1,(All_India_Index_Upto_April23__1___1[Date]=EDATE($A41,-12))*
              (All_India_Index_Upto_April23__1___1[Sector]="Rural+Urban"),0)),
    INDEX(All_India_Index_Upto_April23__1___1[Recreation and amusement],
      MATCH(1,(All_India_Index_Upto_April23__1___1[Date]=EDATE($A41,-12))*
              (All_India_Index_Upto_April23__1___1[Sector]="Rural+Urban"),0)),
    INDEX(All_India_Index_Upto_April23__1___1[Education],
      MATCH(1,(All_India_Index_Upto_April23__1___1[Date]=EDATE($A41,-12))*
              (All_India_Index_Upto_April23__1___1[Sector]="Rural+Urban"),0)),
    INDEX(All_India_Index_Upto_April23__1___1[Personal care and effects],
      MATCH(1,(All_India_Index_Upto_April23__1___1[Date]=EDATE($A41,-12))*
              (All_India_Index_Upto_April23__1___1[Sector]="Rural+Urban"),0)),
    INDEX(All_India_Index_Upto_April23__1___1[Miscellaneous],
      MATCH(1,(All_India_Index_Upto_April23__1___1[Date]=EDATE($A41,-12))*
              (All_India_Index_Upto_April23__1___1[Sector]="Rural+Urban"),0))
  ),
"")</f>
        <v>143.20000000000002</v>
      </c>
      <c r="AA41" s="8">
        <f t="shared" si="6"/>
        <v>4.9607864202835833E-2</v>
      </c>
      <c r="AB41" t="str">
        <f t="shared" si="7"/>
        <v>COVID</v>
      </c>
    </row>
    <row r="42" spans="1:28" x14ac:dyDescent="0.2">
      <c r="A42" s="22">
        <v>43983</v>
      </c>
      <c r="B42">
        <v>2020</v>
      </c>
      <c r="C42" t="s">
        <v>41</v>
      </c>
      <c r="D42" s="2" cm="1">
        <f t="array" ref="D42">IFERROR(
  INDEX(
    All_India_Index_Upto_April23__1___1[General index],
    MATCH(
      1,
      (All_India_Index_Upto_April23__1___1[Sector]="Rural+Urban") *
      (All_India_Index_Upto_April23__1___1[Date]=A42),
      0
    )
  ),
"")</f>
        <v>151.80000000000001</v>
      </c>
      <c r="E42" s="2" cm="1">
        <f t="array" ref="E42">IFERROR(
  INDEX(
    All_India_Index_Upto_April23__1___1[General index],
    MATCH(
      1,
      (All_India_Index_Upto_April23__1___1[Sector]="Rural+Urban") *
      (All_India_Index_Upto_April23__1___1[Date]=EDATE(A42,-12)),
      0
    )
  ),
"")</f>
        <v>142.9</v>
      </c>
      <c r="F42" s="8">
        <f t="shared" si="0"/>
        <v>6.2281315605318355E-2</v>
      </c>
      <c r="G42" t="str">
        <f t="shared" si="1"/>
        <v>COVID</v>
      </c>
      <c r="O42" s="2" cm="1">
        <f t="array" ref="O42">IFERROR(
  AVERAGE(
    INDEX(All_India_Index_Upto_April23__1___1[Cereals and products],
      MATCH(1,(All_India_Index_Upto_April23__1___1[Date]=$A42)*
              (All_India_Index_Upto_April23__1___1[Sector]="Rural+Urban"),0)),
    INDEX(All_India_Index_Upto_April23__1___1[Meat and fish],
      MATCH(1,(All_India_Index_Upto_April23__1___1[Date]=$A42)*
              (All_India_Index_Upto_April23__1___1[Sector]="Rural+Urban"),0)),
    INDEX(All_India_Index_Upto_April23__1___1[Egg],
      MATCH(1,(All_India_Index_Upto_April23__1___1[Date]=$A42)*
              (All_India_Index_Upto_April23__1___1[Sector]="Rural+Urban"),0)),
    INDEX(All_India_Index_Upto_April23__1___1[Milk and products],
      MATCH(1,(All_India_Index_Upto_April23__1___1[Date]=$A42)*
              (All_India_Index_Upto_April23__1___1[Sector]="Rural+Urban"),0)),
    INDEX(All_India_Index_Upto_April23__1___1[Oils and fats],
      MATCH(1,(All_India_Index_Upto_April23__1___1[Date]=$A42)*
              (All_India_Index_Upto_April23__1___1[Sector]="Rural+Urban"),0)),
    INDEX(All_India_Index_Upto_April23__1___1[Fruits],
      MATCH(1,(All_India_Index_Upto_April23__1___1[Date]=$A42)*
              (All_India_Index_Upto_April23__1___1[Sector]="Rural+Urban"),0)),
    INDEX(All_India_Index_Upto_April23__1___1[Vegetables],
      MATCH(1,(All_India_Index_Upto_April23__1___1[Date]=$A42)*
              (All_India_Index_Upto_April23__1___1[Sector]="Rural+Urban"),0)),
    INDEX(All_India_Index_Upto_April23__1___1[Pulses and products],
      MATCH(1,(All_India_Index_Upto_April23__1___1[Date]=$A42)*
              (All_India_Index_Upto_April23__1___1[Sector]="Rural+Urban"),0)),
    INDEX(All_India_Index_Upto_April23__1___1[Sugar and Confectionery],
      MATCH(1,(All_India_Index_Upto_April23__1___1[Date]=$A42)*
              (All_India_Index_Upto_April23__1___1[Sector]="Rural+Urban"),0)),
    INDEX(All_India_Index_Upto_April23__1___1[Spices],
      MATCH(1,(All_India_Index_Upto_April23__1___1[Date]=$A42)*
              (All_India_Index_Upto_April23__1___1[Sector]="Rural+Urban"),0)),
    INDEX(All_India_Index_Upto_April23__1___1[Non-alcoholic beverages],
      MATCH(1,(All_India_Index_Upto_April23__1___1[Date]=$A42)*
              (All_India_Index_Upto_April23__1___1[Sector]="Rural+Urban"),0)),
    INDEX(All_India_Index_Upto_April23__1___1[Prepared meals, snacks, sweets etc.],
      MATCH(1,(All_India_Index_Upto_April23__1___1[Date]=$A42)*
              (All_India_Index_Upto_April23__1___1[Sector]="Rural+Urban"),0))
  ),
"")</f>
        <v>151.06666666666669</v>
      </c>
      <c r="P42" s="2" cm="1">
        <f t="array" ref="P42">IFERROR(
  AVERAGE(
    INDEX(All_India_Index_Upto_April23__1___1[Cereals and products],
      MATCH(1,(All_India_Index_Upto_April23__1___1[Date]=EDATE($A42,-12))*
              (All_India_Index_Upto_April23__1___1[Sector]="Rural+Urban"),0)),
    INDEX(All_India_Index_Upto_April23__1___1[Meat and fish],
      MATCH(1,(All_India_Index_Upto_April23__1___1[Date]=EDATE($A42,-12))*
              (All_India_Index_Upto_April23__1___1[Sector]="Rural+Urban"),0)),
    INDEX(All_India_Index_Upto_April23__1___1[Egg],
      MATCH(1,(All_India_Index_Upto_April23__1___1[Date]=EDATE($A42,-12))*
              (All_India_Index_Upto_April23__1___1[Sector]="Rural+Urban"),0)),
    INDEX(All_India_Index_Upto_April23__1___1[Milk and products],
      MATCH(1,(All_India_Index_Upto_April23__1___1[Date]=EDATE($A42,-12))*
              (All_India_Index_Upto_April23__1___1[Sector]="Rural+Urban"),0)),
    INDEX(All_India_Index_Upto_April23__1___1[Oils and fats],
      MATCH(1,(All_India_Index_Upto_April23__1___1[Date]=EDATE($A42,-12))*
              (All_India_Index_Upto_April23__1___1[Sector]="Rural+Urban"),0)),
    INDEX(All_India_Index_Upto_April23__1___1[Fruits],
      MATCH(1,(All_India_Index_Upto_April23__1___1[Date]=EDATE($A42,-12))*
              (All_India_Index_Upto_April23__1___1[Sector]="Rural+Urban"),0)),
    INDEX(All_India_Index_Upto_April23__1___1[Vegetables],
      MATCH(1,(All_India_Index_Upto_April23__1___1[Date]=EDATE($A42,-12))*
              (All_India_Index_Upto_April23__1___1[Sector]="Rural+Urban"),0)),
    INDEX(All_India_Index_Upto_April23__1___1[Pulses and products],
      MATCH(1,(All_India_Index_Upto_April23__1___1[Date]=EDATE($A42,-12))*
              (All_India_Index_Upto_April23__1___1[Sector]="Rural+Urban"),0)),
    INDEX(All_India_Index_Upto_April23__1___1[Sugar and Confectionery],
      MATCH(1,(All_India_Index_Upto_April23__1___1[Date]=EDATE($A42,-12))*
              (All_India_Index_Upto_April23__1___1[Sector]="Rural+Urban"),0)),
    INDEX(All_India_Index_Upto_April23__1___1[Spices],
      MATCH(1,(All_India_Index_Upto_April23__1___1[Date]=EDATE($A42,-12))*
              (All_India_Index_Upto_April23__1___1[Sector]="Rural+Urban"),0)),
    INDEX(All_India_Index_Upto_April23__1___1[Non-alcoholic beverages],
      MATCH(1,(All_India_Index_Upto_April23__1___1[Date]=EDATE($A42,-12))*
              (All_India_Index_Upto_April23__1___1[Sector]="Rural+Urban"),0)),
    INDEX(All_India_Index_Upto_April23__1___1[Prepared meals, snacks, sweets etc.],
      MATCH(1,(All_India_Index_Upto_April23__1___1[Date]=EDATE($A42,-12))*
              (All_India_Index_Upto_April23__1___1[Sector]="Rural+Urban"),0))
  ),
"")</f>
        <v>139.28333333333333</v>
      </c>
      <c r="Q42" s="8">
        <f t="shared" si="2"/>
        <v>8.4599736747636906E-2</v>
      </c>
      <c r="R42" t="str">
        <f t="shared" si="3"/>
        <v>COVID</v>
      </c>
      <c r="T42" s="2" cm="1">
        <f t="array" ref="T42">IFERROR(
  INDEX(
    All_India_Index_Upto_April23__1___1[Health],
    MATCH(
      1,
      (All_India_Index_Upto_April23__1___1[Date]=$A42) *
      (All_India_Index_Upto_April23__1___1[Sector]="Rural+Urban"),
      0
    )
  ),
"")</f>
        <v>154.4</v>
      </c>
      <c r="U42" s="2" cm="1">
        <f t="array" ref="U42">IFERROR(
  INDEX(
    All_India_Index_Upto_April23__1___1[Health],
    MATCH(
      1,
      (All_India_Index_Upto_April23__1___1[Date]=EDATE($A42,-12)) *
      (All_India_Index_Upto_April23__1___1[Sector]="Rural+Urban"),
      0
    )
  ),
"")</f>
        <v>147.4</v>
      </c>
      <c r="V42" s="8">
        <f t="shared" si="4"/>
        <v>4.7489823609226593E-2</v>
      </c>
      <c r="W42" t="str">
        <f t="shared" si="5"/>
        <v>COVID</v>
      </c>
      <c r="Y42" s="2" cm="1">
        <f t="array" ref="Y42">IFERROR(
  AVERAGE(
    INDEX(All_India_Index_Upto_April23__1___1[Pan, tobacco and intoxicants],
      MATCH(1,(All_India_Index_Upto_April23__1___1[Date]=$A42)*
              (All_India_Index_Upto_April23__1___1[Sector]="Rural+Urban"),0)),
    INDEX(All_India_Index_Upto_April23__1___1[Clothing],
      MATCH(1,(All_India_Index_Upto_April23__1___1[Date]=$A42)*
              (All_India_Index_Upto_April23__1___1[Sector]="Rural+Urban"),0)),
    INDEX(All_India_Index_Upto_April23__1___1[Footwear],
      MATCH(1,(All_India_Index_Upto_April23__1___1[Date]=$A42)*
              (All_India_Index_Upto_April23__1___1[Sector]="Rural+Urban"),0)),
    INDEX(All_India_Index_Upto_April23__1___1[Clothing and footwear],
      MATCH(1,(All_India_Index_Upto_April23__1___1[Date]=$A42)*
              (All_India_Index_Upto_April23__1___1[Sector]="Rural+Urban"),0)),
    INDEX(All_India_Index_Upto_April23__1___1[Housing],
      MATCH(1,(All_India_Index_Upto_April23__1___1[Date]=$A42)*
              (All_India_Index_Upto_April23__1___1[Sector]="Rural+Urban"),0)),
    INDEX(All_India_Index_Upto_April23__1___1[Fuel and light],
      MATCH(1,(All_India_Index_Upto_April23__1___1[Date]=$A42)*
              (All_India_Index_Upto_April23__1___1[Sector]="Rural+Urban"),0)),
    INDEX(All_India_Index_Upto_April23__1___1[Household goods and services],
      MATCH(1,(All_India_Index_Upto_April23__1___1[Date]=$A42)*
              (All_India_Index_Upto_April23__1___1[Sector]="Rural+Urban"),0)),
    INDEX(All_India_Index_Upto_April23__1___1[Health],
      MATCH(1,(All_India_Index_Upto_April23__1___1[Date]=$A42)*
              (All_India_Index_Upto_April23__1___1[Sector]="Rural+Urban"),0)),
    INDEX(All_India_Index_Upto_April23__1___1[Transport and communication],
      MATCH(1,(All_India_Index_Upto_April23__1___1[Date]=$A42)*
              (All_India_Index_Upto_April23__1___1[Sector]="Rural+Urban"),0)),
    INDEX(All_India_Index_Upto_April23__1___1[Recreation and amusement],
      MATCH(1,(All_India_Index_Upto_April23__1___1[Date]=$A42)*
              (All_India_Index_Upto_April23__1___1[Sector]="Rural+Urban"),0)),
    INDEX(All_India_Index_Upto_April23__1___1[Education],
      MATCH(1,(All_India_Index_Upto_April23__1___1[Date]=$A42)*
              (All_India_Index_Upto_April23__1___1[Sector]="Rural+Urban"),0)),
    INDEX(All_India_Index_Upto_April23__1___1[Personal care and effects],
      MATCH(1,(All_India_Index_Upto_April23__1___1[Date]=$A42)*
              (All_India_Index_Upto_April23__1___1[Sector]="Rural+Urban"),0)),
    INDEX(All_India_Index_Upto_April23__1___1[Miscellaneous],
      MATCH(1,(All_India_Index_Upto_April23__1___1[Date]=$A42)*
              (All_India_Index_Upto_April23__1___1[Sector]="Rural+Urban"),0))
  ),
"")</f>
        <v>151.06666666666666</v>
      </c>
      <c r="Z42" s="2" cm="1">
        <f t="array" ref="Z42">IFERROR(
  AVERAGE(
    INDEX(All_India_Index_Upto_April23__1___1[Pan, tobacco and intoxicants],
      MATCH(1,(All_India_Index_Upto_April23__1___1[Date]=EDATE($A42,-12))*
              (All_India_Index_Upto_April23__1___1[Sector]="Rural+Urban"),0)),
    INDEX(All_India_Index_Upto_April23__1___1[Clothing],
      MATCH(1,(All_India_Index_Upto_April23__1___1[Date]=EDATE($A42,-12))*
              (All_India_Index_Upto_April23__1___1[Sector]="Rural+Urban"),0)),
    INDEX(All_India_Index_Upto_April23__1___1[Footwear],
      MATCH(1,(All_India_Index_Upto_April23__1___1[Date]=EDATE($A42,-12))*
              (All_India_Index_Upto_April23__1___1[Sector]="Rural+Urban"),0)),
    INDEX(All_India_Index_Upto_April23__1___1[Clothing and footwear],
      MATCH(1,(All_India_Index_Upto_April23__1___1[Date]=EDATE($A42,-12))*
              (All_India_Index_Upto_April23__1___1[Sector]="Rural+Urban"),0)),
    INDEX(All_India_Index_Upto_April23__1___1[Housing],
      MATCH(1,(All_India_Index_Upto_April23__1___1[Date]=EDATE($A42,-12))*
              (All_India_Index_Upto_April23__1___1[Sector]="Rural+Urban"),0)),
    INDEX(All_India_Index_Upto_April23__1___1[Fuel and light],
      MATCH(1,(All_India_Index_Upto_April23__1___1[Date]=EDATE($A42,-12))*
              (All_India_Index_Upto_April23__1___1[Sector]="Rural+Urban"),0)),
    INDEX(All_India_Index_Upto_April23__1___1[Household goods and services],
      MATCH(1,(All_India_Index_Upto_April23__1___1[Date]=EDATE($A42,-12))*
              (All_India_Index_Upto_April23__1___1[Sector]="Rural+Urban"),0)),
    INDEX(All_India_Index_Upto_April23__1___1[Health],
      MATCH(1,(All_India_Index_Upto_April23__1___1[Date]=EDATE($A42,-12))*
              (All_India_Index_Upto_April23__1___1[Sector]="Rural+Urban"),0)),
    INDEX(All_India_Index_Upto_April23__1___1[Transport and communication],
      MATCH(1,(All_India_Index_Upto_April23__1___1[Date]=EDATE($A42,-12))*
              (All_India_Index_Upto_April23__1___1[Sector]="Rural+Urban"),0)),
    INDEX(All_India_Index_Upto_April23__1___1[Recreation and amusement],
      MATCH(1,(All_India_Index_Upto_April23__1___1[Date]=EDATE($A42,-12))*
              (All_India_Index_Upto_April23__1___1[Sector]="Rural+Urban"),0)),
    INDEX(All_India_Index_Upto_April23__1___1[Education],
      MATCH(1,(All_India_Index_Upto_April23__1___1[Date]=EDATE($A42,-12))*
              (All_India_Index_Upto_April23__1___1[Sector]="Rural+Urban"),0)),
    INDEX(All_India_Index_Upto_April23__1___1[Personal care and effects],
      MATCH(1,(All_India_Index_Upto_April23__1___1[Date]=EDATE($A42,-12))*
              (All_India_Index_Upto_April23__1___1[Sector]="Rural+Urban"),0)),
    INDEX(All_India_Index_Upto_April23__1___1[Miscellaneous],
      MATCH(1,(All_India_Index_Upto_April23__1___1[Date]=EDATE($A42,-12))*
              (All_India_Index_Upto_April23__1___1[Sector]="Rural+Urban"),0))
  ),
"")</f>
        <v>143.60833333333332</v>
      </c>
      <c r="AA42" s="8">
        <f t="shared" si="6"/>
        <v>5.1935240526896145E-2</v>
      </c>
      <c r="AB42" t="str">
        <f t="shared" si="7"/>
        <v>COVID</v>
      </c>
    </row>
    <row r="43" spans="1:28" x14ac:dyDescent="0.2">
      <c r="A43" s="22">
        <v>44013</v>
      </c>
      <c r="B43">
        <v>2020</v>
      </c>
      <c r="C43" t="s">
        <v>43</v>
      </c>
      <c r="D43" s="2" cm="1">
        <f t="array" ref="D43">IFERROR(
  INDEX(
    All_India_Index_Upto_April23__1___1[General index],
    MATCH(
      1,
      (All_India_Index_Upto_April23__1___1[Sector]="Rural+Urban") *
      (All_India_Index_Upto_April23__1___1[Date]=A43),
      0
    )
  ),
"")</f>
        <v>151.80000000000001</v>
      </c>
      <c r="E43" s="2" cm="1">
        <f t="array" ref="E43">IFERROR(
  INDEX(
    All_India_Index_Upto_April23__1___1[General index],
    MATCH(
      1,
      (All_India_Index_Upto_April23__1___1[Sector]="Rural+Urban") *
      (All_India_Index_Upto_April23__1___1[Date]=EDATE(A43,-12)),
      0
    )
  ),
"")</f>
        <v>144.19999999999999</v>
      </c>
      <c r="F43" s="8">
        <f t="shared" si="0"/>
        <v>5.2704576976421835E-2</v>
      </c>
      <c r="G43" t="str">
        <f t="shared" si="1"/>
        <v>COVID</v>
      </c>
      <c r="O43" s="2" cm="1">
        <f t="array" ref="O43">IFERROR(
  AVERAGE(
    INDEX(All_India_Index_Upto_April23__1___1[Cereals and products],
      MATCH(1,(All_India_Index_Upto_April23__1___1[Date]=$A43)*
              (All_India_Index_Upto_April23__1___1[Sector]="Rural+Urban"),0)),
    INDEX(All_India_Index_Upto_April23__1___1[Meat and fish],
      MATCH(1,(All_India_Index_Upto_April23__1___1[Date]=$A43)*
              (All_India_Index_Upto_April23__1___1[Sector]="Rural+Urban"),0)),
    INDEX(All_India_Index_Upto_April23__1___1[Egg],
      MATCH(1,(All_India_Index_Upto_April23__1___1[Date]=$A43)*
              (All_India_Index_Upto_April23__1___1[Sector]="Rural+Urban"),0)),
    INDEX(All_India_Index_Upto_April23__1___1[Milk and products],
      MATCH(1,(All_India_Index_Upto_April23__1___1[Date]=$A43)*
              (All_India_Index_Upto_April23__1___1[Sector]="Rural+Urban"),0)),
    INDEX(All_India_Index_Upto_April23__1___1[Oils and fats],
      MATCH(1,(All_India_Index_Upto_April23__1___1[Date]=$A43)*
              (All_India_Index_Upto_April23__1___1[Sector]="Rural+Urban"),0)),
    INDEX(All_India_Index_Upto_April23__1___1[Fruits],
      MATCH(1,(All_India_Index_Upto_April23__1___1[Date]=$A43)*
              (All_India_Index_Upto_April23__1___1[Sector]="Rural+Urban"),0)),
    INDEX(All_India_Index_Upto_April23__1___1[Vegetables],
      MATCH(1,(All_India_Index_Upto_April23__1___1[Date]=$A43)*
              (All_India_Index_Upto_April23__1___1[Sector]="Rural+Urban"),0)),
    INDEX(All_India_Index_Upto_April23__1___1[Pulses and products],
      MATCH(1,(All_India_Index_Upto_April23__1___1[Date]=$A43)*
              (All_India_Index_Upto_April23__1___1[Sector]="Rural+Urban"),0)),
    INDEX(All_India_Index_Upto_April23__1___1[Sugar and Confectionery],
      MATCH(1,(All_India_Index_Upto_April23__1___1[Date]=$A43)*
              (All_India_Index_Upto_April23__1___1[Sector]="Rural+Urban"),0)),
    INDEX(All_India_Index_Upto_April23__1___1[Spices],
      MATCH(1,(All_India_Index_Upto_April23__1___1[Date]=$A43)*
              (All_India_Index_Upto_April23__1___1[Sector]="Rural+Urban"),0)),
    INDEX(All_India_Index_Upto_April23__1___1[Non-alcoholic beverages],
      MATCH(1,(All_India_Index_Upto_April23__1___1[Date]=$A43)*
              (All_India_Index_Upto_April23__1___1[Sector]="Rural+Urban"),0)),
    INDEX(All_India_Index_Upto_April23__1___1[Prepared meals, snacks, sweets etc.],
      MATCH(1,(All_India_Index_Upto_April23__1___1[Date]=$A43)*
              (All_India_Index_Upto_April23__1___1[Sector]="Rural+Urban"),0))
  ),
"")</f>
        <v>151.06666666666669</v>
      </c>
      <c r="P43" s="2" cm="1">
        <f t="array" ref="P43">IFERROR(
  AVERAGE(
    INDEX(All_India_Index_Upto_April23__1___1[Cereals and products],
      MATCH(1,(All_India_Index_Upto_April23__1___1[Date]=EDATE($A43,-12))*
              (All_India_Index_Upto_April23__1___1[Sector]="Rural+Urban"),0)),
    INDEX(All_India_Index_Upto_April23__1___1[Meat and fish],
      MATCH(1,(All_India_Index_Upto_April23__1___1[Date]=EDATE($A43,-12))*
              (All_India_Index_Upto_April23__1___1[Sector]="Rural+Urban"),0)),
    INDEX(All_India_Index_Upto_April23__1___1[Egg],
      MATCH(1,(All_India_Index_Upto_April23__1___1[Date]=EDATE($A43,-12))*
              (All_India_Index_Upto_April23__1___1[Sector]="Rural+Urban"),0)),
    INDEX(All_India_Index_Upto_April23__1___1[Milk and products],
      MATCH(1,(All_India_Index_Upto_April23__1___1[Date]=EDATE($A43,-12))*
              (All_India_Index_Upto_April23__1___1[Sector]="Rural+Urban"),0)),
    INDEX(All_India_Index_Upto_April23__1___1[Oils and fats],
      MATCH(1,(All_India_Index_Upto_April23__1___1[Date]=EDATE($A43,-12))*
              (All_India_Index_Upto_April23__1___1[Sector]="Rural+Urban"),0)),
    INDEX(All_India_Index_Upto_April23__1___1[Fruits],
      MATCH(1,(All_India_Index_Upto_April23__1___1[Date]=EDATE($A43,-12))*
              (All_India_Index_Upto_April23__1___1[Sector]="Rural+Urban"),0)),
    INDEX(All_India_Index_Upto_April23__1___1[Vegetables],
      MATCH(1,(All_India_Index_Upto_April23__1___1[Date]=EDATE($A43,-12))*
              (All_India_Index_Upto_April23__1___1[Sector]="Rural+Urban"),0)),
    INDEX(All_India_Index_Upto_April23__1___1[Pulses and products],
      MATCH(1,(All_India_Index_Upto_April23__1___1[Date]=EDATE($A43,-12))*
              (All_India_Index_Upto_April23__1___1[Sector]="Rural+Urban"),0)),
    INDEX(All_India_Index_Upto_April23__1___1[Sugar and Confectionery],
      MATCH(1,(All_India_Index_Upto_April23__1___1[Date]=EDATE($A43,-12))*
              (All_India_Index_Upto_April23__1___1[Sector]="Rural+Urban"),0)),
    INDEX(All_India_Index_Upto_April23__1___1[Spices],
      MATCH(1,(All_India_Index_Upto_April23__1___1[Date]=EDATE($A43,-12))*
              (All_India_Index_Upto_April23__1___1[Sector]="Rural+Urban"),0)),
    INDEX(All_India_Index_Upto_April23__1___1[Non-alcoholic beverages],
      MATCH(1,(All_India_Index_Upto_April23__1___1[Date]=EDATE($A43,-12))*
              (All_India_Index_Upto_April23__1___1[Sector]="Rural+Urban"),0)),
    INDEX(All_India_Index_Upto_April23__1___1[Prepared meals, snacks, sweets etc.],
      MATCH(1,(All_India_Index_Upto_April23__1___1[Date]=EDATE($A43,-12))*
              (All_India_Index_Upto_April23__1___1[Sector]="Rural+Urban"),0))
  ),
"")</f>
        <v>141.06666666666666</v>
      </c>
      <c r="Q43" s="8">
        <f t="shared" si="2"/>
        <v>7.0888468809073929E-2</v>
      </c>
      <c r="R43" t="str">
        <f t="shared" si="3"/>
        <v>COVID</v>
      </c>
      <c r="T43" s="2" cm="1">
        <f t="array" ref="T43">IFERROR(
  INDEX(
    All_India_Index_Upto_April23__1___1[Health],
    MATCH(
      1,
      (All_India_Index_Upto_April23__1___1[Date]=$A43) *
      (All_India_Index_Upto_April23__1___1[Sector]="Rural+Urban"),
      0
    )
  ),
"")</f>
        <v>154.4</v>
      </c>
      <c r="U43" s="2" cm="1">
        <f t="array" ref="U43">IFERROR(
  INDEX(
    All_India_Index_Upto_April23__1___1[Health],
    MATCH(
      1,
      (All_India_Index_Upto_April23__1___1[Date]=EDATE($A43,-12)) *
      (All_India_Index_Upto_April23__1___1[Sector]="Rural+Urban"),
      0
    )
  ),
"")</f>
        <v>147.9</v>
      </c>
      <c r="V43" s="8">
        <f t="shared" si="4"/>
        <v>4.3948613928329952E-2</v>
      </c>
      <c r="W43" t="str">
        <f t="shared" si="5"/>
        <v>COVID</v>
      </c>
      <c r="Y43" s="2" cm="1">
        <f t="array" ref="Y43">IFERROR(
  AVERAGE(
    INDEX(All_India_Index_Upto_April23__1___1[Pan, tobacco and intoxicants],
      MATCH(1,(All_India_Index_Upto_April23__1___1[Date]=$A43)*
              (All_India_Index_Upto_April23__1___1[Sector]="Rural+Urban"),0)),
    INDEX(All_India_Index_Upto_April23__1___1[Clothing],
      MATCH(1,(All_India_Index_Upto_April23__1___1[Date]=$A43)*
              (All_India_Index_Upto_April23__1___1[Sector]="Rural+Urban"),0)),
    INDEX(All_India_Index_Upto_April23__1___1[Footwear],
      MATCH(1,(All_India_Index_Upto_April23__1___1[Date]=$A43)*
              (All_India_Index_Upto_April23__1___1[Sector]="Rural+Urban"),0)),
    INDEX(All_India_Index_Upto_April23__1___1[Clothing and footwear],
      MATCH(1,(All_India_Index_Upto_April23__1___1[Date]=$A43)*
              (All_India_Index_Upto_April23__1___1[Sector]="Rural+Urban"),0)),
    INDEX(All_India_Index_Upto_April23__1___1[Housing],
      MATCH(1,(All_India_Index_Upto_April23__1___1[Date]=$A43)*
              (All_India_Index_Upto_April23__1___1[Sector]="Rural+Urban"),0)),
    INDEX(All_India_Index_Upto_April23__1___1[Fuel and light],
      MATCH(1,(All_India_Index_Upto_April23__1___1[Date]=$A43)*
              (All_India_Index_Upto_April23__1___1[Sector]="Rural+Urban"),0)),
    INDEX(All_India_Index_Upto_April23__1___1[Household goods and services],
      MATCH(1,(All_India_Index_Upto_April23__1___1[Date]=$A43)*
              (All_India_Index_Upto_April23__1___1[Sector]="Rural+Urban"),0)),
    INDEX(All_India_Index_Upto_April23__1___1[Health],
      MATCH(1,(All_India_Index_Upto_April23__1___1[Date]=$A43)*
              (All_India_Index_Upto_April23__1___1[Sector]="Rural+Urban"),0)),
    INDEX(All_India_Index_Upto_April23__1___1[Transport and communication],
      MATCH(1,(All_India_Index_Upto_April23__1___1[Date]=$A43)*
              (All_India_Index_Upto_April23__1___1[Sector]="Rural+Urban"),0)),
    INDEX(All_India_Index_Upto_April23__1___1[Recreation and amusement],
      MATCH(1,(All_India_Index_Upto_April23__1___1[Date]=$A43)*
              (All_India_Index_Upto_April23__1___1[Sector]="Rural+Urban"),0)),
    INDEX(All_India_Index_Upto_April23__1___1[Education],
      MATCH(1,(All_India_Index_Upto_April23__1___1[Date]=$A43)*
              (All_India_Index_Upto_April23__1___1[Sector]="Rural+Urban"),0)),
    INDEX(All_India_Index_Upto_April23__1___1[Personal care and effects],
      MATCH(1,(All_India_Index_Upto_April23__1___1[Date]=$A43)*
              (All_India_Index_Upto_April23__1___1[Sector]="Rural+Urban"),0)),
    INDEX(All_India_Index_Upto_April23__1___1[Miscellaneous],
      MATCH(1,(All_India_Index_Upto_April23__1___1[Date]=$A43)*
              (All_India_Index_Upto_April23__1___1[Sector]="Rural+Urban"),0))
  ),
"")</f>
        <v>151.06666666666666</v>
      </c>
      <c r="Z43" s="2" cm="1">
        <f t="array" ref="Z43">IFERROR(
  AVERAGE(
    INDEX(All_India_Index_Upto_April23__1___1[Pan, tobacco and intoxicants],
      MATCH(1,(All_India_Index_Upto_April23__1___1[Date]=EDATE($A43,-12))*
              (All_India_Index_Upto_April23__1___1[Sector]="Rural+Urban"),0)),
    INDEX(All_India_Index_Upto_April23__1___1[Clothing],
      MATCH(1,(All_India_Index_Upto_April23__1___1[Date]=EDATE($A43,-12))*
              (All_India_Index_Upto_April23__1___1[Sector]="Rural+Urban"),0)),
    INDEX(All_India_Index_Upto_April23__1___1[Footwear],
      MATCH(1,(All_India_Index_Upto_April23__1___1[Date]=EDATE($A43,-12))*
              (All_India_Index_Upto_April23__1___1[Sector]="Rural+Urban"),0)),
    INDEX(All_India_Index_Upto_April23__1___1[Clothing and footwear],
      MATCH(1,(All_India_Index_Upto_April23__1___1[Date]=EDATE($A43,-12))*
              (All_India_Index_Upto_April23__1___1[Sector]="Rural+Urban"),0)),
    INDEX(All_India_Index_Upto_April23__1___1[Housing],
      MATCH(1,(All_India_Index_Upto_April23__1___1[Date]=EDATE($A43,-12))*
              (All_India_Index_Upto_April23__1___1[Sector]="Rural+Urban"),0)),
    INDEX(All_India_Index_Upto_April23__1___1[Fuel and light],
      MATCH(1,(All_India_Index_Upto_April23__1___1[Date]=EDATE($A43,-12))*
              (All_India_Index_Upto_April23__1___1[Sector]="Rural+Urban"),0)),
    INDEX(All_India_Index_Upto_April23__1___1[Household goods and services],
      MATCH(1,(All_India_Index_Upto_April23__1___1[Date]=EDATE($A43,-12))*
              (All_India_Index_Upto_April23__1___1[Sector]="Rural+Urban"),0)),
    INDEX(All_India_Index_Upto_April23__1___1[Health],
      MATCH(1,(All_India_Index_Upto_April23__1___1[Date]=EDATE($A43,-12))*
              (All_India_Index_Upto_April23__1___1[Sector]="Rural+Urban"),0)),
    INDEX(All_India_Index_Upto_April23__1___1[Transport and communication],
      MATCH(1,(All_India_Index_Upto_April23__1___1[Date]=EDATE($A43,-12))*
              (All_India_Index_Upto_April23__1___1[Sector]="Rural+Urban"),0)),
    INDEX(All_India_Index_Upto_April23__1___1[Recreation and amusement],
      MATCH(1,(All_India_Index_Upto_April23__1___1[Date]=EDATE($A43,-12))*
              (All_India_Index_Upto_April23__1___1[Sector]="Rural+Urban"),0)),
    INDEX(All_India_Index_Upto_April23__1___1[Education],
      MATCH(1,(All_India_Index_Upto_April23__1___1[Date]=EDATE($A43,-12))*
              (All_India_Index_Upto_April23__1___1[Sector]="Rural+Urban"),0)),
    INDEX(All_India_Index_Upto_April23__1___1[Personal care and effects],
      MATCH(1,(All_India_Index_Upto_April23__1___1[Date]=EDATE($A43,-12))*
              (All_India_Index_Upto_April23__1___1[Sector]="Rural+Urban"),0)),
    INDEX(All_India_Index_Upto_April23__1___1[Miscellaneous],
      MATCH(1,(All_India_Index_Upto_April23__1___1[Date]=EDATE($A43,-12))*
              (All_India_Index_Upto_April23__1___1[Sector]="Rural+Urban"),0))
  ),
"")</f>
        <v>144.07500000000002</v>
      </c>
      <c r="AA43" s="8">
        <f t="shared" si="6"/>
        <v>4.8527965758574668E-2</v>
      </c>
      <c r="AB43" t="str">
        <f t="shared" si="7"/>
        <v>COVID</v>
      </c>
    </row>
    <row r="44" spans="1:28" x14ac:dyDescent="0.2">
      <c r="A44" s="22">
        <v>44044</v>
      </c>
      <c r="B44">
        <v>2020</v>
      </c>
      <c r="C44" t="s">
        <v>45</v>
      </c>
      <c r="D44" s="2" cm="1">
        <f t="array" ref="D44">IFERROR(
  INDEX(
    All_India_Index_Upto_April23__1___1[General index],
    MATCH(
      1,
      (All_India_Index_Upto_April23__1___1[Sector]="Rural+Urban") *
      (All_India_Index_Upto_April23__1___1[Date]=A44),
      0
    )
  ),
"")</f>
        <v>153.9</v>
      </c>
      <c r="E44" s="2" cm="1">
        <f t="array" ref="E44">IFERROR(
  INDEX(
    All_India_Index_Upto_April23__1___1[General index],
    MATCH(
      1,
      (All_India_Index_Upto_April23__1___1[Sector]="Rural+Urban") *
      (All_India_Index_Upto_April23__1___1[Date]=EDATE(A44,-12)),
      0
    )
  ),
"")</f>
        <v>145</v>
      </c>
      <c r="F44" s="8">
        <f t="shared" si="0"/>
        <v>6.1379310344827687E-2</v>
      </c>
      <c r="G44" t="str">
        <f t="shared" si="1"/>
        <v>COVID</v>
      </c>
      <c r="O44" s="2" cm="1">
        <f t="array" ref="O44">IFERROR(
  AVERAGE(
    INDEX(All_India_Index_Upto_April23__1___1[Cereals and products],
      MATCH(1,(All_India_Index_Upto_April23__1___1[Date]=$A44)*
              (All_India_Index_Upto_April23__1___1[Sector]="Rural+Urban"),0)),
    INDEX(All_India_Index_Upto_April23__1___1[Meat and fish],
      MATCH(1,(All_India_Index_Upto_April23__1___1[Date]=$A44)*
              (All_India_Index_Upto_April23__1___1[Sector]="Rural+Urban"),0)),
    INDEX(All_India_Index_Upto_April23__1___1[Egg],
      MATCH(1,(All_India_Index_Upto_April23__1___1[Date]=$A44)*
              (All_India_Index_Upto_April23__1___1[Sector]="Rural+Urban"),0)),
    INDEX(All_India_Index_Upto_April23__1___1[Milk and products],
      MATCH(1,(All_India_Index_Upto_April23__1___1[Date]=$A44)*
              (All_India_Index_Upto_April23__1___1[Sector]="Rural+Urban"),0)),
    INDEX(All_India_Index_Upto_April23__1___1[Oils and fats],
      MATCH(1,(All_India_Index_Upto_April23__1___1[Date]=$A44)*
              (All_India_Index_Upto_April23__1___1[Sector]="Rural+Urban"),0)),
    INDEX(All_India_Index_Upto_April23__1___1[Fruits],
      MATCH(1,(All_India_Index_Upto_April23__1___1[Date]=$A44)*
              (All_India_Index_Upto_April23__1___1[Sector]="Rural+Urban"),0)),
    INDEX(All_India_Index_Upto_April23__1___1[Vegetables],
      MATCH(1,(All_India_Index_Upto_April23__1___1[Date]=$A44)*
              (All_India_Index_Upto_April23__1___1[Sector]="Rural+Urban"),0)),
    INDEX(All_India_Index_Upto_April23__1___1[Pulses and products],
      MATCH(1,(All_India_Index_Upto_April23__1___1[Date]=$A44)*
              (All_India_Index_Upto_April23__1___1[Sector]="Rural+Urban"),0)),
    INDEX(All_India_Index_Upto_April23__1___1[Sugar and Confectionery],
      MATCH(1,(All_India_Index_Upto_April23__1___1[Date]=$A44)*
              (All_India_Index_Upto_April23__1___1[Sector]="Rural+Urban"),0)),
    INDEX(All_India_Index_Upto_April23__1___1[Spices],
      MATCH(1,(All_India_Index_Upto_April23__1___1[Date]=$A44)*
              (All_India_Index_Upto_April23__1___1[Sector]="Rural+Urban"),0)),
    INDEX(All_India_Index_Upto_April23__1___1[Non-alcoholic beverages],
      MATCH(1,(All_India_Index_Upto_April23__1___1[Date]=$A44)*
              (All_India_Index_Upto_April23__1___1[Sector]="Rural+Urban"),0)),
    INDEX(All_India_Index_Upto_April23__1___1[Prepared meals, snacks, sweets etc.],
      MATCH(1,(All_India_Index_Upto_April23__1___1[Date]=$A44)*
              (All_India_Index_Upto_April23__1___1[Sector]="Rural+Urban"),0))
  ),
"")</f>
        <v>153.18333333333331</v>
      </c>
      <c r="P44" s="2" cm="1">
        <f t="array" ref="P44">IFERROR(
  AVERAGE(
    INDEX(All_India_Index_Upto_April23__1___1[Cereals and products],
      MATCH(1,(All_India_Index_Upto_April23__1___1[Date]=EDATE($A44,-12))*
              (All_India_Index_Upto_April23__1___1[Sector]="Rural+Urban"),0)),
    INDEX(All_India_Index_Upto_April23__1___1[Meat and fish],
      MATCH(1,(All_India_Index_Upto_April23__1___1[Date]=EDATE($A44,-12))*
              (All_India_Index_Upto_April23__1___1[Sector]="Rural+Urban"),0)),
    INDEX(All_India_Index_Upto_April23__1___1[Egg],
      MATCH(1,(All_India_Index_Upto_April23__1___1[Date]=EDATE($A44,-12))*
              (All_India_Index_Upto_April23__1___1[Sector]="Rural+Urban"),0)),
    INDEX(All_India_Index_Upto_April23__1___1[Milk and products],
      MATCH(1,(All_India_Index_Upto_April23__1___1[Date]=EDATE($A44,-12))*
              (All_India_Index_Upto_April23__1___1[Sector]="Rural+Urban"),0)),
    INDEX(All_India_Index_Upto_April23__1___1[Oils and fats],
      MATCH(1,(All_India_Index_Upto_April23__1___1[Date]=EDATE($A44,-12))*
              (All_India_Index_Upto_April23__1___1[Sector]="Rural+Urban"),0)),
    INDEX(All_India_Index_Upto_April23__1___1[Fruits],
      MATCH(1,(All_India_Index_Upto_April23__1___1[Date]=EDATE($A44,-12))*
              (All_India_Index_Upto_April23__1___1[Sector]="Rural+Urban"),0)),
    INDEX(All_India_Index_Upto_April23__1___1[Vegetables],
      MATCH(1,(All_India_Index_Upto_April23__1___1[Date]=EDATE($A44,-12))*
              (All_India_Index_Upto_April23__1___1[Sector]="Rural+Urban"),0)),
    INDEX(All_India_Index_Upto_April23__1___1[Pulses and products],
      MATCH(1,(All_India_Index_Upto_April23__1___1[Date]=EDATE($A44,-12))*
              (All_India_Index_Upto_April23__1___1[Sector]="Rural+Urban"),0)),
    INDEX(All_India_Index_Upto_April23__1___1[Sugar and Confectionery],
      MATCH(1,(All_India_Index_Upto_April23__1___1[Date]=EDATE($A44,-12))*
              (All_India_Index_Upto_April23__1___1[Sector]="Rural+Urban"),0)),
    INDEX(All_India_Index_Upto_April23__1___1[Spices],
      MATCH(1,(All_India_Index_Upto_April23__1___1[Date]=EDATE($A44,-12))*
              (All_India_Index_Upto_April23__1___1[Sector]="Rural+Urban"),0)),
    INDEX(All_India_Index_Upto_April23__1___1[Non-alcoholic beverages],
      MATCH(1,(All_India_Index_Upto_April23__1___1[Date]=EDATE($A44,-12))*
              (All_India_Index_Upto_April23__1___1[Sector]="Rural+Urban"),0)),
    INDEX(All_India_Index_Upto_April23__1___1[Prepared meals, snacks, sweets etc.],
      MATCH(1,(All_India_Index_Upto_April23__1___1[Date]=EDATE($A44,-12))*
              (All_India_Index_Upto_April23__1___1[Sector]="Rural+Urban"),0))
  ),
"")</f>
        <v>141.71666666666667</v>
      </c>
      <c r="Q44" s="8">
        <f t="shared" si="2"/>
        <v>8.0912619075620182E-2</v>
      </c>
      <c r="R44" t="str">
        <f t="shared" si="3"/>
        <v>COVID</v>
      </c>
      <c r="T44" s="2" cm="1">
        <f t="array" ref="T44">IFERROR(
  INDEX(
    All_India_Index_Upto_April23__1___1[Health],
    MATCH(
      1,
      (All_India_Index_Upto_April23__1___1[Date]=$A44) *
      (All_India_Index_Upto_April23__1___1[Sector]="Rural+Urban"),
      0
    )
  ),
"")</f>
        <v>155</v>
      </c>
      <c r="U44" s="2" cm="1">
        <f t="array" ref="U44">IFERROR(
  INDEX(
    All_India_Index_Upto_April23__1___1[Health],
    MATCH(
      1,
      (All_India_Index_Upto_April23__1___1[Date]=EDATE($A44,-12)) *
      (All_India_Index_Upto_April23__1___1[Sector]="Rural+Urban"),
      0
    )
  ),
"")</f>
        <v>148.5</v>
      </c>
      <c r="V44" s="8">
        <f t="shared" si="4"/>
        <v>4.3771043771043773E-2</v>
      </c>
      <c r="W44" t="str">
        <f t="shared" si="5"/>
        <v>COVID</v>
      </c>
      <c r="Y44" s="2" cm="1">
        <f t="array" ref="Y44">IFERROR(
  AVERAGE(
    INDEX(All_India_Index_Upto_April23__1___1[Pan, tobacco and intoxicants],
      MATCH(1,(All_India_Index_Upto_April23__1___1[Date]=$A44)*
              (All_India_Index_Upto_April23__1___1[Sector]="Rural+Urban"),0)),
    INDEX(All_India_Index_Upto_April23__1___1[Clothing],
      MATCH(1,(All_India_Index_Upto_April23__1___1[Date]=$A44)*
              (All_India_Index_Upto_April23__1___1[Sector]="Rural+Urban"),0)),
    INDEX(All_India_Index_Upto_April23__1___1[Footwear],
      MATCH(1,(All_India_Index_Upto_April23__1___1[Date]=$A44)*
              (All_India_Index_Upto_April23__1___1[Sector]="Rural+Urban"),0)),
    INDEX(All_India_Index_Upto_April23__1___1[Clothing and footwear],
      MATCH(1,(All_India_Index_Upto_April23__1___1[Date]=$A44)*
              (All_India_Index_Upto_April23__1___1[Sector]="Rural+Urban"),0)),
    INDEX(All_India_Index_Upto_April23__1___1[Housing],
      MATCH(1,(All_India_Index_Upto_April23__1___1[Date]=$A44)*
              (All_India_Index_Upto_April23__1___1[Sector]="Rural+Urban"),0)),
    INDEX(All_India_Index_Upto_April23__1___1[Fuel and light],
      MATCH(1,(All_India_Index_Upto_April23__1___1[Date]=$A44)*
              (All_India_Index_Upto_April23__1___1[Sector]="Rural+Urban"),0)),
    INDEX(All_India_Index_Upto_April23__1___1[Household goods and services],
      MATCH(1,(All_India_Index_Upto_April23__1___1[Date]=$A44)*
              (All_India_Index_Upto_April23__1___1[Sector]="Rural+Urban"),0)),
    INDEX(All_India_Index_Upto_April23__1___1[Health],
      MATCH(1,(All_India_Index_Upto_April23__1___1[Date]=$A44)*
              (All_India_Index_Upto_April23__1___1[Sector]="Rural+Urban"),0)),
    INDEX(All_India_Index_Upto_April23__1___1[Transport and communication],
      MATCH(1,(All_India_Index_Upto_April23__1___1[Date]=$A44)*
              (All_India_Index_Upto_April23__1___1[Sector]="Rural+Urban"),0)),
    INDEX(All_India_Index_Upto_April23__1___1[Recreation and amusement],
      MATCH(1,(All_India_Index_Upto_April23__1___1[Date]=$A44)*
              (All_India_Index_Upto_April23__1___1[Sector]="Rural+Urban"),0)),
    INDEX(All_India_Index_Upto_April23__1___1[Education],
      MATCH(1,(All_India_Index_Upto_April23__1___1[Date]=$A44)*
              (All_India_Index_Upto_April23__1___1[Sector]="Rural+Urban"),0)),
    INDEX(All_India_Index_Upto_April23__1___1[Personal care and effects],
      MATCH(1,(All_India_Index_Upto_April23__1___1[Date]=$A44)*
              (All_India_Index_Upto_April23__1___1[Sector]="Rural+Urban"),0)),
    INDEX(All_India_Index_Upto_April23__1___1[Miscellaneous],
      MATCH(1,(All_India_Index_Upto_April23__1___1[Date]=$A44)*
              (All_India_Index_Upto_April23__1___1[Sector]="Rural+Urban"),0))
  ),
"")</f>
        <v>151.95833333333331</v>
      </c>
      <c r="Z44" s="2" cm="1">
        <f t="array" ref="Z44">IFERROR(
  AVERAGE(
    INDEX(All_India_Index_Upto_April23__1___1[Pan, tobacco and intoxicants],
      MATCH(1,(All_India_Index_Upto_April23__1___1[Date]=EDATE($A44,-12))*
              (All_India_Index_Upto_April23__1___1[Sector]="Rural+Urban"),0)),
    INDEX(All_India_Index_Upto_April23__1___1[Clothing],
      MATCH(1,(All_India_Index_Upto_April23__1___1[Date]=EDATE($A44,-12))*
              (All_India_Index_Upto_April23__1___1[Sector]="Rural+Urban"),0)),
    INDEX(All_India_Index_Upto_April23__1___1[Footwear],
      MATCH(1,(All_India_Index_Upto_April23__1___1[Date]=EDATE($A44,-12))*
              (All_India_Index_Upto_April23__1___1[Sector]="Rural+Urban"),0)),
    INDEX(All_India_Index_Upto_April23__1___1[Clothing and footwear],
      MATCH(1,(All_India_Index_Upto_April23__1___1[Date]=EDATE($A44,-12))*
              (All_India_Index_Upto_April23__1___1[Sector]="Rural+Urban"),0)),
    INDEX(All_India_Index_Upto_April23__1___1[Housing],
      MATCH(1,(All_India_Index_Upto_April23__1___1[Date]=EDATE($A44,-12))*
              (All_India_Index_Upto_April23__1___1[Sector]="Rural+Urban"),0)),
    INDEX(All_India_Index_Upto_April23__1___1[Fuel and light],
      MATCH(1,(All_India_Index_Upto_April23__1___1[Date]=EDATE($A44,-12))*
              (All_India_Index_Upto_April23__1___1[Sector]="Rural+Urban"),0)),
    INDEX(All_India_Index_Upto_April23__1___1[Household goods and services],
      MATCH(1,(All_India_Index_Upto_April23__1___1[Date]=EDATE($A44,-12))*
              (All_India_Index_Upto_April23__1___1[Sector]="Rural+Urban"),0)),
    INDEX(All_India_Index_Upto_April23__1___1[Health],
      MATCH(1,(All_India_Index_Upto_April23__1___1[Date]=EDATE($A44,-12))*
              (All_India_Index_Upto_April23__1___1[Sector]="Rural+Urban"),0)),
    INDEX(All_India_Index_Upto_April23__1___1[Transport and communication],
      MATCH(1,(All_India_Index_Upto_April23__1___1[Date]=EDATE($A44,-12))*
              (All_India_Index_Upto_April23__1___1[Sector]="Rural+Urban"),0)),
    INDEX(All_India_Index_Upto_April23__1___1[Recreation and amusement],
      MATCH(1,(All_India_Index_Upto_April23__1___1[Date]=EDATE($A44,-12))*
              (All_India_Index_Upto_April23__1___1[Sector]="Rural+Urban"),0)),
    INDEX(All_India_Index_Upto_April23__1___1[Education],
      MATCH(1,(All_India_Index_Upto_April23__1___1[Date]=EDATE($A44,-12))*
              (All_India_Index_Upto_April23__1___1[Sector]="Rural+Urban"),0)),
    INDEX(All_India_Index_Upto_April23__1___1[Personal care and effects],
      MATCH(1,(All_India_Index_Upto_April23__1___1[Date]=EDATE($A44,-12))*
              (All_India_Index_Upto_April23__1___1[Sector]="Rural+Urban"),0)),
    INDEX(All_India_Index_Upto_April23__1___1[Miscellaneous],
      MATCH(1,(All_India_Index_Upto_April23__1___1[Date]=EDATE($A44,-12))*
              (All_India_Index_Upto_April23__1___1[Sector]="Rural+Urban"),0))
  ),
"")</f>
        <v>144.5916666666667</v>
      </c>
      <c r="AA44" s="8">
        <f t="shared" si="6"/>
        <v>5.0948072157224016E-2</v>
      </c>
      <c r="AB44" t="str">
        <f t="shared" si="7"/>
        <v>COVID</v>
      </c>
    </row>
    <row r="45" spans="1:28" x14ac:dyDescent="0.2">
      <c r="A45" s="22">
        <v>44075</v>
      </c>
      <c r="B45">
        <v>2020</v>
      </c>
      <c r="C45" t="s">
        <v>47</v>
      </c>
      <c r="D45" s="2" cm="1">
        <f t="array" ref="D45">IFERROR(
  INDEX(
    All_India_Index_Upto_April23__1___1[General index],
    MATCH(
      1,
      (All_India_Index_Upto_April23__1___1[Sector]="Rural+Urban") *
      (All_India_Index_Upto_April23__1___1[Date]=A45),
      0
    )
  ),
"")</f>
        <v>154.69999999999999</v>
      </c>
      <c r="E45" s="2" cm="1">
        <f t="array" ref="E45">IFERROR(
  INDEX(
    All_India_Index_Upto_April23__1___1[General index],
    MATCH(
      1,
      (All_India_Index_Upto_April23__1___1[Sector]="Rural+Urban") *
      (All_India_Index_Upto_April23__1___1[Date]=EDATE(A45,-12)),
      0
    )
  ),
"")</f>
        <v>145.80000000000001</v>
      </c>
      <c r="F45" s="8">
        <f t="shared" si="0"/>
        <v>6.104252400548682E-2</v>
      </c>
      <c r="G45" t="str">
        <f t="shared" si="1"/>
        <v>COVID</v>
      </c>
      <c r="O45" s="2" cm="1">
        <f t="array" ref="O45">IFERROR(
  AVERAGE(
    INDEX(All_India_Index_Upto_April23__1___1[Cereals and products],
      MATCH(1,(All_India_Index_Upto_April23__1___1[Date]=$A45)*
              (All_India_Index_Upto_April23__1___1[Sector]="Rural+Urban"),0)),
    INDEX(All_India_Index_Upto_April23__1___1[Meat and fish],
      MATCH(1,(All_India_Index_Upto_April23__1___1[Date]=$A45)*
              (All_India_Index_Upto_April23__1___1[Sector]="Rural+Urban"),0)),
    INDEX(All_India_Index_Upto_April23__1___1[Egg],
      MATCH(1,(All_India_Index_Upto_April23__1___1[Date]=$A45)*
              (All_India_Index_Upto_April23__1___1[Sector]="Rural+Urban"),0)),
    INDEX(All_India_Index_Upto_April23__1___1[Milk and products],
      MATCH(1,(All_India_Index_Upto_April23__1___1[Date]=$A45)*
              (All_India_Index_Upto_April23__1___1[Sector]="Rural+Urban"),0)),
    INDEX(All_India_Index_Upto_April23__1___1[Oils and fats],
      MATCH(1,(All_India_Index_Upto_April23__1___1[Date]=$A45)*
              (All_India_Index_Upto_April23__1___1[Sector]="Rural+Urban"),0)),
    INDEX(All_India_Index_Upto_April23__1___1[Fruits],
      MATCH(1,(All_India_Index_Upto_April23__1___1[Date]=$A45)*
              (All_India_Index_Upto_April23__1___1[Sector]="Rural+Urban"),0)),
    INDEX(All_India_Index_Upto_April23__1___1[Vegetables],
      MATCH(1,(All_India_Index_Upto_April23__1___1[Date]=$A45)*
              (All_India_Index_Upto_April23__1___1[Sector]="Rural+Urban"),0)),
    INDEX(All_India_Index_Upto_April23__1___1[Pulses and products],
      MATCH(1,(All_India_Index_Upto_April23__1___1[Date]=$A45)*
              (All_India_Index_Upto_April23__1___1[Sector]="Rural+Urban"),0)),
    INDEX(All_India_Index_Upto_April23__1___1[Sugar and Confectionery],
      MATCH(1,(All_India_Index_Upto_April23__1___1[Date]=$A45)*
              (All_India_Index_Upto_April23__1___1[Sector]="Rural+Urban"),0)),
    INDEX(All_India_Index_Upto_April23__1___1[Spices],
      MATCH(1,(All_India_Index_Upto_April23__1___1[Date]=$A45)*
              (All_India_Index_Upto_April23__1___1[Sector]="Rural+Urban"),0)),
    INDEX(All_India_Index_Upto_April23__1___1[Non-alcoholic beverages],
      MATCH(1,(All_India_Index_Upto_April23__1___1[Date]=$A45)*
              (All_India_Index_Upto_April23__1___1[Sector]="Rural+Urban"),0)),
    INDEX(All_India_Index_Upto_April23__1___1[Prepared meals, snacks, sweets etc.],
      MATCH(1,(All_India_Index_Upto_April23__1___1[Date]=$A45)*
              (All_India_Index_Upto_April23__1___1[Sector]="Rural+Urban"),0))
  ),
"")</f>
        <v>154.08333333333334</v>
      </c>
      <c r="P45" s="2" cm="1">
        <f t="array" ref="P45">IFERROR(
  AVERAGE(
    INDEX(All_India_Index_Upto_April23__1___1[Cereals and products],
      MATCH(1,(All_India_Index_Upto_April23__1___1[Date]=EDATE($A45,-12))*
              (All_India_Index_Upto_April23__1___1[Sector]="Rural+Urban"),0)),
    INDEX(All_India_Index_Upto_April23__1___1[Meat and fish],
      MATCH(1,(All_India_Index_Upto_April23__1___1[Date]=EDATE($A45,-12))*
              (All_India_Index_Upto_April23__1___1[Sector]="Rural+Urban"),0)),
    INDEX(All_India_Index_Upto_April23__1___1[Egg],
      MATCH(1,(All_India_Index_Upto_April23__1___1[Date]=EDATE($A45,-12))*
              (All_India_Index_Upto_April23__1___1[Sector]="Rural+Urban"),0)),
    INDEX(All_India_Index_Upto_April23__1___1[Milk and products],
      MATCH(1,(All_India_Index_Upto_April23__1___1[Date]=EDATE($A45,-12))*
              (All_India_Index_Upto_April23__1___1[Sector]="Rural+Urban"),0)),
    INDEX(All_India_Index_Upto_April23__1___1[Oils and fats],
      MATCH(1,(All_India_Index_Upto_April23__1___1[Date]=EDATE($A45,-12))*
              (All_India_Index_Upto_April23__1___1[Sector]="Rural+Urban"),0)),
    INDEX(All_India_Index_Upto_April23__1___1[Fruits],
      MATCH(1,(All_India_Index_Upto_April23__1___1[Date]=EDATE($A45,-12))*
              (All_India_Index_Upto_April23__1___1[Sector]="Rural+Urban"),0)),
    INDEX(All_India_Index_Upto_April23__1___1[Vegetables],
      MATCH(1,(All_India_Index_Upto_April23__1___1[Date]=EDATE($A45,-12))*
              (All_India_Index_Upto_April23__1___1[Sector]="Rural+Urban"),0)),
    INDEX(All_India_Index_Upto_April23__1___1[Pulses and products],
      MATCH(1,(All_India_Index_Upto_April23__1___1[Date]=EDATE($A45,-12))*
              (All_India_Index_Upto_April23__1___1[Sector]="Rural+Urban"),0)),
    INDEX(All_India_Index_Upto_April23__1___1[Sugar and Confectionery],
      MATCH(1,(All_India_Index_Upto_April23__1___1[Date]=EDATE($A45,-12))*
              (All_India_Index_Upto_April23__1___1[Sector]="Rural+Urban"),0)),
    INDEX(All_India_Index_Upto_April23__1___1[Spices],
      MATCH(1,(All_India_Index_Upto_April23__1___1[Date]=EDATE($A45,-12))*
              (All_India_Index_Upto_April23__1___1[Sector]="Rural+Urban"),0)),
    INDEX(All_India_Index_Upto_April23__1___1[Non-alcoholic beverages],
      MATCH(1,(All_India_Index_Upto_April23__1___1[Date]=EDATE($A45,-12))*
              (All_India_Index_Upto_April23__1___1[Sector]="Rural+Urban"),0)),
    INDEX(All_India_Index_Upto_April23__1___1[Prepared meals, snacks, sweets etc.],
      MATCH(1,(All_India_Index_Upto_April23__1___1[Date]=EDATE($A45,-12))*
              (All_India_Index_Upto_April23__1___1[Sector]="Rural+Urban"),0))
  ),
"")</f>
        <v>142.55833333333331</v>
      </c>
      <c r="Q45" s="8">
        <f t="shared" si="2"/>
        <v>8.0844098906880477E-2</v>
      </c>
      <c r="R45" t="str">
        <f t="shared" si="3"/>
        <v>COVID</v>
      </c>
      <c r="T45" s="2" cm="1">
        <f t="array" ref="T45">IFERROR(
  INDEX(
    All_India_Index_Upto_April23__1___1[Health],
    MATCH(
      1,
      (All_India_Index_Upto_April23__1___1[Date]=$A45) *
      (All_India_Index_Upto_April23__1___1[Sector]="Rural+Urban"),
      0
    )
  ),
"")</f>
        <v>155.6</v>
      </c>
      <c r="U45" s="2" cm="1">
        <f t="array" ref="U45">IFERROR(
  INDEX(
    All_India_Index_Upto_April23__1___1[Health],
    MATCH(
      1,
      (All_India_Index_Upto_April23__1___1[Date]=EDATE($A45,-12)) *
      (All_India_Index_Upto_April23__1___1[Sector]="Rural+Urban"),
      0
    )
  ),
"")</f>
        <v>149</v>
      </c>
      <c r="V45" s="8">
        <f t="shared" si="4"/>
        <v>4.4295302013422778E-2</v>
      </c>
      <c r="W45" t="str">
        <f t="shared" si="5"/>
        <v>COVID</v>
      </c>
      <c r="Y45" s="2" cm="1">
        <f t="array" ref="Y45">IFERROR(
  AVERAGE(
    INDEX(All_India_Index_Upto_April23__1___1[Pan, tobacco and intoxicants],
      MATCH(1,(All_India_Index_Upto_April23__1___1[Date]=$A45)*
              (All_India_Index_Upto_April23__1___1[Sector]="Rural+Urban"),0)),
    INDEX(All_India_Index_Upto_April23__1___1[Clothing],
      MATCH(1,(All_India_Index_Upto_April23__1___1[Date]=$A45)*
              (All_India_Index_Upto_April23__1___1[Sector]="Rural+Urban"),0)),
    INDEX(All_India_Index_Upto_April23__1___1[Footwear],
      MATCH(1,(All_India_Index_Upto_April23__1___1[Date]=$A45)*
              (All_India_Index_Upto_April23__1___1[Sector]="Rural+Urban"),0)),
    INDEX(All_India_Index_Upto_April23__1___1[Clothing and footwear],
      MATCH(1,(All_India_Index_Upto_April23__1___1[Date]=$A45)*
              (All_India_Index_Upto_April23__1___1[Sector]="Rural+Urban"),0)),
    INDEX(All_India_Index_Upto_April23__1___1[Housing],
      MATCH(1,(All_India_Index_Upto_April23__1___1[Date]=$A45)*
              (All_India_Index_Upto_April23__1___1[Sector]="Rural+Urban"),0)),
    INDEX(All_India_Index_Upto_April23__1___1[Fuel and light],
      MATCH(1,(All_India_Index_Upto_April23__1___1[Date]=$A45)*
              (All_India_Index_Upto_April23__1___1[Sector]="Rural+Urban"),0)),
    INDEX(All_India_Index_Upto_April23__1___1[Household goods and services],
      MATCH(1,(All_India_Index_Upto_April23__1___1[Date]=$A45)*
              (All_India_Index_Upto_April23__1___1[Sector]="Rural+Urban"),0)),
    INDEX(All_India_Index_Upto_April23__1___1[Health],
      MATCH(1,(All_India_Index_Upto_April23__1___1[Date]=$A45)*
              (All_India_Index_Upto_April23__1___1[Sector]="Rural+Urban"),0)),
    INDEX(All_India_Index_Upto_April23__1___1[Transport and communication],
      MATCH(1,(All_India_Index_Upto_April23__1___1[Date]=$A45)*
              (All_India_Index_Upto_April23__1___1[Sector]="Rural+Urban"),0)),
    INDEX(All_India_Index_Upto_April23__1___1[Recreation and amusement],
      MATCH(1,(All_India_Index_Upto_April23__1___1[Date]=$A45)*
              (All_India_Index_Upto_April23__1___1[Sector]="Rural+Urban"),0)),
    INDEX(All_India_Index_Upto_April23__1___1[Education],
      MATCH(1,(All_India_Index_Upto_April23__1___1[Date]=$A45)*
              (All_India_Index_Upto_April23__1___1[Sector]="Rural+Urban"),0)),
    INDEX(All_India_Index_Upto_April23__1___1[Personal care and effects],
      MATCH(1,(All_India_Index_Upto_April23__1___1[Date]=$A45)*
              (All_India_Index_Upto_April23__1___1[Sector]="Rural+Urban"),0)),
    INDEX(All_India_Index_Upto_April23__1___1[Miscellaneous],
      MATCH(1,(All_India_Index_Upto_April23__1___1[Date]=$A45)*
              (All_India_Index_Upto_April23__1___1[Sector]="Rural+Urban"),0))
  ),
"")</f>
        <v>152.78333333333333</v>
      </c>
      <c r="Z45" s="2" cm="1">
        <f t="array" ref="Z45">IFERROR(
  AVERAGE(
    INDEX(All_India_Index_Upto_April23__1___1[Pan, tobacco and intoxicants],
      MATCH(1,(All_India_Index_Upto_April23__1___1[Date]=EDATE($A45,-12))*
              (All_India_Index_Upto_April23__1___1[Sector]="Rural+Urban"),0)),
    INDEX(All_India_Index_Upto_April23__1___1[Clothing],
      MATCH(1,(All_India_Index_Upto_April23__1___1[Date]=EDATE($A45,-12))*
              (All_India_Index_Upto_April23__1___1[Sector]="Rural+Urban"),0)),
    INDEX(All_India_Index_Upto_April23__1___1[Footwear],
      MATCH(1,(All_India_Index_Upto_April23__1___1[Date]=EDATE($A45,-12))*
              (All_India_Index_Upto_April23__1___1[Sector]="Rural+Urban"),0)),
    INDEX(All_India_Index_Upto_April23__1___1[Clothing and footwear],
      MATCH(1,(All_India_Index_Upto_April23__1___1[Date]=EDATE($A45,-12))*
              (All_India_Index_Upto_April23__1___1[Sector]="Rural+Urban"),0)),
    INDEX(All_India_Index_Upto_April23__1___1[Housing],
      MATCH(1,(All_India_Index_Upto_April23__1___1[Date]=EDATE($A45,-12))*
              (All_India_Index_Upto_April23__1___1[Sector]="Rural+Urban"),0)),
    INDEX(All_India_Index_Upto_April23__1___1[Fuel and light],
      MATCH(1,(All_India_Index_Upto_April23__1___1[Date]=EDATE($A45,-12))*
              (All_India_Index_Upto_April23__1___1[Sector]="Rural+Urban"),0)),
    INDEX(All_India_Index_Upto_April23__1___1[Household goods and services],
      MATCH(1,(All_India_Index_Upto_April23__1___1[Date]=EDATE($A45,-12))*
              (All_India_Index_Upto_April23__1___1[Sector]="Rural+Urban"),0)),
    INDEX(All_India_Index_Upto_April23__1___1[Health],
      MATCH(1,(All_India_Index_Upto_April23__1___1[Date]=EDATE($A45,-12))*
              (All_India_Index_Upto_April23__1___1[Sector]="Rural+Urban"),0)),
    INDEX(All_India_Index_Upto_April23__1___1[Transport and communication],
      MATCH(1,(All_India_Index_Upto_April23__1___1[Date]=EDATE($A45,-12))*
              (All_India_Index_Upto_April23__1___1[Sector]="Rural+Urban"),0)),
    INDEX(All_India_Index_Upto_April23__1___1[Recreation and amusement],
      MATCH(1,(All_India_Index_Upto_April23__1___1[Date]=EDATE($A45,-12))*
              (All_India_Index_Upto_April23__1___1[Sector]="Rural+Urban"),0)),
    INDEX(All_India_Index_Upto_April23__1___1[Education],
      MATCH(1,(All_India_Index_Upto_April23__1___1[Date]=EDATE($A45,-12))*
              (All_India_Index_Upto_April23__1___1[Sector]="Rural+Urban"),0)),
    INDEX(All_India_Index_Upto_April23__1___1[Personal care and effects],
      MATCH(1,(All_India_Index_Upto_April23__1___1[Date]=EDATE($A45,-12))*
              (All_India_Index_Upto_April23__1___1[Sector]="Rural+Urban"),0)),
    INDEX(All_India_Index_Upto_April23__1___1[Miscellaneous],
      MATCH(1,(All_India_Index_Upto_April23__1___1[Date]=EDATE($A45,-12))*
              (All_India_Index_Upto_April23__1___1[Sector]="Rural+Urban"),0))
  ),
"")</f>
        <v>145</v>
      </c>
      <c r="AA45" s="8">
        <f t="shared" si="6"/>
        <v>5.3678160919540217E-2</v>
      </c>
      <c r="AB45" t="str">
        <f t="shared" si="7"/>
        <v>COVID</v>
      </c>
    </row>
    <row r="46" spans="1:28" x14ac:dyDescent="0.2">
      <c r="A46" s="22">
        <v>44105</v>
      </c>
      <c r="B46">
        <v>2020</v>
      </c>
      <c r="C46" t="s">
        <v>49</v>
      </c>
      <c r="D46" s="2" cm="1">
        <f t="array" ref="D46">IFERROR(
  INDEX(
    All_India_Index_Upto_April23__1___1[General index],
    MATCH(
      1,
      (All_India_Index_Upto_April23__1___1[Sector]="Rural+Urban") *
      (All_India_Index_Upto_April23__1___1[Date]=A46),
      0
    )
  ),
"")</f>
        <v>156.4</v>
      </c>
      <c r="E46" s="2" cm="1">
        <f t="array" ref="E46">IFERROR(
  INDEX(
    All_India_Index_Upto_April23__1___1[General index],
    MATCH(
      1,
      (All_India_Index_Upto_April23__1___1[Sector]="Rural+Urban") *
      (All_India_Index_Upto_April23__1___1[Date]=EDATE(A46,-12)),
      0
    )
  ),
"")</f>
        <v>147.19999999999999</v>
      </c>
      <c r="F46" s="8">
        <f t="shared" si="0"/>
        <v>6.2500000000000222E-2</v>
      </c>
      <c r="G46" t="str">
        <f t="shared" si="1"/>
        <v>COVID</v>
      </c>
      <c r="O46" s="2" cm="1">
        <f t="array" ref="O46">IFERROR(
  AVERAGE(
    INDEX(All_India_Index_Upto_April23__1___1[Cereals and products],
      MATCH(1,(All_India_Index_Upto_April23__1___1[Date]=$A46)*
              (All_India_Index_Upto_April23__1___1[Sector]="Rural+Urban"),0)),
    INDEX(All_India_Index_Upto_April23__1___1[Meat and fish],
      MATCH(1,(All_India_Index_Upto_April23__1___1[Date]=$A46)*
              (All_India_Index_Upto_April23__1___1[Sector]="Rural+Urban"),0)),
    INDEX(All_India_Index_Upto_April23__1___1[Egg],
      MATCH(1,(All_India_Index_Upto_April23__1___1[Date]=$A46)*
              (All_India_Index_Upto_April23__1___1[Sector]="Rural+Urban"),0)),
    INDEX(All_India_Index_Upto_April23__1___1[Milk and products],
      MATCH(1,(All_India_Index_Upto_April23__1___1[Date]=$A46)*
              (All_India_Index_Upto_April23__1___1[Sector]="Rural+Urban"),0)),
    INDEX(All_India_Index_Upto_April23__1___1[Oils and fats],
      MATCH(1,(All_India_Index_Upto_April23__1___1[Date]=$A46)*
              (All_India_Index_Upto_April23__1___1[Sector]="Rural+Urban"),0)),
    INDEX(All_India_Index_Upto_April23__1___1[Fruits],
      MATCH(1,(All_India_Index_Upto_April23__1___1[Date]=$A46)*
              (All_India_Index_Upto_April23__1___1[Sector]="Rural+Urban"),0)),
    INDEX(All_India_Index_Upto_April23__1___1[Vegetables],
      MATCH(1,(All_India_Index_Upto_April23__1___1[Date]=$A46)*
              (All_India_Index_Upto_April23__1___1[Sector]="Rural+Urban"),0)),
    INDEX(All_India_Index_Upto_April23__1___1[Pulses and products],
      MATCH(1,(All_India_Index_Upto_April23__1___1[Date]=$A46)*
              (All_India_Index_Upto_April23__1___1[Sector]="Rural+Urban"),0)),
    INDEX(All_India_Index_Upto_April23__1___1[Sugar and Confectionery],
      MATCH(1,(All_India_Index_Upto_April23__1___1[Date]=$A46)*
              (All_India_Index_Upto_April23__1___1[Sector]="Rural+Urban"),0)),
    INDEX(All_India_Index_Upto_April23__1___1[Spices],
      MATCH(1,(All_India_Index_Upto_April23__1___1[Date]=$A46)*
              (All_India_Index_Upto_April23__1___1[Sector]="Rural+Urban"),0)),
    INDEX(All_India_Index_Upto_April23__1___1[Non-alcoholic beverages],
      MATCH(1,(All_India_Index_Upto_April23__1___1[Date]=$A46)*
              (All_India_Index_Upto_April23__1___1[Sector]="Rural+Urban"),0)),
    INDEX(All_India_Index_Upto_April23__1___1[Prepared meals, snacks, sweets etc.],
      MATCH(1,(All_India_Index_Upto_April23__1___1[Date]=$A46)*
              (All_India_Index_Upto_April23__1___1[Sector]="Rural+Urban"),0))
  ),
"")</f>
        <v>157.26666666666668</v>
      </c>
      <c r="P46" s="2" cm="1">
        <f t="array" ref="P46">IFERROR(
  AVERAGE(
    INDEX(All_India_Index_Upto_April23__1___1[Cereals and products],
      MATCH(1,(All_India_Index_Upto_April23__1___1[Date]=EDATE($A46,-12))*
              (All_India_Index_Upto_April23__1___1[Sector]="Rural+Urban"),0)),
    INDEX(All_India_Index_Upto_April23__1___1[Meat and fish],
      MATCH(1,(All_India_Index_Upto_April23__1___1[Date]=EDATE($A46,-12))*
              (All_India_Index_Upto_April23__1___1[Sector]="Rural+Urban"),0)),
    INDEX(All_India_Index_Upto_April23__1___1[Egg],
      MATCH(1,(All_India_Index_Upto_April23__1___1[Date]=EDATE($A46,-12))*
              (All_India_Index_Upto_April23__1___1[Sector]="Rural+Urban"),0)),
    INDEX(All_India_Index_Upto_April23__1___1[Milk and products],
      MATCH(1,(All_India_Index_Upto_April23__1___1[Date]=EDATE($A46,-12))*
              (All_India_Index_Upto_April23__1___1[Sector]="Rural+Urban"),0)),
    INDEX(All_India_Index_Upto_April23__1___1[Oils and fats],
      MATCH(1,(All_India_Index_Upto_April23__1___1[Date]=EDATE($A46,-12))*
              (All_India_Index_Upto_April23__1___1[Sector]="Rural+Urban"),0)),
    INDEX(All_India_Index_Upto_April23__1___1[Fruits],
      MATCH(1,(All_India_Index_Upto_April23__1___1[Date]=EDATE($A46,-12))*
              (All_India_Index_Upto_April23__1___1[Sector]="Rural+Urban"),0)),
    INDEX(All_India_Index_Upto_April23__1___1[Vegetables],
      MATCH(1,(All_India_Index_Upto_April23__1___1[Date]=EDATE($A46,-12))*
              (All_India_Index_Upto_April23__1___1[Sector]="Rural+Urban"),0)),
    INDEX(All_India_Index_Upto_April23__1___1[Pulses and products],
      MATCH(1,(All_India_Index_Upto_April23__1___1[Date]=EDATE($A46,-12))*
              (All_India_Index_Upto_April23__1___1[Sector]="Rural+Urban"),0)),
    INDEX(All_India_Index_Upto_April23__1___1[Sugar and Confectionery],
      MATCH(1,(All_India_Index_Upto_April23__1___1[Date]=EDATE($A46,-12))*
              (All_India_Index_Upto_April23__1___1[Sector]="Rural+Urban"),0)),
    INDEX(All_India_Index_Upto_April23__1___1[Spices],
      MATCH(1,(All_India_Index_Upto_April23__1___1[Date]=EDATE($A46,-12))*
              (All_India_Index_Upto_April23__1___1[Sector]="Rural+Urban"),0)),
    INDEX(All_India_Index_Upto_April23__1___1[Non-alcoholic beverages],
      MATCH(1,(All_India_Index_Upto_April23__1___1[Date]=EDATE($A46,-12))*
              (All_India_Index_Upto_April23__1___1[Sector]="Rural+Urban"),0)),
    INDEX(All_India_Index_Upto_April23__1___1[Prepared meals, snacks, sweets etc.],
      MATCH(1,(All_India_Index_Upto_April23__1___1[Date]=EDATE($A46,-12))*
              (All_India_Index_Upto_April23__1___1[Sector]="Rural+Urban"),0))
  ),
"")</f>
        <v>144.66666666666666</v>
      </c>
      <c r="Q46" s="8">
        <f t="shared" si="2"/>
        <v>8.7096774193548554E-2</v>
      </c>
      <c r="R46" t="str">
        <f t="shared" si="3"/>
        <v>COVID</v>
      </c>
      <c r="T46" s="2" cm="1">
        <f t="array" ref="T46">IFERROR(
  INDEX(
    All_India_Index_Upto_April23__1___1[Health],
    MATCH(
      1,
      (All_India_Index_Upto_April23__1___1[Date]=$A46) *
      (All_India_Index_Upto_April23__1___1[Sector]="Rural+Urban"),
      0
    )
  ),
"")</f>
        <v>156.30000000000001</v>
      </c>
      <c r="U46" s="2" cm="1">
        <f t="array" ref="U46">IFERROR(
  INDEX(
    All_India_Index_Upto_April23__1___1[Health],
    MATCH(
      1,
      (All_India_Index_Upto_April23__1___1[Date]=EDATE($A46,-12)) *
      (All_India_Index_Upto_April23__1___1[Sector]="Rural+Urban"),
      0
    )
  ),
"")</f>
        <v>149.4</v>
      </c>
      <c r="V46" s="8">
        <f t="shared" si="4"/>
        <v>4.6184738955823326E-2</v>
      </c>
      <c r="W46" t="str">
        <f t="shared" si="5"/>
        <v>COVID</v>
      </c>
      <c r="Y46" s="2" cm="1">
        <f t="array" ref="Y46">IFERROR(
  AVERAGE(
    INDEX(All_India_Index_Upto_April23__1___1[Pan, tobacco and intoxicants],
      MATCH(1,(All_India_Index_Upto_April23__1___1[Date]=$A46)*
              (All_India_Index_Upto_April23__1___1[Sector]="Rural+Urban"),0)),
    INDEX(All_India_Index_Upto_April23__1___1[Clothing],
      MATCH(1,(All_India_Index_Upto_April23__1___1[Date]=$A46)*
              (All_India_Index_Upto_April23__1___1[Sector]="Rural+Urban"),0)),
    INDEX(All_India_Index_Upto_April23__1___1[Footwear],
      MATCH(1,(All_India_Index_Upto_April23__1___1[Date]=$A46)*
              (All_India_Index_Upto_April23__1___1[Sector]="Rural+Urban"),0)),
    INDEX(All_India_Index_Upto_April23__1___1[Clothing and footwear],
      MATCH(1,(All_India_Index_Upto_April23__1___1[Date]=$A46)*
              (All_India_Index_Upto_April23__1___1[Sector]="Rural+Urban"),0)),
    INDEX(All_India_Index_Upto_April23__1___1[Housing],
      MATCH(1,(All_India_Index_Upto_April23__1___1[Date]=$A46)*
              (All_India_Index_Upto_April23__1___1[Sector]="Rural+Urban"),0)),
    INDEX(All_India_Index_Upto_April23__1___1[Fuel and light],
      MATCH(1,(All_India_Index_Upto_April23__1___1[Date]=$A46)*
              (All_India_Index_Upto_April23__1___1[Sector]="Rural+Urban"),0)),
    INDEX(All_India_Index_Upto_April23__1___1[Household goods and services],
      MATCH(1,(All_India_Index_Upto_April23__1___1[Date]=$A46)*
              (All_India_Index_Upto_April23__1___1[Sector]="Rural+Urban"),0)),
    INDEX(All_India_Index_Upto_April23__1___1[Health],
      MATCH(1,(All_India_Index_Upto_April23__1___1[Date]=$A46)*
              (All_India_Index_Upto_April23__1___1[Sector]="Rural+Urban"),0)),
    INDEX(All_India_Index_Upto_April23__1___1[Transport and communication],
      MATCH(1,(All_India_Index_Upto_April23__1___1[Date]=$A46)*
              (All_India_Index_Upto_April23__1___1[Sector]="Rural+Urban"),0)),
    INDEX(All_India_Index_Upto_April23__1___1[Recreation and amusement],
      MATCH(1,(All_India_Index_Upto_April23__1___1[Date]=$A46)*
              (All_India_Index_Upto_April23__1___1[Sector]="Rural+Urban"),0)),
    INDEX(All_India_Index_Upto_April23__1___1[Education],
      MATCH(1,(All_India_Index_Upto_April23__1___1[Date]=$A46)*
              (All_India_Index_Upto_April23__1___1[Sector]="Rural+Urban"),0)),
    INDEX(All_India_Index_Upto_April23__1___1[Personal care and effects],
      MATCH(1,(All_India_Index_Upto_April23__1___1[Date]=$A46)*
              (All_India_Index_Upto_April23__1___1[Sector]="Rural+Urban"),0)),
    INDEX(All_India_Index_Upto_April23__1___1[Miscellaneous],
      MATCH(1,(All_India_Index_Upto_April23__1___1[Date]=$A46)*
              (All_India_Index_Upto_April23__1___1[Sector]="Rural+Urban"),0))
  ),
"")</f>
        <v>153</v>
      </c>
      <c r="Z46" s="2" cm="1">
        <f t="array" ref="Z46">IFERROR(
  AVERAGE(
    INDEX(All_India_Index_Upto_April23__1___1[Pan, tobacco and intoxicants],
      MATCH(1,(All_India_Index_Upto_April23__1___1[Date]=EDATE($A46,-12))*
              (All_India_Index_Upto_April23__1___1[Sector]="Rural+Urban"),0)),
    INDEX(All_India_Index_Upto_April23__1___1[Clothing],
      MATCH(1,(All_India_Index_Upto_April23__1___1[Date]=EDATE($A46,-12))*
              (All_India_Index_Upto_April23__1___1[Sector]="Rural+Urban"),0)),
    INDEX(All_India_Index_Upto_April23__1___1[Footwear],
      MATCH(1,(All_India_Index_Upto_April23__1___1[Date]=EDATE($A46,-12))*
              (All_India_Index_Upto_April23__1___1[Sector]="Rural+Urban"),0)),
    INDEX(All_India_Index_Upto_April23__1___1[Clothing and footwear],
      MATCH(1,(All_India_Index_Upto_April23__1___1[Date]=EDATE($A46,-12))*
              (All_India_Index_Upto_April23__1___1[Sector]="Rural+Urban"),0)),
    INDEX(All_India_Index_Upto_April23__1___1[Housing],
      MATCH(1,(All_India_Index_Upto_April23__1___1[Date]=EDATE($A46,-12))*
              (All_India_Index_Upto_April23__1___1[Sector]="Rural+Urban"),0)),
    INDEX(All_India_Index_Upto_April23__1___1[Fuel and light],
      MATCH(1,(All_India_Index_Upto_April23__1___1[Date]=EDATE($A46,-12))*
              (All_India_Index_Upto_April23__1___1[Sector]="Rural+Urban"),0)),
    INDEX(All_India_Index_Upto_April23__1___1[Household goods and services],
      MATCH(1,(All_India_Index_Upto_April23__1___1[Date]=EDATE($A46,-12))*
              (All_India_Index_Upto_April23__1___1[Sector]="Rural+Urban"),0)),
    INDEX(All_India_Index_Upto_April23__1___1[Health],
      MATCH(1,(All_India_Index_Upto_April23__1___1[Date]=EDATE($A46,-12))*
              (All_India_Index_Upto_April23__1___1[Sector]="Rural+Urban"),0)),
    INDEX(All_India_Index_Upto_April23__1___1[Transport and communication],
      MATCH(1,(All_India_Index_Upto_April23__1___1[Date]=EDATE($A46,-12))*
              (All_India_Index_Upto_April23__1___1[Sector]="Rural+Urban"),0)),
    INDEX(All_India_Index_Upto_April23__1___1[Recreation and amusement],
      MATCH(1,(All_India_Index_Upto_April23__1___1[Date]=EDATE($A46,-12))*
              (All_India_Index_Upto_April23__1___1[Sector]="Rural+Urban"),0)),
    INDEX(All_India_Index_Upto_April23__1___1[Education],
      MATCH(1,(All_India_Index_Upto_April23__1___1[Date]=EDATE($A46,-12))*
              (All_India_Index_Upto_April23__1___1[Sector]="Rural+Urban"),0)),
    INDEX(All_India_Index_Upto_April23__1___1[Personal care and effects],
      MATCH(1,(All_India_Index_Upto_April23__1___1[Date]=EDATE($A46,-12))*
              (All_India_Index_Upto_April23__1___1[Sector]="Rural+Urban"),0)),
    INDEX(All_India_Index_Upto_April23__1___1[Miscellaneous],
      MATCH(1,(All_India_Index_Upto_April23__1___1[Date]=EDATE($A46,-12))*
              (All_India_Index_Upto_April23__1___1[Sector]="Rural+Urban"),0))
  ),
"")</f>
        <v>145.40833333333333</v>
      </c>
      <c r="AA46" s="8">
        <f t="shared" si="6"/>
        <v>5.2209295661642514E-2</v>
      </c>
      <c r="AB46" t="str">
        <f t="shared" si="7"/>
        <v>COVID</v>
      </c>
    </row>
    <row r="47" spans="1:28" x14ac:dyDescent="0.2">
      <c r="A47" s="22">
        <v>44136</v>
      </c>
      <c r="B47">
        <v>2020</v>
      </c>
      <c r="C47" t="s">
        <v>51</v>
      </c>
      <c r="D47" s="2" cm="1">
        <f t="array" ref="D47">IFERROR(
  INDEX(
    All_India_Index_Upto_April23__1___1[General index],
    MATCH(
      1,
      (All_India_Index_Upto_April23__1___1[Sector]="Rural+Urban") *
      (All_India_Index_Upto_April23__1___1[Date]=A47),
      0
    )
  ),
"")</f>
        <v>158.4</v>
      </c>
      <c r="E47" s="2" cm="1">
        <f t="array" ref="E47">IFERROR(
  INDEX(
    All_India_Index_Upto_April23__1___1[General index],
    MATCH(
      1,
      (All_India_Index_Upto_April23__1___1[Sector]="Rural+Urban") *
      (All_India_Index_Upto_April23__1___1[Date]=EDATE(A47,-12)),
      0
    )
  ),
"")</f>
        <v>148.6</v>
      </c>
      <c r="F47" s="8">
        <f t="shared" si="0"/>
        <v>6.5948855989232946E-2</v>
      </c>
      <c r="G47" t="str">
        <f t="shared" si="1"/>
        <v>COVID</v>
      </c>
      <c r="O47" s="2" cm="1">
        <f t="array" ref="O47">IFERROR(
  AVERAGE(
    INDEX(All_India_Index_Upto_April23__1___1[Cereals and products],
      MATCH(1,(All_India_Index_Upto_April23__1___1[Date]=$A47)*
              (All_India_Index_Upto_April23__1___1[Sector]="Rural+Urban"),0)),
    INDEX(All_India_Index_Upto_April23__1___1[Meat and fish],
      MATCH(1,(All_India_Index_Upto_April23__1___1[Date]=$A47)*
              (All_India_Index_Upto_April23__1___1[Sector]="Rural+Urban"),0)),
    INDEX(All_India_Index_Upto_April23__1___1[Egg],
      MATCH(1,(All_India_Index_Upto_April23__1___1[Date]=$A47)*
              (All_India_Index_Upto_April23__1___1[Sector]="Rural+Urban"),0)),
    INDEX(All_India_Index_Upto_April23__1___1[Milk and products],
      MATCH(1,(All_India_Index_Upto_April23__1___1[Date]=$A47)*
              (All_India_Index_Upto_April23__1___1[Sector]="Rural+Urban"),0)),
    INDEX(All_India_Index_Upto_April23__1___1[Oils and fats],
      MATCH(1,(All_India_Index_Upto_April23__1___1[Date]=$A47)*
              (All_India_Index_Upto_April23__1___1[Sector]="Rural+Urban"),0)),
    INDEX(All_India_Index_Upto_April23__1___1[Fruits],
      MATCH(1,(All_India_Index_Upto_April23__1___1[Date]=$A47)*
              (All_India_Index_Upto_April23__1___1[Sector]="Rural+Urban"),0)),
    INDEX(All_India_Index_Upto_April23__1___1[Vegetables],
      MATCH(1,(All_India_Index_Upto_April23__1___1[Date]=$A47)*
              (All_India_Index_Upto_April23__1___1[Sector]="Rural+Urban"),0)),
    INDEX(All_India_Index_Upto_April23__1___1[Pulses and products],
      MATCH(1,(All_India_Index_Upto_April23__1___1[Date]=$A47)*
              (All_India_Index_Upto_April23__1___1[Sector]="Rural+Urban"),0)),
    INDEX(All_India_Index_Upto_April23__1___1[Sugar and Confectionery],
      MATCH(1,(All_India_Index_Upto_April23__1___1[Date]=$A47)*
              (All_India_Index_Upto_April23__1___1[Sector]="Rural+Urban"),0)),
    INDEX(All_India_Index_Upto_April23__1___1[Spices],
      MATCH(1,(All_India_Index_Upto_April23__1___1[Date]=$A47)*
              (All_India_Index_Upto_April23__1___1[Sector]="Rural+Urban"),0)),
    INDEX(All_India_Index_Upto_April23__1___1[Non-alcoholic beverages],
      MATCH(1,(All_India_Index_Upto_April23__1___1[Date]=$A47)*
              (All_India_Index_Upto_April23__1___1[Sector]="Rural+Urban"),0)),
    INDEX(All_India_Index_Upto_April23__1___1[Prepared meals, snacks, sweets etc.],
      MATCH(1,(All_India_Index_Upto_April23__1___1[Date]=$A47)*
              (All_India_Index_Upto_April23__1___1[Sector]="Rural+Urban"),0))
  ),
"")</f>
        <v>160.90833333333333</v>
      </c>
      <c r="P47" s="2" cm="1">
        <f t="array" ref="P47">IFERROR(
  AVERAGE(
    INDEX(All_India_Index_Upto_April23__1___1[Cereals and products],
      MATCH(1,(All_India_Index_Upto_April23__1___1[Date]=EDATE($A47,-12))*
              (All_India_Index_Upto_April23__1___1[Sector]="Rural+Urban"),0)),
    INDEX(All_India_Index_Upto_April23__1___1[Meat and fish],
      MATCH(1,(All_India_Index_Upto_April23__1___1[Date]=EDATE($A47,-12))*
              (All_India_Index_Upto_April23__1___1[Sector]="Rural+Urban"),0)),
    INDEX(All_India_Index_Upto_April23__1___1[Egg],
      MATCH(1,(All_India_Index_Upto_April23__1___1[Date]=EDATE($A47,-12))*
              (All_India_Index_Upto_April23__1___1[Sector]="Rural+Urban"),0)),
    INDEX(All_India_Index_Upto_April23__1___1[Milk and products],
      MATCH(1,(All_India_Index_Upto_April23__1___1[Date]=EDATE($A47,-12))*
              (All_India_Index_Upto_April23__1___1[Sector]="Rural+Urban"),0)),
    INDEX(All_India_Index_Upto_April23__1___1[Oils and fats],
      MATCH(1,(All_India_Index_Upto_April23__1___1[Date]=EDATE($A47,-12))*
              (All_India_Index_Upto_April23__1___1[Sector]="Rural+Urban"),0)),
    INDEX(All_India_Index_Upto_April23__1___1[Fruits],
      MATCH(1,(All_India_Index_Upto_April23__1___1[Date]=EDATE($A47,-12))*
              (All_India_Index_Upto_April23__1___1[Sector]="Rural+Urban"),0)),
    INDEX(All_India_Index_Upto_April23__1___1[Vegetables],
      MATCH(1,(All_India_Index_Upto_April23__1___1[Date]=EDATE($A47,-12))*
              (All_India_Index_Upto_April23__1___1[Sector]="Rural+Urban"),0)),
    INDEX(All_India_Index_Upto_April23__1___1[Pulses and products],
      MATCH(1,(All_India_Index_Upto_April23__1___1[Date]=EDATE($A47,-12))*
              (All_India_Index_Upto_April23__1___1[Sector]="Rural+Urban"),0)),
    INDEX(All_India_Index_Upto_April23__1___1[Sugar and Confectionery],
      MATCH(1,(All_India_Index_Upto_April23__1___1[Date]=EDATE($A47,-12))*
              (All_India_Index_Upto_April23__1___1[Sector]="Rural+Urban"),0)),
    INDEX(All_India_Index_Upto_April23__1___1[Spices],
      MATCH(1,(All_India_Index_Upto_April23__1___1[Date]=EDATE($A47,-12))*
              (All_India_Index_Upto_April23__1___1[Sector]="Rural+Urban"),0)),
    INDEX(All_India_Index_Upto_April23__1___1[Non-alcoholic beverages],
      MATCH(1,(All_India_Index_Upto_April23__1___1[Date]=EDATE($A47,-12))*
              (All_India_Index_Upto_April23__1___1[Sector]="Rural+Urban"),0)),
    INDEX(All_India_Index_Upto_April23__1___1[Prepared meals, snacks, sweets etc.],
      MATCH(1,(All_India_Index_Upto_April23__1___1[Date]=EDATE($A47,-12))*
              (All_India_Index_Upto_April23__1___1[Sector]="Rural+Urban"),0))
  ),
"")</f>
        <v>146.58333333333334</v>
      </c>
      <c r="Q47" s="8">
        <f t="shared" si="2"/>
        <v>9.7725980670835613E-2</v>
      </c>
      <c r="R47" t="str">
        <f t="shared" si="3"/>
        <v>COVID</v>
      </c>
      <c r="T47" s="2" cm="1">
        <f t="array" ref="T47">IFERROR(
  INDEX(
    All_India_Index_Upto_April23__1___1[Health],
    MATCH(
      1,
      (All_India_Index_Upto_April23__1___1[Date]=$A47) *
      (All_India_Index_Upto_April23__1___1[Sector]="Rural+Urban"),
      0
    )
  ),
"")</f>
        <v>157.19999999999999</v>
      </c>
      <c r="U47" s="2" cm="1">
        <f t="array" ref="U47">IFERROR(
  INDEX(
    All_India_Index_Upto_April23__1___1[Health],
    MATCH(
      1,
      (All_India_Index_Upto_April23__1___1[Date]=EDATE($A47,-12)) *
      (All_India_Index_Upto_April23__1___1[Sector]="Rural+Urban"),
      0
    )
  ),
"")</f>
        <v>149.9</v>
      </c>
      <c r="V47" s="8">
        <f t="shared" si="4"/>
        <v>4.8699132755169995E-2</v>
      </c>
      <c r="W47" t="str">
        <f t="shared" si="5"/>
        <v>COVID</v>
      </c>
      <c r="Y47" s="2" cm="1">
        <f t="array" ref="Y47">IFERROR(
  AVERAGE(
    INDEX(All_India_Index_Upto_April23__1___1[Pan, tobacco and intoxicants],
      MATCH(1,(All_India_Index_Upto_April23__1___1[Date]=$A47)*
              (All_India_Index_Upto_April23__1___1[Sector]="Rural+Urban"),0)),
    INDEX(All_India_Index_Upto_April23__1___1[Clothing],
      MATCH(1,(All_India_Index_Upto_April23__1___1[Date]=$A47)*
              (All_India_Index_Upto_April23__1___1[Sector]="Rural+Urban"),0)),
    INDEX(All_India_Index_Upto_April23__1___1[Footwear],
      MATCH(1,(All_India_Index_Upto_April23__1___1[Date]=$A47)*
              (All_India_Index_Upto_April23__1___1[Sector]="Rural+Urban"),0)),
    INDEX(All_India_Index_Upto_April23__1___1[Clothing and footwear],
      MATCH(1,(All_India_Index_Upto_April23__1___1[Date]=$A47)*
              (All_India_Index_Upto_April23__1___1[Sector]="Rural+Urban"),0)),
    INDEX(All_India_Index_Upto_April23__1___1[Housing],
      MATCH(1,(All_India_Index_Upto_April23__1___1[Date]=$A47)*
              (All_India_Index_Upto_April23__1___1[Sector]="Rural+Urban"),0)),
    INDEX(All_India_Index_Upto_April23__1___1[Fuel and light],
      MATCH(1,(All_India_Index_Upto_April23__1___1[Date]=$A47)*
              (All_India_Index_Upto_April23__1___1[Sector]="Rural+Urban"),0)),
    INDEX(All_India_Index_Upto_April23__1___1[Household goods and services],
      MATCH(1,(All_India_Index_Upto_April23__1___1[Date]=$A47)*
              (All_India_Index_Upto_April23__1___1[Sector]="Rural+Urban"),0)),
    INDEX(All_India_Index_Upto_April23__1___1[Health],
      MATCH(1,(All_India_Index_Upto_April23__1___1[Date]=$A47)*
              (All_India_Index_Upto_April23__1___1[Sector]="Rural+Urban"),0)),
    INDEX(All_India_Index_Upto_April23__1___1[Transport and communication],
      MATCH(1,(All_India_Index_Upto_April23__1___1[Date]=$A47)*
              (All_India_Index_Upto_April23__1___1[Sector]="Rural+Urban"),0)),
    INDEX(All_India_Index_Upto_April23__1___1[Recreation and amusement],
      MATCH(1,(All_India_Index_Upto_April23__1___1[Date]=$A47)*
              (All_India_Index_Upto_April23__1___1[Sector]="Rural+Urban"),0)),
    INDEX(All_India_Index_Upto_April23__1___1[Education],
      MATCH(1,(All_India_Index_Upto_April23__1___1[Date]=$A47)*
              (All_India_Index_Upto_April23__1___1[Sector]="Rural+Urban"),0)),
    INDEX(All_India_Index_Upto_April23__1___1[Personal care and effects],
      MATCH(1,(All_India_Index_Upto_April23__1___1[Date]=$A47)*
              (All_India_Index_Upto_April23__1___1[Sector]="Rural+Urban"),0)),
    INDEX(All_India_Index_Upto_April23__1___1[Miscellaneous],
      MATCH(1,(All_India_Index_Upto_April23__1___1[Date]=$A47)*
              (All_India_Index_Upto_April23__1___1[Sector]="Rural+Urban"),0))
  ),
"")</f>
        <v>153.48333333333335</v>
      </c>
      <c r="Z47" s="2" cm="1">
        <f t="array" ref="Z47">IFERROR(
  AVERAGE(
    INDEX(All_India_Index_Upto_April23__1___1[Pan, tobacco and intoxicants],
      MATCH(1,(All_India_Index_Upto_April23__1___1[Date]=EDATE($A47,-12))*
              (All_India_Index_Upto_April23__1___1[Sector]="Rural+Urban"),0)),
    INDEX(All_India_Index_Upto_April23__1___1[Clothing],
      MATCH(1,(All_India_Index_Upto_April23__1___1[Date]=EDATE($A47,-12))*
              (All_India_Index_Upto_April23__1___1[Sector]="Rural+Urban"),0)),
    INDEX(All_India_Index_Upto_April23__1___1[Footwear],
      MATCH(1,(All_India_Index_Upto_April23__1___1[Date]=EDATE($A47,-12))*
              (All_India_Index_Upto_April23__1___1[Sector]="Rural+Urban"),0)),
    INDEX(All_India_Index_Upto_April23__1___1[Clothing and footwear],
      MATCH(1,(All_India_Index_Upto_April23__1___1[Date]=EDATE($A47,-12))*
              (All_India_Index_Upto_April23__1___1[Sector]="Rural+Urban"),0)),
    INDEX(All_India_Index_Upto_April23__1___1[Housing],
      MATCH(1,(All_India_Index_Upto_April23__1___1[Date]=EDATE($A47,-12))*
              (All_India_Index_Upto_April23__1___1[Sector]="Rural+Urban"),0)),
    INDEX(All_India_Index_Upto_April23__1___1[Fuel and light],
      MATCH(1,(All_India_Index_Upto_April23__1___1[Date]=EDATE($A47,-12))*
              (All_India_Index_Upto_April23__1___1[Sector]="Rural+Urban"),0)),
    INDEX(All_India_Index_Upto_April23__1___1[Household goods and services],
      MATCH(1,(All_India_Index_Upto_April23__1___1[Date]=EDATE($A47,-12))*
              (All_India_Index_Upto_April23__1___1[Sector]="Rural+Urban"),0)),
    INDEX(All_India_Index_Upto_April23__1___1[Health],
      MATCH(1,(All_India_Index_Upto_April23__1___1[Date]=EDATE($A47,-12))*
              (All_India_Index_Upto_April23__1___1[Sector]="Rural+Urban"),0)),
    INDEX(All_India_Index_Upto_April23__1___1[Transport and communication],
      MATCH(1,(All_India_Index_Upto_April23__1___1[Date]=EDATE($A47,-12))*
              (All_India_Index_Upto_April23__1___1[Sector]="Rural+Urban"),0)),
    INDEX(All_India_Index_Upto_April23__1___1[Recreation and amusement],
      MATCH(1,(All_India_Index_Upto_April23__1___1[Date]=EDATE($A47,-12))*
              (All_India_Index_Upto_April23__1___1[Sector]="Rural+Urban"),0)),
    INDEX(All_India_Index_Upto_April23__1___1[Education],
      MATCH(1,(All_India_Index_Upto_April23__1___1[Date]=EDATE($A47,-12))*
              (All_India_Index_Upto_April23__1___1[Sector]="Rural+Urban"),0)),
    INDEX(All_India_Index_Upto_April23__1___1[Personal care and effects],
      MATCH(1,(All_India_Index_Upto_April23__1___1[Date]=EDATE($A47,-12))*
              (All_India_Index_Upto_April23__1___1[Sector]="Rural+Urban"),0)),
    INDEX(All_India_Index_Upto_April23__1___1[Miscellaneous],
      MATCH(1,(All_India_Index_Upto_April23__1___1[Date]=EDATE($A47,-12))*
              (All_India_Index_Upto_April23__1___1[Sector]="Rural+Urban"),0))
  ),
"")</f>
        <v>145.89166666666665</v>
      </c>
      <c r="AA47" s="8">
        <f t="shared" si="6"/>
        <v>5.2036328325812745E-2</v>
      </c>
      <c r="AB47" t="str">
        <f t="shared" si="7"/>
        <v>COVID</v>
      </c>
    </row>
    <row r="48" spans="1:28" x14ac:dyDescent="0.2">
      <c r="A48" s="22">
        <v>44166</v>
      </c>
      <c r="B48">
        <v>2020</v>
      </c>
      <c r="C48" t="s">
        <v>53</v>
      </c>
      <c r="D48" s="2" cm="1">
        <f t="array" ref="D48">IFERROR(
  INDEX(
    All_India_Index_Upto_April23__1___1[General index],
    MATCH(
      1,
      (All_India_Index_Upto_April23__1___1[Sector]="Rural+Urban") *
      (All_India_Index_Upto_April23__1___1[Date]=A48),
      0
    )
  ),
"")</f>
        <v>158.9</v>
      </c>
      <c r="E48" s="2" cm="1">
        <f t="array" ref="E48">IFERROR(
  INDEX(
    All_India_Index_Upto_April23__1___1[General index],
    MATCH(
      1,
      (All_India_Index_Upto_April23__1___1[Sector]="Rural+Urban") *
      (All_India_Index_Upto_April23__1___1[Date]=EDATE(A48,-12)),
      0
    )
  ),
"")</f>
        <v>150.4</v>
      </c>
      <c r="F48" s="8">
        <f t="shared" si="0"/>
        <v>5.6515957446808596E-2</v>
      </c>
      <c r="G48" t="str">
        <f t="shared" si="1"/>
        <v>COVID</v>
      </c>
      <c r="O48" s="2" cm="1">
        <f t="array" ref="O48">IFERROR(
  AVERAGE(
    INDEX(All_India_Index_Upto_April23__1___1[Cereals and products],
      MATCH(1,(All_India_Index_Upto_April23__1___1[Date]=$A48)*
              (All_India_Index_Upto_April23__1___1[Sector]="Rural+Urban"),0)),
    INDEX(All_India_Index_Upto_April23__1___1[Meat and fish],
      MATCH(1,(All_India_Index_Upto_April23__1___1[Date]=$A48)*
              (All_India_Index_Upto_April23__1___1[Sector]="Rural+Urban"),0)),
    INDEX(All_India_Index_Upto_April23__1___1[Egg],
      MATCH(1,(All_India_Index_Upto_April23__1___1[Date]=$A48)*
              (All_India_Index_Upto_April23__1___1[Sector]="Rural+Urban"),0)),
    INDEX(All_India_Index_Upto_April23__1___1[Milk and products],
      MATCH(1,(All_India_Index_Upto_April23__1___1[Date]=$A48)*
              (All_India_Index_Upto_April23__1___1[Sector]="Rural+Urban"),0)),
    INDEX(All_India_Index_Upto_April23__1___1[Oils and fats],
      MATCH(1,(All_India_Index_Upto_April23__1___1[Date]=$A48)*
              (All_India_Index_Upto_April23__1___1[Sector]="Rural+Urban"),0)),
    INDEX(All_India_Index_Upto_April23__1___1[Fruits],
      MATCH(1,(All_India_Index_Upto_April23__1___1[Date]=$A48)*
              (All_India_Index_Upto_April23__1___1[Sector]="Rural+Urban"),0)),
    INDEX(All_India_Index_Upto_April23__1___1[Vegetables],
      MATCH(1,(All_India_Index_Upto_April23__1___1[Date]=$A48)*
              (All_India_Index_Upto_April23__1___1[Sector]="Rural+Urban"),0)),
    INDEX(All_India_Index_Upto_April23__1___1[Pulses and products],
      MATCH(1,(All_India_Index_Upto_April23__1___1[Date]=$A48)*
              (All_India_Index_Upto_April23__1___1[Sector]="Rural+Urban"),0)),
    INDEX(All_India_Index_Upto_April23__1___1[Sugar and Confectionery],
      MATCH(1,(All_India_Index_Upto_April23__1___1[Date]=$A48)*
              (All_India_Index_Upto_April23__1___1[Sector]="Rural+Urban"),0)),
    INDEX(All_India_Index_Upto_April23__1___1[Spices],
      MATCH(1,(All_India_Index_Upto_April23__1___1[Date]=$A48)*
              (All_India_Index_Upto_April23__1___1[Sector]="Rural+Urban"),0)),
    INDEX(All_India_Index_Upto_April23__1___1[Non-alcoholic beverages],
      MATCH(1,(All_India_Index_Upto_April23__1___1[Date]=$A48)*
              (All_India_Index_Upto_April23__1___1[Sector]="Rural+Urban"),0)),
    INDEX(All_India_Index_Upto_April23__1___1[Prepared meals, snacks, sweets etc.],
      MATCH(1,(All_India_Index_Upto_April23__1___1[Date]=$A48)*
              (All_India_Index_Upto_April23__1___1[Sector]="Rural+Urban"),0))
  ),
"")</f>
        <v>161.97499999999999</v>
      </c>
      <c r="P48" s="2" cm="1">
        <f t="array" ref="P48">IFERROR(
  AVERAGE(
    INDEX(All_India_Index_Upto_April23__1___1[Cereals and products],
      MATCH(1,(All_India_Index_Upto_April23__1___1[Date]=EDATE($A48,-12))*
              (All_India_Index_Upto_April23__1___1[Sector]="Rural+Urban"),0)),
    INDEX(All_India_Index_Upto_April23__1___1[Meat and fish],
      MATCH(1,(All_India_Index_Upto_April23__1___1[Date]=EDATE($A48,-12))*
              (All_India_Index_Upto_April23__1___1[Sector]="Rural+Urban"),0)),
    INDEX(All_India_Index_Upto_April23__1___1[Egg],
      MATCH(1,(All_India_Index_Upto_April23__1___1[Date]=EDATE($A48,-12))*
              (All_India_Index_Upto_April23__1___1[Sector]="Rural+Urban"),0)),
    INDEX(All_India_Index_Upto_April23__1___1[Milk and products],
      MATCH(1,(All_India_Index_Upto_April23__1___1[Date]=EDATE($A48,-12))*
              (All_India_Index_Upto_April23__1___1[Sector]="Rural+Urban"),0)),
    INDEX(All_India_Index_Upto_April23__1___1[Oils and fats],
      MATCH(1,(All_India_Index_Upto_April23__1___1[Date]=EDATE($A48,-12))*
              (All_India_Index_Upto_April23__1___1[Sector]="Rural+Urban"),0)),
    INDEX(All_India_Index_Upto_April23__1___1[Fruits],
      MATCH(1,(All_India_Index_Upto_April23__1___1[Date]=EDATE($A48,-12))*
              (All_India_Index_Upto_April23__1___1[Sector]="Rural+Urban"),0)),
    INDEX(All_India_Index_Upto_April23__1___1[Vegetables],
      MATCH(1,(All_India_Index_Upto_April23__1___1[Date]=EDATE($A48,-12))*
              (All_India_Index_Upto_April23__1___1[Sector]="Rural+Urban"),0)),
    INDEX(All_India_Index_Upto_April23__1___1[Pulses and products],
      MATCH(1,(All_India_Index_Upto_April23__1___1[Date]=EDATE($A48,-12))*
              (All_India_Index_Upto_April23__1___1[Sector]="Rural+Urban"),0)),
    INDEX(All_India_Index_Upto_April23__1___1[Sugar and Confectionery],
      MATCH(1,(All_India_Index_Upto_April23__1___1[Date]=EDATE($A48,-12))*
              (All_India_Index_Upto_April23__1___1[Sector]="Rural+Urban"),0)),
    INDEX(All_India_Index_Upto_April23__1___1[Spices],
      MATCH(1,(All_India_Index_Upto_April23__1___1[Date]=EDATE($A48,-12))*
              (All_India_Index_Upto_April23__1___1[Sector]="Rural+Urban"),0)),
    INDEX(All_India_Index_Upto_April23__1___1[Non-alcoholic beverages],
      MATCH(1,(All_India_Index_Upto_April23__1___1[Date]=EDATE($A48,-12))*
              (All_India_Index_Upto_April23__1___1[Sector]="Rural+Urban"),0)),
    INDEX(All_India_Index_Upto_April23__1___1[Prepared meals, snacks, sweets etc.],
      MATCH(1,(All_India_Index_Upto_April23__1___1[Date]=EDATE($A48,-12))*
              (All_India_Index_Upto_April23__1___1[Sector]="Rural+Urban"),0))
  ),
"")</f>
        <v>149.25833333333335</v>
      </c>
      <c r="Q48" s="8">
        <f t="shared" si="2"/>
        <v>8.5199039696275847E-2</v>
      </c>
      <c r="R48" t="str">
        <f t="shared" si="3"/>
        <v>COVID</v>
      </c>
      <c r="T48" s="2" cm="1">
        <f t="array" ref="T48">IFERROR(
  INDEX(
    All_India_Index_Upto_April23__1___1[Health],
    MATCH(
      1,
      (All_India_Index_Upto_April23__1___1[Date]=$A48) *
      (All_India_Index_Upto_April23__1___1[Sector]="Rural+Urban"),
      0
    )
  ),
"")</f>
        <v>158.30000000000001</v>
      </c>
      <c r="U48" s="2" cm="1">
        <f t="array" ref="U48">IFERROR(
  INDEX(
    All_India_Index_Upto_April23__1___1[Health],
    MATCH(
      1,
      (All_India_Index_Upto_April23__1___1[Date]=EDATE($A48,-12)) *
      (All_India_Index_Upto_April23__1___1[Sector]="Rural+Urban"),
      0
    )
  ),
"")</f>
        <v>150.4</v>
      </c>
      <c r="V48" s="8">
        <f t="shared" si="4"/>
        <v>5.2526595744680889E-2</v>
      </c>
      <c r="W48" t="str">
        <f t="shared" si="5"/>
        <v>COVID</v>
      </c>
      <c r="Y48" s="2" cm="1">
        <f t="array" ref="Y48">IFERROR(
  AVERAGE(
    INDEX(All_India_Index_Upto_April23__1___1[Pan, tobacco and intoxicants],
      MATCH(1,(All_India_Index_Upto_April23__1___1[Date]=$A48)*
              (All_India_Index_Upto_April23__1___1[Sector]="Rural+Urban"),0)),
    INDEX(All_India_Index_Upto_April23__1___1[Clothing],
      MATCH(1,(All_India_Index_Upto_April23__1___1[Date]=$A48)*
              (All_India_Index_Upto_April23__1___1[Sector]="Rural+Urban"),0)),
    INDEX(All_India_Index_Upto_April23__1___1[Footwear],
      MATCH(1,(All_India_Index_Upto_April23__1___1[Date]=$A48)*
              (All_India_Index_Upto_April23__1___1[Sector]="Rural+Urban"),0)),
    INDEX(All_India_Index_Upto_April23__1___1[Clothing and footwear],
      MATCH(1,(All_India_Index_Upto_April23__1___1[Date]=$A48)*
              (All_India_Index_Upto_April23__1___1[Sector]="Rural+Urban"),0)),
    INDEX(All_India_Index_Upto_April23__1___1[Housing],
      MATCH(1,(All_India_Index_Upto_April23__1___1[Date]=$A48)*
              (All_India_Index_Upto_April23__1___1[Sector]="Rural+Urban"),0)),
    INDEX(All_India_Index_Upto_April23__1___1[Fuel and light],
      MATCH(1,(All_India_Index_Upto_April23__1___1[Date]=$A48)*
              (All_India_Index_Upto_April23__1___1[Sector]="Rural+Urban"),0)),
    INDEX(All_India_Index_Upto_April23__1___1[Household goods and services],
      MATCH(1,(All_India_Index_Upto_April23__1___1[Date]=$A48)*
              (All_India_Index_Upto_April23__1___1[Sector]="Rural+Urban"),0)),
    INDEX(All_India_Index_Upto_April23__1___1[Health],
      MATCH(1,(All_India_Index_Upto_April23__1___1[Date]=$A48)*
              (All_India_Index_Upto_April23__1___1[Sector]="Rural+Urban"),0)),
    INDEX(All_India_Index_Upto_April23__1___1[Transport and communication],
      MATCH(1,(All_India_Index_Upto_April23__1___1[Date]=$A48)*
              (All_India_Index_Upto_April23__1___1[Sector]="Rural+Urban"),0)),
    INDEX(All_India_Index_Upto_April23__1___1[Recreation and amusement],
      MATCH(1,(All_India_Index_Upto_April23__1___1[Date]=$A48)*
              (All_India_Index_Upto_April23__1___1[Sector]="Rural+Urban"),0)),
    INDEX(All_India_Index_Upto_April23__1___1[Education],
      MATCH(1,(All_India_Index_Upto_April23__1___1[Date]=$A48)*
              (All_India_Index_Upto_April23__1___1[Sector]="Rural+Urban"),0)),
    INDEX(All_India_Index_Upto_April23__1___1[Personal care and effects],
      MATCH(1,(All_India_Index_Upto_April23__1___1[Date]=$A48)*
              (All_India_Index_Upto_April23__1___1[Sector]="Rural+Urban"),0)),
    INDEX(All_India_Index_Upto_April23__1___1[Miscellaneous],
      MATCH(1,(All_India_Index_Upto_April23__1___1[Date]=$A48)*
              (All_India_Index_Upto_April23__1___1[Sector]="Rural+Urban"),0))
  ),
"")</f>
        <v>154.07500000000002</v>
      </c>
      <c r="Z48" s="2" cm="1">
        <f t="array" ref="Z48">IFERROR(
  AVERAGE(
    INDEX(All_India_Index_Upto_April23__1___1[Pan, tobacco and intoxicants],
      MATCH(1,(All_India_Index_Upto_April23__1___1[Date]=EDATE($A48,-12))*
              (All_India_Index_Upto_April23__1___1[Sector]="Rural+Urban"),0)),
    INDEX(All_India_Index_Upto_April23__1___1[Clothing],
      MATCH(1,(All_India_Index_Upto_April23__1___1[Date]=EDATE($A48,-12))*
              (All_India_Index_Upto_April23__1___1[Sector]="Rural+Urban"),0)),
    INDEX(All_India_Index_Upto_April23__1___1[Footwear],
      MATCH(1,(All_India_Index_Upto_April23__1___1[Date]=EDATE($A48,-12))*
              (All_India_Index_Upto_April23__1___1[Sector]="Rural+Urban"),0)),
    INDEX(All_India_Index_Upto_April23__1___1[Clothing and footwear],
      MATCH(1,(All_India_Index_Upto_April23__1___1[Date]=EDATE($A48,-12))*
              (All_India_Index_Upto_April23__1___1[Sector]="Rural+Urban"),0)),
    INDEX(All_India_Index_Upto_April23__1___1[Housing],
      MATCH(1,(All_India_Index_Upto_April23__1___1[Date]=EDATE($A48,-12))*
              (All_India_Index_Upto_April23__1___1[Sector]="Rural+Urban"),0)),
    INDEX(All_India_Index_Upto_April23__1___1[Fuel and light],
      MATCH(1,(All_India_Index_Upto_April23__1___1[Date]=EDATE($A48,-12))*
              (All_India_Index_Upto_April23__1___1[Sector]="Rural+Urban"),0)),
    INDEX(All_India_Index_Upto_April23__1___1[Household goods and services],
      MATCH(1,(All_India_Index_Upto_April23__1___1[Date]=EDATE($A48,-12))*
              (All_India_Index_Upto_April23__1___1[Sector]="Rural+Urban"),0)),
    INDEX(All_India_Index_Upto_April23__1___1[Health],
      MATCH(1,(All_India_Index_Upto_April23__1___1[Date]=EDATE($A48,-12))*
              (All_India_Index_Upto_April23__1___1[Sector]="Rural+Urban"),0)),
    INDEX(All_India_Index_Upto_April23__1___1[Transport and communication],
      MATCH(1,(All_India_Index_Upto_April23__1___1[Date]=EDATE($A48,-12))*
              (All_India_Index_Upto_April23__1___1[Sector]="Rural+Urban"),0)),
    INDEX(All_India_Index_Upto_April23__1___1[Recreation and amusement],
      MATCH(1,(All_India_Index_Upto_April23__1___1[Date]=EDATE($A48,-12))*
              (All_India_Index_Upto_April23__1___1[Sector]="Rural+Urban"),0)),
    INDEX(All_India_Index_Upto_April23__1___1[Education],
      MATCH(1,(All_India_Index_Upto_April23__1___1[Date]=EDATE($A48,-12))*
              (All_India_Index_Upto_April23__1___1[Sector]="Rural+Urban"),0)),
    INDEX(All_India_Index_Upto_April23__1___1[Personal care and effects],
      MATCH(1,(All_India_Index_Upto_April23__1___1[Date]=EDATE($A48,-12))*
              (All_India_Index_Upto_April23__1___1[Sector]="Rural+Urban"),0)),
    INDEX(All_India_Index_Upto_April23__1___1[Miscellaneous],
      MATCH(1,(All_India_Index_Upto_April23__1___1[Date]=EDATE($A48,-12))*
              (All_India_Index_Upto_April23__1___1[Sector]="Rural+Urban"),0))
  ),
"")</f>
        <v>146.64166666666668</v>
      </c>
      <c r="AA48" s="8">
        <f t="shared" si="6"/>
        <v>5.0690458600897902E-2</v>
      </c>
      <c r="AB48" t="str">
        <f t="shared" si="7"/>
        <v>COVID</v>
      </c>
    </row>
    <row r="49" spans="1:28" x14ac:dyDescent="0.2">
      <c r="A49" s="22">
        <v>44197</v>
      </c>
      <c r="B49">
        <v>2021</v>
      </c>
      <c r="C49" t="s">
        <v>31</v>
      </c>
      <c r="D49" s="2" cm="1">
        <f t="array" ref="D49">IFERROR(
  INDEX(
    All_India_Index_Upto_April23__1___1[General index],
    MATCH(
      1,
      (All_India_Index_Upto_April23__1___1[Sector]="Rural+Urban") *
      (All_India_Index_Upto_April23__1___1[Date]=A49),
      0
    )
  ),
"")</f>
        <v>157.30000000000001</v>
      </c>
      <c r="E49" s="2" cm="1">
        <f t="array" ref="E49">IFERROR(
  INDEX(
    All_India_Index_Upto_April23__1___1[General index],
    MATCH(
      1,
      (All_India_Index_Upto_April23__1___1[Sector]="Rural+Urban") *
      (All_India_Index_Upto_April23__1___1[Date]=EDATE(A49,-12)),
      0
    )
  ),
"")</f>
        <v>150.19999999999999</v>
      </c>
      <c r="F49" s="8">
        <f t="shared" si="0"/>
        <v>4.7270306258322403E-2</v>
      </c>
      <c r="G49" t="str">
        <f t="shared" si="1"/>
        <v>COVID</v>
      </c>
      <c r="O49" s="2" cm="1">
        <f t="array" ref="O49">IFERROR(
  AVERAGE(
    INDEX(All_India_Index_Upto_April23__1___1[Cereals and products],
      MATCH(1,(All_India_Index_Upto_April23__1___1[Date]=$A49)*
              (All_India_Index_Upto_April23__1___1[Sector]="Rural+Urban"),0)),
    INDEX(All_India_Index_Upto_April23__1___1[Meat and fish],
      MATCH(1,(All_India_Index_Upto_April23__1___1[Date]=$A49)*
              (All_India_Index_Upto_April23__1___1[Sector]="Rural+Urban"),0)),
    INDEX(All_India_Index_Upto_April23__1___1[Egg],
      MATCH(1,(All_India_Index_Upto_April23__1___1[Date]=$A49)*
              (All_India_Index_Upto_April23__1___1[Sector]="Rural+Urban"),0)),
    INDEX(All_India_Index_Upto_April23__1___1[Milk and products],
      MATCH(1,(All_India_Index_Upto_April23__1___1[Date]=$A49)*
              (All_India_Index_Upto_April23__1___1[Sector]="Rural+Urban"),0)),
    INDEX(All_India_Index_Upto_April23__1___1[Oils and fats],
      MATCH(1,(All_India_Index_Upto_April23__1___1[Date]=$A49)*
              (All_India_Index_Upto_April23__1___1[Sector]="Rural+Urban"),0)),
    INDEX(All_India_Index_Upto_April23__1___1[Fruits],
      MATCH(1,(All_India_Index_Upto_April23__1___1[Date]=$A49)*
              (All_India_Index_Upto_April23__1___1[Sector]="Rural+Urban"),0)),
    INDEX(All_India_Index_Upto_April23__1___1[Vegetables],
      MATCH(1,(All_India_Index_Upto_April23__1___1[Date]=$A49)*
              (All_India_Index_Upto_April23__1___1[Sector]="Rural+Urban"),0)),
    INDEX(All_India_Index_Upto_April23__1___1[Pulses and products],
      MATCH(1,(All_India_Index_Upto_April23__1___1[Date]=$A49)*
              (All_India_Index_Upto_April23__1___1[Sector]="Rural+Urban"),0)),
    INDEX(All_India_Index_Upto_April23__1___1[Sugar and Confectionery],
      MATCH(1,(All_India_Index_Upto_April23__1___1[Date]=$A49)*
              (All_India_Index_Upto_April23__1___1[Sector]="Rural+Urban"),0)),
    INDEX(All_India_Index_Upto_April23__1___1[Spices],
      MATCH(1,(All_India_Index_Upto_April23__1___1[Date]=$A49)*
              (All_India_Index_Upto_April23__1___1[Sector]="Rural+Urban"),0)),
    INDEX(All_India_Index_Upto_April23__1___1[Non-alcoholic beverages],
      MATCH(1,(All_India_Index_Upto_April23__1___1[Date]=$A49)*
              (All_India_Index_Upto_April23__1___1[Sector]="Rural+Urban"),0)),
    INDEX(All_India_Index_Upto_April23__1___1[Prepared meals, snacks, sweets etc.],
      MATCH(1,(All_India_Index_Upto_April23__1___1[Date]=$A49)*
              (All_India_Index_Upto_April23__1___1[Sector]="Rural+Urban"),0))
  ),
"")</f>
        <v>159.62499999999997</v>
      </c>
      <c r="P49" s="2" cm="1">
        <f t="array" ref="P49">IFERROR(
  AVERAGE(
    INDEX(All_India_Index_Upto_April23__1___1[Cereals and products],
      MATCH(1,(All_India_Index_Upto_April23__1___1[Date]=EDATE($A49,-12))*
              (All_India_Index_Upto_April23__1___1[Sector]="Rural+Urban"),0)),
    INDEX(All_India_Index_Upto_April23__1___1[Meat and fish],
      MATCH(1,(All_India_Index_Upto_April23__1___1[Date]=EDATE($A49,-12))*
              (All_India_Index_Upto_April23__1___1[Sector]="Rural+Urban"),0)),
    INDEX(All_India_Index_Upto_April23__1___1[Egg],
      MATCH(1,(All_India_Index_Upto_April23__1___1[Date]=EDATE($A49,-12))*
              (All_India_Index_Upto_April23__1___1[Sector]="Rural+Urban"),0)),
    INDEX(All_India_Index_Upto_April23__1___1[Milk and products],
      MATCH(1,(All_India_Index_Upto_April23__1___1[Date]=EDATE($A49,-12))*
              (All_India_Index_Upto_April23__1___1[Sector]="Rural+Urban"),0)),
    INDEX(All_India_Index_Upto_April23__1___1[Oils and fats],
      MATCH(1,(All_India_Index_Upto_April23__1___1[Date]=EDATE($A49,-12))*
              (All_India_Index_Upto_April23__1___1[Sector]="Rural+Urban"),0)),
    INDEX(All_India_Index_Upto_April23__1___1[Fruits],
      MATCH(1,(All_India_Index_Upto_April23__1___1[Date]=EDATE($A49,-12))*
              (All_India_Index_Upto_April23__1___1[Sector]="Rural+Urban"),0)),
    INDEX(All_India_Index_Upto_April23__1___1[Vegetables],
      MATCH(1,(All_India_Index_Upto_April23__1___1[Date]=EDATE($A49,-12))*
              (All_India_Index_Upto_April23__1___1[Sector]="Rural+Urban"),0)),
    INDEX(All_India_Index_Upto_April23__1___1[Pulses and products],
      MATCH(1,(All_India_Index_Upto_April23__1___1[Date]=EDATE($A49,-12))*
              (All_India_Index_Upto_April23__1___1[Sector]="Rural+Urban"),0)),
    INDEX(All_India_Index_Upto_April23__1___1[Sugar and Confectionery],
      MATCH(1,(All_India_Index_Upto_April23__1___1[Date]=EDATE($A49,-12))*
              (All_India_Index_Upto_April23__1___1[Sector]="Rural+Urban"),0)),
    INDEX(All_India_Index_Upto_April23__1___1[Spices],
      MATCH(1,(All_India_Index_Upto_April23__1___1[Date]=EDATE($A49,-12))*
              (All_India_Index_Upto_April23__1___1[Sector]="Rural+Urban"),0)),
    INDEX(All_India_Index_Upto_April23__1___1[Non-alcoholic beverages],
      MATCH(1,(All_India_Index_Upto_April23__1___1[Date]=EDATE($A49,-12))*
              (All_India_Index_Upto_April23__1___1[Sector]="Rural+Urban"),0)),
    INDEX(All_India_Index_Upto_April23__1___1[Prepared meals, snacks, sweets etc.],
      MATCH(1,(All_India_Index_Upto_April23__1___1[Date]=EDATE($A49,-12))*
              (All_India_Index_Upto_April23__1___1[Sector]="Rural+Urban"),0))
  ),
"")</f>
        <v>148.90833333333333</v>
      </c>
      <c r="Q49" s="8">
        <f t="shared" si="2"/>
        <v>7.1968213106497106E-2</v>
      </c>
      <c r="R49" t="str">
        <f t="shared" si="3"/>
        <v>COVID</v>
      </c>
      <c r="T49" s="2" cm="1">
        <f t="array" ref="T49">IFERROR(
  INDEX(
    All_India_Index_Upto_April23__1___1[Health],
    MATCH(
      1,
      (All_India_Index_Upto_April23__1___1[Date]=$A49) *
      (All_India_Index_Upto_April23__1___1[Sector]="Rural+Urban"),
      0
    )
  ),
"")</f>
        <v>159.30000000000001</v>
      </c>
      <c r="U49" s="2" cm="1">
        <f t="array" ref="U49">IFERROR(
  INDEX(
    All_India_Index_Upto_April23__1___1[Health],
    MATCH(
      1,
      (All_India_Index_Upto_April23__1___1[Date]=EDATE($A49,-12)) *
      (All_India_Index_Upto_April23__1___1[Sector]="Rural+Urban"),
      0
    )
  ),
"")</f>
        <v>151.19999999999999</v>
      </c>
      <c r="V49" s="8">
        <f t="shared" si="4"/>
        <v>5.3571428571428728E-2</v>
      </c>
      <c r="W49" t="str">
        <f t="shared" si="5"/>
        <v>COVID</v>
      </c>
      <c r="Y49" s="2" cm="1">
        <f t="array" ref="Y49">IFERROR(
  AVERAGE(
    INDEX(All_India_Index_Upto_April23__1___1[Pan, tobacco and intoxicants],
      MATCH(1,(All_India_Index_Upto_April23__1___1[Date]=$A49)*
              (All_India_Index_Upto_April23__1___1[Sector]="Rural+Urban"),0)),
    INDEX(All_India_Index_Upto_April23__1___1[Clothing],
      MATCH(1,(All_India_Index_Upto_April23__1___1[Date]=$A49)*
              (All_India_Index_Upto_April23__1___1[Sector]="Rural+Urban"),0)),
    INDEX(All_India_Index_Upto_April23__1___1[Footwear],
      MATCH(1,(All_India_Index_Upto_April23__1___1[Date]=$A49)*
              (All_India_Index_Upto_April23__1___1[Sector]="Rural+Urban"),0)),
    INDEX(All_India_Index_Upto_April23__1___1[Clothing and footwear],
      MATCH(1,(All_India_Index_Upto_April23__1___1[Date]=$A49)*
              (All_India_Index_Upto_April23__1___1[Sector]="Rural+Urban"),0)),
    INDEX(All_India_Index_Upto_April23__1___1[Housing],
      MATCH(1,(All_India_Index_Upto_April23__1___1[Date]=$A49)*
              (All_India_Index_Upto_April23__1___1[Sector]="Rural+Urban"),0)),
    INDEX(All_India_Index_Upto_April23__1___1[Fuel and light],
      MATCH(1,(All_India_Index_Upto_April23__1___1[Date]=$A49)*
              (All_India_Index_Upto_April23__1___1[Sector]="Rural+Urban"),0)),
    INDEX(All_India_Index_Upto_April23__1___1[Household goods and services],
      MATCH(1,(All_India_Index_Upto_April23__1___1[Date]=$A49)*
              (All_India_Index_Upto_April23__1___1[Sector]="Rural+Urban"),0)),
    INDEX(All_India_Index_Upto_April23__1___1[Health],
      MATCH(1,(All_India_Index_Upto_April23__1___1[Date]=$A49)*
              (All_India_Index_Upto_April23__1___1[Sector]="Rural+Urban"),0)),
    INDEX(All_India_Index_Upto_April23__1___1[Transport and communication],
      MATCH(1,(All_India_Index_Upto_April23__1___1[Date]=$A49)*
              (All_India_Index_Upto_April23__1___1[Sector]="Rural+Urban"),0)),
    INDEX(All_India_Index_Upto_April23__1___1[Recreation and amusement],
      MATCH(1,(All_India_Index_Upto_April23__1___1[Date]=$A49)*
              (All_India_Index_Upto_April23__1___1[Sector]="Rural+Urban"),0)),
    INDEX(All_India_Index_Upto_April23__1___1[Education],
      MATCH(1,(All_India_Index_Upto_April23__1___1[Date]=$A49)*
              (All_India_Index_Upto_April23__1___1[Sector]="Rural+Urban"),0)),
    INDEX(All_India_Index_Upto_April23__1___1[Personal care and effects],
      MATCH(1,(All_India_Index_Upto_April23__1___1[Date]=$A49)*
              (All_India_Index_Upto_April23__1___1[Sector]="Rural+Urban"),0)),
    INDEX(All_India_Index_Upto_April23__1___1[Miscellaneous],
      MATCH(1,(All_India_Index_Upto_April23__1___1[Date]=$A49)*
              (All_India_Index_Upto_April23__1___1[Sector]="Rural+Urban"),0))
  ),
"")</f>
        <v>154.90833333333333</v>
      </c>
      <c r="Z49" s="2" cm="1">
        <f t="array" ref="Z49">IFERROR(
  AVERAGE(
    INDEX(All_India_Index_Upto_April23__1___1[Pan, tobacco and intoxicants],
      MATCH(1,(All_India_Index_Upto_April23__1___1[Date]=EDATE($A49,-12))*
              (All_India_Index_Upto_April23__1___1[Sector]="Rural+Urban"),0)),
    INDEX(All_India_Index_Upto_April23__1___1[Clothing],
      MATCH(1,(All_India_Index_Upto_April23__1___1[Date]=EDATE($A49,-12))*
              (All_India_Index_Upto_April23__1___1[Sector]="Rural+Urban"),0)),
    INDEX(All_India_Index_Upto_April23__1___1[Footwear],
      MATCH(1,(All_India_Index_Upto_April23__1___1[Date]=EDATE($A49,-12))*
              (All_India_Index_Upto_April23__1___1[Sector]="Rural+Urban"),0)),
    INDEX(All_India_Index_Upto_April23__1___1[Clothing and footwear],
      MATCH(1,(All_India_Index_Upto_April23__1___1[Date]=EDATE($A49,-12))*
              (All_India_Index_Upto_April23__1___1[Sector]="Rural+Urban"),0)),
    INDEX(All_India_Index_Upto_April23__1___1[Housing],
      MATCH(1,(All_India_Index_Upto_April23__1___1[Date]=EDATE($A49,-12))*
              (All_India_Index_Upto_April23__1___1[Sector]="Rural+Urban"),0)),
    INDEX(All_India_Index_Upto_April23__1___1[Fuel and light],
      MATCH(1,(All_India_Index_Upto_April23__1___1[Date]=EDATE($A49,-12))*
              (All_India_Index_Upto_April23__1___1[Sector]="Rural+Urban"),0)),
    INDEX(All_India_Index_Upto_April23__1___1[Household goods and services],
      MATCH(1,(All_India_Index_Upto_April23__1___1[Date]=EDATE($A49,-12))*
              (All_India_Index_Upto_April23__1___1[Sector]="Rural+Urban"),0)),
    INDEX(All_India_Index_Upto_April23__1___1[Health],
      MATCH(1,(All_India_Index_Upto_April23__1___1[Date]=EDATE($A49,-12))*
              (All_India_Index_Upto_April23__1___1[Sector]="Rural+Urban"),0)),
    INDEX(All_India_Index_Upto_April23__1___1[Transport and communication],
      MATCH(1,(All_India_Index_Upto_April23__1___1[Date]=EDATE($A49,-12))*
              (All_India_Index_Upto_April23__1___1[Sector]="Rural+Urban"),0)),
    INDEX(All_India_Index_Upto_April23__1___1[Recreation and amusement],
      MATCH(1,(All_India_Index_Upto_April23__1___1[Date]=EDATE($A49,-12))*
              (All_India_Index_Upto_April23__1___1[Sector]="Rural+Urban"),0)),
    INDEX(All_India_Index_Upto_April23__1___1[Education],
      MATCH(1,(All_India_Index_Upto_April23__1___1[Date]=EDATE($A49,-12))*
              (All_India_Index_Upto_April23__1___1[Sector]="Rural+Urban"),0)),
    INDEX(All_India_Index_Upto_April23__1___1[Personal care and effects],
      MATCH(1,(All_India_Index_Upto_April23__1___1[Date]=EDATE($A49,-12))*
              (All_India_Index_Upto_April23__1___1[Sector]="Rural+Urban"),0)),
    INDEX(All_India_Index_Upto_April23__1___1[Miscellaneous],
      MATCH(1,(All_India_Index_Upto_April23__1___1[Date]=EDATE($A49,-12))*
              (All_India_Index_Upto_April23__1___1[Sector]="Rural+Urban"),0))
  ),
"")</f>
        <v>147.32500000000002</v>
      </c>
      <c r="AA49" s="8">
        <f t="shared" si="6"/>
        <v>5.1473499632332012E-2</v>
      </c>
      <c r="AB49" t="str">
        <f t="shared" si="7"/>
        <v>COVID</v>
      </c>
    </row>
    <row r="50" spans="1:28" x14ac:dyDescent="0.2">
      <c r="A50" s="22">
        <v>44228</v>
      </c>
      <c r="B50">
        <v>2021</v>
      </c>
      <c r="C50" t="s">
        <v>35</v>
      </c>
      <c r="D50" s="2" cm="1">
        <f t="array" ref="D50">IFERROR(
  INDEX(
    All_India_Index_Upto_April23__1___1[General index],
    MATCH(
      1,
      (All_India_Index_Upto_April23__1___1[Sector]="Rural+Urban") *
      (All_India_Index_Upto_April23__1___1[Date]=A50),
      0
    )
  ),
"")</f>
        <v>156.6</v>
      </c>
      <c r="E50" s="2" cm="1">
        <f t="array" ref="E50">IFERROR(
  INDEX(
    All_India_Index_Upto_April23__1___1[General index],
    MATCH(
      1,
      (All_India_Index_Upto_April23__1___1[Sector]="Rural+Urban") *
      (All_India_Index_Upto_April23__1___1[Date]=EDATE(A50,-12)),
      0
    )
  ),
"")</f>
        <v>149.1</v>
      </c>
      <c r="F50" s="8">
        <f t="shared" si="0"/>
        <v>5.0301810865191143E-2</v>
      </c>
      <c r="G50" t="str">
        <f t="shared" si="1"/>
        <v>COVID</v>
      </c>
      <c r="O50" s="2" cm="1">
        <f t="array" ref="O50">IFERROR(
  AVERAGE(
    INDEX(All_India_Index_Upto_April23__1___1[Cereals and products],
      MATCH(1,(All_India_Index_Upto_April23__1___1[Date]=$A50)*
              (All_India_Index_Upto_April23__1___1[Sector]="Rural+Urban"),0)),
    INDEX(All_India_Index_Upto_April23__1___1[Meat and fish],
      MATCH(1,(All_India_Index_Upto_April23__1___1[Date]=$A50)*
              (All_India_Index_Upto_April23__1___1[Sector]="Rural+Urban"),0)),
    INDEX(All_India_Index_Upto_April23__1___1[Egg],
      MATCH(1,(All_India_Index_Upto_April23__1___1[Date]=$A50)*
              (All_India_Index_Upto_April23__1___1[Sector]="Rural+Urban"),0)),
    INDEX(All_India_Index_Upto_April23__1___1[Milk and products],
      MATCH(1,(All_India_Index_Upto_April23__1___1[Date]=$A50)*
              (All_India_Index_Upto_April23__1___1[Sector]="Rural+Urban"),0)),
    INDEX(All_India_Index_Upto_April23__1___1[Oils and fats],
      MATCH(1,(All_India_Index_Upto_April23__1___1[Date]=$A50)*
              (All_India_Index_Upto_April23__1___1[Sector]="Rural+Urban"),0)),
    INDEX(All_India_Index_Upto_April23__1___1[Fruits],
      MATCH(1,(All_India_Index_Upto_April23__1___1[Date]=$A50)*
              (All_India_Index_Upto_April23__1___1[Sector]="Rural+Urban"),0)),
    INDEX(All_India_Index_Upto_April23__1___1[Vegetables],
      MATCH(1,(All_India_Index_Upto_April23__1___1[Date]=$A50)*
              (All_India_Index_Upto_April23__1___1[Sector]="Rural+Urban"),0)),
    INDEX(All_India_Index_Upto_April23__1___1[Pulses and products],
      MATCH(1,(All_India_Index_Upto_April23__1___1[Date]=$A50)*
              (All_India_Index_Upto_April23__1___1[Sector]="Rural+Urban"),0)),
    INDEX(All_India_Index_Upto_April23__1___1[Sugar and Confectionery],
      MATCH(1,(All_India_Index_Upto_April23__1___1[Date]=$A50)*
              (All_India_Index_Upto_April23__1___1[Sector]="Rural+Urban"),0)),
    INDEX(All_India_Index_Upto_April23__1___1[Spices],
      MATCH(1,(All_India_Index_Upto_April23__1___1[Date]=$A50)*
              (All_India_Index_Upto_April23__1___1[Sector]="Rural+Urban"),0)),
    INDEX(All_India_Index_Upto_April23__1___1[Non-alcoholic beverages],
      MATCH(1,(All_India_Index_Upto_April23__1___1[Date]=$A50)*
              (All_India_Index_Upto_April23__1___1[Sector]="Rural+Urban"),0)),
    INDEX(All_India_Index_Upto_April23__1___1[Prepared meals, snacks, sweets etc.],
      MATCH(1,(All_India_Index_Upto_April23__1___1[Date]=$A50)*
              (All_India_Index_Upto_April23__1___1[Sector]="Rural+Urban"),0))
  ),
"")</f>
        <v>156.86666666666667</v>
      </c>
      <c r="P50" s="2" cm="1">
        <f t="array" ref="P50">IFERROR(
  AVERAGE(
    INDEX(All_India_Index_Upto_April23__1___1[Cereals and products],
      MATCH(1,(All_India_Index_Upto_April23__1___1[Date]=EDATE($A50,-12))*
              (All_India_Index_Upto_April23__1___1[Sector]="Rural+Urban"),0)),
    INDEX(All_India_Index_Upto_April23__1___1[Meat and fish],
      MATCH(1,(All_India_Index_Upto_April23__1___1[Date]=EDATE($A50,-12))*
              (All_India_Index_Upto_April23__1___1[Sector]="Rural+Urban"),0)),
    INDEX(All_India_Index_Upto_April23__1___1[Egg],
      MATCH(1,(All_India_Index_Upto_April23__1___1[Date]=EDATE($A50,-12))*
              (All_India_Index_Upto_April23__1___1[Sector]="Rural+Urban"),0)),
    INDEX(All_India_Index_Upto_April23__1___1[Milk and products],
      MATCH(1,(All_India_Index_Upto_April23__1___1[Date]=EDATE($A50,-12))*
              (All_India_Index_Upto_April23__1___1[Sector]="Rural+Urban"),0)),
    INDEX(All_India_Index_Upto_April23__1___1[Oils and fats],
      MATCH(1,(All_India_Index_Upto_April23__1___1[Date]=EDATE($A50,-12))*
              (All_India_Index_Upto_April23__1___1[Sector]="Rural+Urban"),0)),
    INDEX(All_India_Index_Upto_April23__1___1[Fruits],
      MATCH(1,(All_India_Index_Upto_April23__1___1[Date]=EDATE($A50,-12))*
              (All_India_Index_Upto_April23__1___1[Sector]="Rural+Urban"),0)),
    INDEX(All_India_Index_Upto_April23__1___1[Vegetables],
      MATCH(1,(All_India_Index_Upto_April23__1___1[Date]=EDATE($A50,-12))*
              (All_India_Index_Upto_April23__1___1[Sector]="Rural+Urban"),0)),
    INDEX(All_India_Index_Upto_April23__1___1[Pulses and products],
      MATCH(1,(All_India_Index_Upto_April23__1___1[Date]=EDATE($A50,-12))*
              (All_India_Index_Upto_April23__1___1[Sector]="Rural+Urban"),0)),
    INDEX(All_India_Index_Upto_April23__1___1[Sugar and Confectionery],
      MATCH(1,(All_India_Index_Upto_April23__1___1[Date]=EDATE($A50,-12))*
              (All_India_Index_Upto_April23__1___1[Sector]="Rural+Urban"),0)),
    INDEX(All_India_Index_Upto_April23__1___1[Spices],
      MATCH(1,(All_India_Index_Upto_April23__1___1[Date]=EDATE($A50,-12))*
              (All_India_Index_Upto_April23__1___1[Sector]="Rural+Urban"),0)),
    INDEX(All_India_Index_Upto_April23__1___1[Non-alcoholic beverages],
      MATCH(1,(All_India_Index_Upto_April23__1___1[Date]=EDATE($A50,-12))*
              (All_India_Index_Upto_April23__1___1[Sector]="Rural+Urban"),0)),
    INDEX(All_India_Index_Upto_April23__1___1[Prepared meals, snacks, sweets etc.],
      MATCH(1,(All_India_Index_Upto_April23__1___1[Date]=EDATE($A50,-12))*
              (All_India_Index_Upto_April23__1___1[Sector]="Rural+Urban"),0))
  ),
"")</f>
        <v>146.75833333333333</v>
      </c>
      <c r="Q50" s="8">
        <f t="shared" si="2"/>
        <v>6.8877406166600527E-2</v>
      </c>
      <c r="R50" t="str">
        <f t="shared" si="3"/>
        <v>COVID</v>
      </c>
      <c r="T50" s="2" cm="1">
        <f t="array" ref="T50">IFERROR(
  INDEX(
    All_India_Index_Upto_April23__1___1[Health],
    MATCH(
      1,
      (All_India_Index_Upto_April23__1___1[Date]=$A50) *
      (All_India_Index_Upto_April23__1___1[Sector]="Rural+Urban"),
      0
    )
  ),
"")</f>
        <v>161.30000000000001</v>
      </c>
      <c r="U50" s="2" cm="1">
        <f t="array" ref="U50">IFERROR(
  INDEX(
    All_India_Index_Upto_April23__1___1[Health],
    MATCH(
      1,
      (All_India_Index_Upto_April23__1___1[Date]=EDATE($A50,-12)) *
      (All_India_Index_Upto_April23__1___1[Sector]="Rural+Urban"),
      0
    )
  ),
"")</f>
        <v>151.69999999999999</v>
      </c>
      <c r="V50" s="8">
        <f t="shared" si="4"/>
        <v>6.3282794990112218E-2</v>
      </c>
      <c r="W50" t="str">
        <f t="shared" si="5"/>
        <v>COVID</v>
      </c>
      <c r="Y50" s="2" cm="1">
        <f t="array" ref="Y50">IFERROR(
  AVERAGE(
    INDEX(All_India_Index_Upto_April23__1___1[Pan, tobacco and intoxicants],
      MATCH(1,(All_India_Index_Upto_April23__1___1[Date]=$A50)*
              (All_India_Index_Upto_April23__1___1[Sector]="Rural+Urban"),0)),
    INDEX(All_India_Index_Upto_April23__1___1[Clothing],
      MATCH(1,(All_India_Index_Upto_April23__1___1[Date]=$A50)*
              (All_India_Index_Upto_April23__1___1[Sector]="Rural+Urban"),0)),
    INDEX(All_India_Index_Upto_April23__1___1[Footwear],
      MATCH(1,(All_India_Index_Upto_April23__1___1[Date]=$A50)*
              (All_India_Index_Upto_April23__1___1[Sector]="Rural+Urban"),0)),
    INDEX(All_India_Index_Upto_April23__1___1[Clothing and footwear],
      MATCH(1,(All_India_Index_Upto_April23__1___1[Date]=$A50)*
              (All_India_Index_Upto_April23__1___1[Sector]="Rural+Urban"),0)),
    INDEX(All_India_Index_Upto_April23__1___1[Housing],
      MATCH(1,(All_India_Index_Upto_April23__1___1[Date]=$A50)*
              (All_India_Index_Upto_April23__1___1[Sector]="Rural+Urban"),0)),
    INDEX(All_India_Index_Upto_April23__1___1[Fuel and light],
      MATCH(1,(All_India_Index_Upto_April23__1___1[Date]=$A50)*
              (All_India_Index_Upto_April23__1___1[Sector]="Rural+Urban"),0)),
    INDEX(All_India_Index_Upto_April23__1___1[Household goods and services],
      MATCH(1,(All_India_Index_Upto_April23__1___1[Date]=$A50)*
              (All_India_Index_Upto_April23__1___1[Sector]="Rural+Urban"),0)),
    INDEX(All_India_Index_Upto_April23__1___1[Health],
      MATCH(1,(All_India_Index_Upto_April23__1___1[Date]=$A50)*
              (All_India_Index_Upto_April23__1___1[Sector]="Rural+Urban"),0)),
    INDEX(All_India_Index_Upto_April23__1___1[Transport and communication],
      MATCH(1,(All_India_Index_Upto_April23__1___1[Date]=$A50)*
              (All_India_Index_Upto_April23__1___1[Sector]="Rural+Urban"),0)),
    INDEX(All_India_Index_Upto_April23__1___1[Recreation and amusement],
      MATCH(1,(All_India_Index_Upto_April23__1___1[Date]=$A50)*
              (All_India_Index_Upto_April23__1___1[Sector]="Rural+Urban"),0)),
    INDEX(All_India_Index_Upto_April23__1___1[Education],
      MATCH(1,(All_India_Index_Upto_April23__1___1[Date]=$A50)*
              (All_India_Index_Upto_April23__1___1[Sector]="Rural+Urban"),0)),
    INDEX(All_India_Index_Upto_April23__1___1[Personal care and effects],
      MATCH(1,(All_India_Index_Upto_April23__1___1[Date]=$A50)*
              (All_India_Index_Upto_April23__1___1[Sector]="Rural+Urban"),0)),
    INDEX(All_India_Index_Upto_April23__1___1[Miscellaneous],
      MATCH(1,(All_India_Index_Upto_April23__1___1[Date]=$A50)*
              (All_India_Index_Upto_April23__1___1[Sector]="Rural+Urban"),0))
  ),
"")</f>
        <v>156.54999999999998</v>
      </c>
      <c r="Z50" s="2" cm="1">
        <f t="array" ref="Z50">IFERROR(
  AVERAGE(
    INDEX(All_India_Index_Upto_April23__1___1[Pan, tobacco and intoxicants],
      MATCH(1,(All_India_Index_Upto_April23__1___1[Date]=EDATE($A50,-12))*
              (All_India_Index_Upto_April23__1___1[Sector]="Rural+Urban"),0)),
    INDEX(All_India_Index_Upto_April23__1___1[Clothing],
      MATCH(1,(All_India_Index_Upto_April23__1___1[Date]=EDATE($A50,-12))*
              (All_India_Index_Upto_April23__1___1[Sector]="Rural+Urban"),0)),
    INDEX(All_India_Index_Upto_April23__1___1[Footwear],
      MATCH(1,(All_India_Index_Upto_April23__1___1[Date]=EDATE($A50,-12))*
              (All_India_Index_Upto_April23__1___1[Sector]="Rural+Urban"),0)),
    INDEX(All_India_Index_Upto_April23__1___1[Clothing and footwear],
      MATCH(1,(All_India_Index_Upto_April23__1___1[Date]=EDATE($A50,-12))*
              (All_India_Index_Upto_April23__1___1[Sector]="Rural+Urban"),0)),
    INDEX(All_India_Index_Upto_April23__1___1[Housing],
      MATCH(1,(All_India_Index_Upto_April23__1___1[Date]=EDATE($A50,-12))*
              (All_India_Index_Upto_April23__1___1[Sector]="Rural+Urban"),0)),
    INDEX(All_India_Index_Upto_April23__1___1[Fuel and light],
      MATCH(1,(All_India_Index_Upto_April23__1___1[Date]=EDATE($A50,-12))*
              (All_India_Index_Upto_April23__1___1[Sector]="Rural+Urban"),0)),
    INDEX(All_India_Index_Upto_April23__1___1[Household goods and services],
      MATCH(1,(All_India_Index_Upto_April23__1___1[Date]=EDATE($A50,-12))*
              (All_India_Index_Upto_April23__1___1[Sector]="Rural+Urban"),0)),
    INDEX(All_India_Index_Upto_April23__1___1[Health],
      MATCH(1,(All_India_Index_Upto_April23__1___1[Date]=EDATE($A50,-12))*
              (All_India_Index_Upto_April23__1___1[Sector]="Rural+Urban"),0)),
    INDEX(All_India_Index_Upto_April23__1___1[Transport and communication],
      MATCH(1,(All_India_Index_Upto_April23__1___1[Date]=EDATE($A50,-12))*
              (All_India_Index_Upto_April23__1___1[Sector]="Rural+Urban"),0)),
    INDEX(All_India_Index_Upto_April23__1___1[Recreation and amusement],
      MATCH(1,(All_India_Index_Upto_April23__1___1[Date]=EDATE($A50,-12))*
              (All_India_Index_Upto_April23__1___1[Sector]="Rural+Urban"),0)),
    INDEX(All_India_Index_Upto_April23__1___1[Education],
      MATCH(1,(All_India_Index_Upto_April23__1___1[Date]=EDATE($A50,-12))*
              (All_India_Index_Upto_April23__1___1[Sector]="Rural+Urban"),0)),
    INDEX(All_India_Index_Upto_April23__1___1[Personal care and effects],
      MATCH(1,(All_India_Index_Upto_April23__1___1[Date]=EDATE($A50,-12))*
              (All_India_Index_Upto_April23__1___1[Sector]="Rural+Urban"),0)),
    INDEX(All_India_Index_Upto_April23__1___1[Miscellaneous],
      MATCH(1,(All_India_Index_Upto_April23__1___1[Date]=EDATE($A50,-12))*
              (All_India_Index_Upto_April23__1___1[Sector]="Rural+Urban"),0))
  ),
"")</f>
        <v>147.84166666666667</v>
      </c>
      <c r="AA50" s="8">
        <f t="shared" si="6"/>
        <v>5.8903105800123881E-2</v>
      </c>
      <c r="AB50" t="str">
        <f t="shared" si="7"/>
        <v>COVID</v>
      </c>
    </row>
    <row r="51" spans="1:28" x14ac:dyDescent="0.2">
      <c r="A51" s="22">
        <v>44256</v>
      </c>
      <c r="B51">
        <v>2021</v>
      </c>
      <c r="C51" t="s">
        <v>37</v>
      </c>
      <c r="D51" s="2" cm="1">
        <f t="array" ref="D51">IFERROR(
  INDEX(
    All_India_Index_Upto_April23__1___1[General index],
    MATCH(
      1,
      (All_India_Index_Upto_April23__1___1[Sector]="Rural+Urban") *
      (All_India_Index_Upto_April23__1___1[Date]=A51),
      0
    )
  ),
"")</f>
        <v>156.80000000000001</v>
      </c>
      <c r="E51" s="2" cm="1">
        <f t="array" ref="E51">IFERROR(
  INDEX(
    All_India_Index_Upto_April23__1___1[General index],
    MATCH(
      1,
      (All_India_Index_Upto_April23__1___1[Sector]="Rural+Urban") *
      (All_India_Index_Upto_April23__1___1[Date]=EDATE(A51,-12)),
      0
    )
  ),
"")</f>
        <v>148.6</v>
      </c>
      <c r="F51" s="8">
        <f t="shared" si="0"/>
        <v>5.5181695827725585E-2</v>
      </c>
      <c r="G51" t="str">
        <f t="shared" si="1"/>
        <v>COVID</v>
      </c>
      <c r="O51" s="2" cm="1">
        <f t="array" ref="O51">IFERROR(
  AVERAGE(
    INDEX(All_India_Index_Upto_April23__1___1[Cereals and products],
      MATCH(1,(All_India_Index_Upto_April23__1___1[Date]=$A51)*
              (All_India_Index_Upto_April23__1___1[Sector]="Rural+Urban"),0)),
    INDEX(All_India_Index_Upto_April23__1___1[Meat and fish],
      MATCH(1,(All_India_Index_Upto_April23__1___1[Date]=$A51)*
              (All_India_Index_Upto_April23__1___1[Sector]="Rural+Urban"),0)),
    INDEX(All_India_Index_Upto_April23__1___1[Egg],
      MATCH(1,(All_India_Index_Upto_April23__1___1[Date]=$A51)*
              (All_India_Index_Upto_April23__1___1[Sector]="Rural+Urban"),0)),
    INDEX(All_India_Index_Upto_April23__1___1[Milk and products],
      MATCH(1,(All_India_Index_Upto_April23__1___1[Date]=$A51)*
              (All_India_Index_Upto_April23__1___1[Sector]="Rural+Urban"),0)),
    INDEX(All_India_Index_Upto_April23__1___1[Oils and fats],
      MATCH(1,(All_India_Index_Upto_April23__1___1[Date]=$A51)*
              (All_India_Index_Upto_April23__1___1[Sector]="Rural+Urban"),0)),
    INDEX(All_India_Index_Upto_April23__1___1[Fruits],
      MATCH(1,(All_India_Index_Upto_April23__1___1[Date]=$A51)*
              (All_India_Index_Upto_April23__1___1[Sector]="Rural+Urban"),0)),
    INDEX(All_India_Index_Upto_April23__1___1[Vegetables],
      MATCH(1,(All_India_Index_Upto_April23__1___1[Date]=$A51)*
              (All_India_Index_Upto_April23__1___1[Sector]="Rural+Urban"),0)),
    INDEX(All_India_Index_Upto_April23__1___1[Pulses and products],
      MATCH(1,(All_India_Index_Upto_April23__1___1[Date]=$A51)*
              (All_India_Index_Upto_April23__1___1[Sector]="Rural+Urban"),0)),
    INDEX(All_India_Index_Upto_April23__1___1[Sugar and Confectionery],
      MATCH(1,(All_India_Index_Upto_April23__1___1[Date]=$A51)*
              (All_India_Index_Upto_April23__1___1[Sector]="Rural+Urban"),0)),
    INDEX(All_India_Index_Upto_April23__1___1[Spices],
      MATCH(1,(All_India_Index_Upto_April23__1___1[Date]=$A51)*
              (All_India_Index_Upto_April23__1___1[Sector]="Rural+Urban"),0)),
    INDEX(All_India_Index_Upto_April23__1___1[Non-alcoholic beverages],
      MATCH(1,(All_India_Index_Upto_April23__1___1[Date]=$A51)*
              (All_India_Index_Upto_April23__1___1[Sector]="Rural+Urban"),0)),
    INDEX(All_India_Index_Upto_April23__1___1[Prepared meals, snacks, sweets etc.],
      MATCH(1,(All_India_Index_Upto_April23__1___1[Date]=$A51)*
              (All_India_Index_Upto_April23__1___1[Sector]="Rural+Urban"),0))
  ),
"")</f>
        <v>156.89166666666665</v>
      </c>
      <c r="P51" s="2" cm="1">
        <f t="array" ref="P51">IFERROR(
  AVERAGE(
    INDEX(All_India_Index_Upto_April23__1___1[Cereals and products],
      MATCH(1,(All_India_Index_Upto_April23__1___1[Date]=EDATE($A51,-12))*
              (All_India_Index_Upto_April23__1___1[Sector]="Rural+Urban"),0)),
    INDEX(All_India_Index_Upto_April23__1___1[Meat and fish],
      MATCH(1,(All_India_Index_Upto_April23__1___1[Date]=EDATE($A51,-12))*
              (All_India_Index_Upto_April23__1___1[Sector]="Rural+Urban"),0)),
    INDEX(All_India_Index_Upto_April23__1___1[Egg],
      MATCH(1,(All_India_Index_Upto_April23__1___1[Date]=EDATE($A51,-12))*
              (All_India_Index_Upto_April23__1___1[Sector]="Rural+Urban"),0)),
    INDEX(All_India_Index_Upto_April23__1___1[Milk and products],
      MATCH(1,(All_India_Index_Upto_April23__1___1[Date]=EDATE($A51,-12))*
              (All_India_Index_Upto_April23__1___1[Sector]="Rural+Urban"),0)),
    INDEX(All_India_Index_Upto_April23__1___1[Oils and fats],
      MATCH(1,(All_India_Index_Upto_April23__1___1[Date]=EDATE($A51,-12))*
              (All_India_Index_Upto_April23__1___1[Sector]="Rural+Urban"),0)),
    INDEX(All_India_Index_Upto_April23__1___1[Fruits],
      MATCH(1,(All_India_Index_Upto_April23__1___1[Date]=EDATE($A51,-12))*
              (All_India_Index_Upto_April23__1___1[Sector]="Rural+Urban"),0)),
    INDEX(All_India_Index_Upto_April23__1___1[Vegetables],
      MATCH(1,(All_India_Index_Upto_April23__1___1[Date]=EDATE($A51,-12))*
              (All_India_Index_Upto_April23__1___1[Sector]="Rural+Urban"),0)),
    INDEX(All_India_Index_Upto_April23__1___1[Pulses and products],
      MATCH(1,(All_India_Index_Upto_April23__1___1[Date]=EDATE($A51,-12))*
              (All_India_Index_Upto_April23__1___1[Sector]="Rural+Urban"),0)),
    INDEX(All_India_Index_Upto_April23__1___1[Sugar and Confectionery],
      MATCH(1,(All_India_Index_Upto_April23__1___1[Date]=EDATE($A51,-12))*
              (All_India_Index_Upto_April23__1___1[Sector]="Rural+Urban"),0)),
    INDEX(All_India_Index_Upto_April23__1___1[Spices],
      MATCH(1,(All_India_Index_Upto_April23__1___1[Date]=EDATE($A51,-12))*
              (All_India_Index_Upto_April23__1___1[Sector]="Rural+Urban"),0)),
    INDEX(All_India_Index_Upto_April23__1___1[Non-alcoholic beverages],
      MATCH(1,(All_India_Index_Upto_April23__1___1[Date]=EDATE($A51,-12))*
              (All_India_Index_Upto_April23__1___1[Sector]="Rural+Urban"),0)),
    INDEX(All_India_Index_Upto_April23__1___1[Prepared meals, snacks, sweets etc.],
      MATCH(1,(All_India_Index_Upto_April23__1___1[Date]=EDATE($A51,-12))*
              (All_India_Index_Upto_April23__1___1[Sector]="Rural+Urban"),0))
  ),
"")</f>
        <v>145.54166666666666</v>
      </c>
      <c r="Q51" s="8">
        <f t="shared" si="2"/>
        <v>7.7984540509590569E-2</v>
      </c>
      <c r="R51" t="str">
        <f t="shared" si="3"/>
        <v>COVID</v>
      </c>
      <c r="T51" s="2" cm="1">
        <f t="array" ref="T51">IFERROR(
  INDEX(
    All_India_Index_Upto_April23__1___1[Health],
    MATCH(
      1,
      (All_India_Index_Upto_April23__1___1[Date]=$A51) *
      (All_India_Index_Upto_April23__1___1[Sector]="Rural+Urban"),
      0
    )
  ),
"")</f>
        <v>161.69999999999999</v>
      </c>
      <c r="U51" s="2" cm="1">
        <f t="array" ref="U51">IFERROR(
  INDEX(
    All_India_Index_Upto_April23__1___1[Health],
    MATCH(
      1,
      (All_India_Index_Upto_April23__1___1[Date]=EDATE($A51,-12)) *
      (All_India_Index_Upto_April23__1___1[Sector]="Rural+Urban"),
      0
    )
  ),
"")</f>
        <v>152.30000000000001</v>
      </c>
      <c r="V51" s="8">
        <f t="shared" si="4"/>
        <v>6.1720288903479817E-2</v>
      </c>
      <c r="W51" t="str">
        <f t="shared" si="5"/>
        <v>COVID</v>
      </c>
      <c r="Y51" s="2" cm="1">
        <f t="array" ref="Y51">IFERROR(
  AVERAGE(
    INDEX(All_India_Index_Upto_April23__1___1[Pan, tobacco and intoxicants],
      MATCH(1,(All_India_Index_Upto_April23__1___1[Date]=$A51)*
              (All_India_Index_Upto_April23__1___1[Sector]="Rural+Urban"),0)),
    INDEX(All_India_Index_Upto_April23__1___1[Clothing],
      MATCH(1,(All_India_Index_Upto_April23__1___1[Date]=$A51)*
              (All_India_Index_Upto_April23__1___1[Sector]="Rural+Urban"),0)),
    INDEX(All_India_Index_Upto_April23__1___1[Footwear],
      MATCH(1,(All_India_Index_Upto_April23__1___1[Date]=$A51)*
              (All_India_Index_Upto_April23__1___1[Sector]="Rural+Urban"),0)),
    INDEX(All_India_Index_Upto_April23__1___1[Clothing and footwear],
      MATCH(1,(All_India_Index_Upto_April23__1___1[Date]=$A51)*
              (All_India_Index_Upto_April23__1___1[Sector]="Rural+Urban"),0)),
    INDEX(All_India_Index_Upto_April23__1___1[Housing],
      MATCH(1,(All_India_Index_Upto_April23__1___1[Date]=$A51)*
              (All_India_Index_Upto_April23__1___1[Sector]="Rural+Urban"),0)),
    INDEX(All_India_Index_Upto_April23__1___1[Fuel and light],
      MATCH(1,(All_India_Index_Upto_April23__1___1[Date]=$A51)*
              (All_India_Index_Upto_April23__1___1[Sector]="Rural+Urban"),0)),
    INDEX(All_India_Index_Upto_April23__1___1[Household goods and services],
      MATCH(1,(All_India_Index_Upto_April23__1___1[Date]=$A51)*
              (All_India_Index_Upto_April23__1___1[Sector]="Rural+Urban"),0)),
    INDEX(All_India_Index_Upto_April23__1___1[Health],
      MATCH(1,(All_India_Index_Upto_April23__1___1[Date]=$A51)*
              (All_India_Index_Upto_April23__1___1[Sector]="Rural+Urban"),0)),
    INDEX(All_India_Index_Upto_April23__1___1[Transport and communication],
      MATCH(1,(All_India_Index_Upto_April23__1___1[Date]=$A51)*
              (All_India_Index_Upto_April23__1___1[Sector]="Rural+Urban"),0)),
    INDEX(All_India_Index_Upto_April23__1___1[Recreation and amusement],
      MATCH(1,(All_India_Index_Upto_April23__1___1[Date]=$A51)*
              (All_India_Index_Upto_April23__1___1[Sector]="Rural+Urban"),0)),
    INDEX(All_India_Index_Upto_April23__1___1[Education],
      MATCH(1,(All_India_Index_Upto_April23__1___1[Date]=$A51)*
              (All_India_Index_Upto_April23__1___1[Sector]="Rural+Urban"),0)),
    INDEX(All_India_Index_Upto_April23__1___1[Personal care and effects],
      MATCH(1,(All_India_Index_Upto_April23__1___1[Date]=$A51)*
              (All_India_Index_Upto_April23__1___1[Sector]="Rural+Urban"),0)),
    INDEX(All_India_Index_Upto_April23__1___1[Miscellaneous],
      MATCH(1,(All_India_Index_Upto_April23__1___1[Date]=$A51)*
              (All_India_Index_Upto_April23__1___1[Sector]="Rural+Urban"),0))
  ),
"")</f>
        <v>157.1</v>
      </c>
      <c r="Z51" s="2" cm="1">
        <f t="array" ref="Z51">IFERROR(
  AVERAGE(
    INDEX(All_India_Index_Upto_April23__1___1[Pan, tobacco and intoxicants],
      MATCH(1,(All_India_Index_Upto_April23__1___1[Date]=EDATE($A51,-12))*
              (All_India_Index_Upto_April23__1___1[Sector]="Rural+Urban"),0)),
    INDEX(All_India_Index_Upto_April23__1___1[Clothing],
      MATCH(1,(All_India_Index_Upto_April23__1___1[Date]=EDATE($A51,-12))*
              (All_India_Index_Upto_April23__1___1[Sector]="Rural+Urban"),0)),
    INDEX(All_India_Index_Upto_April23__1___1[Footwear],
      MATCH(1,(All_India_Index_Upto_April23__1___1[Date]=EDATE($A51,-12))*
              (All_India_Index_Upto_April23__1___1[Sector]="Rural+Urban"),0)),
    INDEX(All_India_Index_Upto_April23__1___1[Clothing and footwear],
      MATCH(1,(All_India_Index_Upto_April23__1___1[Date]=EDATE($A51,-12))*
              (All_India_Index_Upto_April23__1___1[Sector]="Rural+Urban"),0)),
    INDEX(All_India_Index_Upto_April23__1___1[Housing],
      MATCH(1,(All_India_Index_Upto_April23__1___1[Date]=EDATE($A51,-12))*
              (All_India_Index_Upto_April23__1___1[Sector]="Rural+Urban"),0)),
    INDEX(All_India_Index_Upto_April23__1___1[Fuel and light],
      MATCH(1,(All_India_Index_Upto_April23__1___1[Date]=EDATE($A51,-12))*
              (All_India_Index_Upto_April23__1___1[Sector]="Rural+Urban"),0)),
    INDEX(All_India_Index_Upto_April23__1___1[Household goods and services],
      MATCH(1,(All_India_Index_Upto_April23__1___1[Date]=EDATE($A51,-12))*
              (All_India_Index_Upto_April23__1___1[Sector]="Rural+Urban"),0)),
    INDEX(All_India_Index_Upto_April23__1___1[Health],
      MATCH(1,(All_India_Index_Upto_April23__1___1[Date]=EDATE($A51,-12))*
              (All_India_Index_Upto_April23__1___1[Sector]="Rural+Urban"),0)),
    INDEX(All_India_Index_Upto_April23__1___1[Transport and communication],
      MATCH(1,(All_India_Index_Upto_April23__1___1[Date]=EDATE($A51,-12))*
              (All_India_Index_Upto_April23__1___1[Sector]="Rural+Urban"),0)),
    INDEX(All_India_Index_Upto_April23__1___1[Recreation and amusement],
      MATCH(1,(All_India_Index_Upto_April23__1___1[Date]=EDATE($A51,-12))*
              (All_India_Index_Upto_April23__1___1[Sector]="Rural+Urban"),0)),
    INDEX(All_India_Index_Upto_April23__1___1[Education],
      MATCH(1,(All_India_Index_Upto_April23__1___1[Date]=EDATE($A51,-12))*
              (All_India_Index_Upto_April23__1___1[Sector]="Rural+Urban"),0)),
    INDEX(All_India_Index_Upto_April23__1___1[Personal care and effects],
      MATCH(1,(All_India_Index_Upto_April23__1___1[Date]=EDATE($A51,-12))*
              (All_India_Index_Upto_April23__1___1[Sector]="Rural+Urban"),0)),
    INDEX(All_India_Index_Upto_April23__1___1[Miscellaneous],
      MATCH(1,(All_India_Index_Upto_April23__1___1[Date]=EDATE($A51,-12))*
              (All_India_Index_Upto_April23__1___1[Sector]="Rural+Urban"),0))
  ),
"")</f>
        <v>148.36666666666665</v>
      </c>
      <c r="AA51" s="8">
        <f t="shared" si="6"/>
        <v>5.886317681419917E-2</v>
      </c>
      <c r="AB51" t="str">
        <f t="shared" si="7"/>
        <v>COVID</v>
      </c>
    </row>
    <row r="52" spans="1:28" x14ac:dyDescent="0.2">
      <c r="A52" s="22">
        <v>44287</v>
      </c>
      <c r="B52">
        <v>2021</v>
      </c>
      <c r="C52" t="s">
        <v>38</v>
      </c>
      <c r="D52" s="2" cm="1">
        <f t="array" ref="D52">IFERROR(
  INDEX(
    All_India_Index_Upto_April23__1___1[General index],
    MATCH(
      1,
      (All_India_Index_Upto_April23__1___1[Sector]="Rural+Urban") *
      (All_India_Index_Upto_April23__1___1[Date]=A52),
      0
    )
  ),
"")</f>
        <v>157.80000000000001</v>
      </c>
      <c r="E52" s="2" cm="1">
        <f t="array" ref="E52">IFERROR(
  INDEX(
    All_India_Index_Upto_April23__1___1[General index],
    MATCH(
      1,
      (All_India_Index_Upto_April23__1___1[Sector]="Rural+Urban") *
      (All_India_Index_Upto_April23__1___1[Date]=EDATE(A52,-12)),
      0
    )
  ),
"")</f>
        <v>153.30000000000001</v>
      </c>
      <c r="F52" s="8">
        <f t="shared" si="0"/>
        <v>2.9354207436399271E-2</v>
      </c>
      <c r="G52" t="str">
        <f t="shared" si="1"/>
        <v>COVID</v>
      </c>
      <c r="O52" s="2" cm="1">
        <f t="array" ref="O52">IFERROR(
  AVERAGE(
    INDEX(All_India_Index_Upto_April23__1___1[Cereals and products],
      MATCH(1,(All_India_Index_Upto_April23__1___1[Date]=$A52)*
              (All_India_Index_Upto_April23__1___1[Sector]="Rural+Urban"),0)),
    INDEX(All_India_Index_Upto_April23__1___1[Meat and fish],
      MATCH(1,(All_India_Index_Upto_April23__1___1[Date]=$A52)*
              (All_India_Index_Upto_April23__1___1[Sector]="Rural+Urban"),0)),
    INDEX(All_India_Index_Upto_April23__1___1[Egg],
      MATCH(1,(All_India_Index_Upto_April23__1___1[Date]=$A52)*
              (All_India_Index_Upto_April23__1___1[Sector]="Rural+Urban"),0)),
    INDEX(All_India_Index_Upto_April23__1___1[Milk and products],
      MATCH(1,(All_India_Index_Upto_April23__1___1[Date]=$A52)*
              (All_India_Index_Upto_April23__1___1[Sector]="Rural+Urban"),0)),
    INDEX(All_India_Index_Upto_April23__1___1[Oils and fats],
      MATCH(1,(All_India_Index_Upto_April23__1___1[Date]=$A52)*
              (All_India_Index_Upto_April23__1___1[Sector]="Rural+Urban"),0)),
    INDEX(All_India_Index_Upto_April23__1___1[Fruits],
      MATCH(1,(All_India_Index_Upto_April23__1___1[Date]=$A52)*
              (All_India_Index_Upto_April23__1___1[Sector]="Rural+Urban"),0)),
    INDEX(All_India_Index_Upto_April23__1___1[Vegetables],
      MATCH(1,(All_India_Index_Upto_April23__1___1[Date]=$A52)*
              (All_India_Index_Upto_April23__1___1[Sector]="Rural+Urban"),0)),
    INDEX(All_India_Index_Upto_April23__1___1[Pulses and products],
      MATCH(1,(All_India_Index_Upto_April23__1___1[Date]=$A52)*
              (All_India_Index_Upto_April23__1___1[Sector]="Rural+Urban"),0)),
    INDEX(All_India_Index_Upto_April23__1___1[Sugar and Confectionery],
      MATCH(1,(All_India_Index_Upto_April23__1___1[Date]=$A52)*
              (All_India_Index_Upto_April23__1___1[Sector]="Rural+Urban"),0)),
    INDEX(All_India_Index_Upto_April23__1___1[Spices],
      MATCH(1,(All_India_Index_Upto_April23__1___1[Date]=$A52)*
              (All_India_Index_Upto_April23__1___1[Sector]="Rural+Urban"),0)),
    INDEX(All_India_Index_Upto_April23__1___1[Non-alcoholic beverages],
      MATCH(1,(All_India_Index_Upto_April23__1___1[Date]=$A52)*
              (All_India_Index_Upto_April23__1___1[Sector]="Rural+Urban"),0)),
    INDEX(All_India_Index_Upto_April23__1___1[Prepared meals, snacks, sweets etc.],
      MATCH(1,(All_India_Index_Upto_April23__1___1[Date]=$A52)*
              (All_India_Index_Upto_April23__1___1[Sector]="Rural+Urban"),0))
  ),
"")</f>
        <v>158.84166666666667</v>
      </c>
      <c r="P52" s="2" cm="1">
        <f t="array" ref="P52">IFERROR(
  AVERAGE(
    INDEX(All_India_Index_Upto_April23__1___1[Cereals and products],
      MATCH(1,(All_India_Index_Upto_April23__1___1[Date]=EDATE($A52,-12))*
              (All_India_Index_Upto_April23__1___1[Sector]="Rural+Urban"),0)),
    INDEX(All_India_Index_Upto_April23__1___1[Meat and fish],
      MATCH(1,(All_India_Index_Upto_April23__1___1[Date]=EDATE($A52,-12))*
              (All_India_Index_Upto_April23__1___1[Sector]="Rural+Urban"),0)),
    INDEX(All_India_Index_Upto_April23__1___1[Egg],
      MATCH(1,(All_India_Index_Upto_April23__1___1[Date]=EDATE($A52,-12))*
              (All_India_Index_Upto_April23__1___1[Sector]="Rural+Urban"),0)),
    INDEX(All_India_Index_Upto_April23__1___1[Milk and products],
      MATCH(1,(All_India_Index_Upto_April23__1___1[Date]=EDATE($A52,-12))*
              (All_India_Index_Upto_April23__1___1[Sector]="Rural+Urban"),0)),
    INDEX(All_India_Index_Upto_April23__1___1[Oils and fats],
      MATCH(1,(All_India_Index_Upto_April23__1___1[Date]=EDATE($A52,-12))*
              (All_India_Index_Upto_April23__1___1[Sector]="Rural+Urban"),0)),
    INDEX(All_India_Index_Upto_April23__1___1[Fruits],
      MATCH(1,(All_India_Index_Upto_April23__1___1[Date]=EDATE($A52,-12))*
              (All_India_Index_Upto_April23__1___1[Sector]="Rural+Urban"),0)),
    INDEX(All_India_Index_Upto_April23__1___1[Vegetables],
      MATCH(1,(All_India_Index_Upto_April23__1___1[Date]=EDATE($A52,-12))*
              (All_India_Index_Upto_April23__1___1[Sector]="Rural+Urban"),0)),
    INDEX(All_India_Index_Upto_April23__1___1[Pulses and products],
      MATCH(1,(All_India_Index_Upto_April23__1___1[Date]=EDATE($A52,-12))*
              (All_India_Index_Upto_April23__1___1[Sector]="Rural+Urban"),0)),
    INDEX(All_India_Index_Upto_April23__1___1[Sugar and Confectionery],
      MATCH(1,(All_India_Index_Upto_April23__1___1[Date]=EDATE($A52,-12))*
              (All_India_Index_Upto_April23__1___1[Sector]="Rural+Urban"),0)),
    INDEX(All_India_Index_Upto_April23__1___1[Spices],
      MATCH(1,(All_India_Index_Upto_April23__1___1[Date]=EDATE($A52,-12))*
              (All_India_Index_Upto_April23__1___1[Sector]="Rural+Urban"),0)),
    INDEX(All_India_Index_Upto_April23__1___1[Non-alcoholic beverages],
      MATCH(1,(All_India_Index_Upto_April23__1___1[Date]=EDATE($A52,-12))*
              (All_India_Index_Upto_April23__1___1[Sector]="Rural+Urban"),0)),
    INDEX(All_India_Index_Upto_April23__1___1[Prepared meals, snacks, sweets etc.],
      MATCH(1,(All_India_Index_Upto_April23__1___1[Date]=EDATE($A52,-12))*
              (All_India_Index_Upto_April23__1___1[Sector]="Rural+Urban"),0))
  ),
"")</f>
        <v>150.86249999999998</v>
      </c>
      <c r="Q52" s="8">
        <f t="shared" si="2"/>
        <v>5.289032507526182E-2</v>
      </c>
      <c r="R52" t="str">
        <f t="shared" si="3"/>
        <v>COVID</v>
      </c>
      <c r="T52" s="2" cm="1">
        <f t="array" ref="T52">IFERROR(
  INDEX(
    All_India_Index_Upto_April23__1___1[Health],
    MATCH(
      1,
      (All_India_Index_Upto_April23__1___1[Date]=$A52) *
      (All_India_Index_Upto_April23__1___1[Sector]="Rural+Urban"),
      0
    )
  ),
"")</f>
        <v>162.30000000000001</v>
      </c>
      <c r="U52" s="2" cm="1">
        <f t="array" ref="U52">IFERROR(
  INDEX(
    All_India_Index_Upto_April23__1___1[Health],
    MATCH(
      1,
      (All_India_Index_Upto_April23__1___1[Date]=EDATE($A52,-12)) *
      (All_India_Index_Upto_April23__1___1[Sector]="Rural+Urban"),
      0
    )
  ),
"")</f>
        <v>150.69999999999999</v>
      </c>
      <c r="V52" s="8">
        <f t="shared" si="4"/>
        <v>7.6974120769741361E-2</v>
      </c>
      <c r="W52" t="str">
        <f t="shared" si="5"/>
        <v>COVID</v>
      </c>
      <c r="Y52" s="2" cm="1">
        <f t="array" ref="Y52">IFERROR(
  AVERAGE(
    INDEX(All_India_Index_Upto_April23__1___1[Pan, tobacco and intoxicants],
      MATCH(1,(All_India_Index_Upto_April23__1___1[Date]=$A52)*
              (All_India_Index_Upto_April23__1___1[Sector]="Rural+Urban"),0)),
    INDEX(All_India_Index_Upto_April23__1___1[Clothing],
      MATCH(1,(All_India_Index_Upto_April23__1___1[Date]=$A52)*
              (All_India_Index_Upto_April23__1___1[Sector]="Rural+Urban"),0)),
    INDEX(All_India_Index_Upto_April23__1___1[Footwear],
      MATCH(1,(All_India_Index_Upto_April23__1___1[Date]=$A52)*
              (All_India_Index_Upto_April23__1___1[Sector]="Rural+Urban"),0)),
    INDEX(All_India_Index_Upto_April23__1___1[Clothing and footwear],
      MATCH(1,(All_India_Index_Upto_April23__1___1[Date]=$A52)*
              (All_India_Index_Upto_April23__1___1[Sector]="Rural+Urban"),0)),
    INDEX(All_India_Index_Upto_April23__1___1[Housing],
      MATCH(1,(All_India_Index_Upto_April23__1___1[Date]=$A52)*
              (All_India_Index_Upto_April23__1___1[Sector]="Rural+Urban"),0)),
    INDEX(All_India_Index_Upto_April23__1___1[Fuel and light],
      MATCH(1,(All_India_Index_Upto_April23__1___1[Date]=$A52)*
              (All_India_Index_Upto_April23__1___1[Sector]="Rural+Urban"),0)),
    INDEX(All_India_Index_Upto_April23__1___1[Household goods and services],
      MATCH(1,(All_India_Index_Upto_April23__1___1[Date]=$A52)*
              (All_India_Index_Upto_April23__1___1[Sector]="Rural+Urban"),0)),
    INDEX(All_India_Index_Upto_April23__1___1[Health],
      MATCH(1,(All_India_Index_Upto_April23__1___1[Date]=$A52)*
              (All_India_Index_Upto_April23__1___1[Sector]="Rural+Urban"),0)),
    INDEX(All_India_Index_Upto_April23__1___1[Transport and communication],
      MATCH(1,(All_India_Index_Upto_April23__1___1[Date]=$A52)*
              (All_India_Index_Upto_April23__1___1[Sector]="Rural+Urban"),0)),
    INDEX(All_India_Index_Upto_April23__1___1[Recreation and amusement],
      MATCH(1,(All_India_Index_Upto_April23__1___1[Date]=$A52)*
              (All_India_Index_Upto_April23__1___1[Sector]="Rural+Urban"),0)),
    INDEX(All_India_Index_Upto_April23__1___1[Education],
      MATCH(1,(All_India_Index_Upto_April23__1___1[Date]=$A52)*
              (All_India_Index_Upto_April23__1___1[Sector]="Rural+Urban"),0)),
    INDEX(All_India_Index_Upto_April23__1___1[Personal care and effects],
      MATCH(1,(All_India_Index_Upto_April23__1___1[Date]=$A52)*
              (All_India_Index_Upto_April23__1___1[Sector]="Rural+Urban"),0)),
    INDEX(All_India_Index_Upto_April23__1___1[Miscellaneous],
      MATCH(1,(All_India_Index_Upto_April23__1___1[Date]=$A52)*
              (All_India_Index_Upto_April23__1___1[Sector]="Rural+Urban"),0))
  ),
"")</f>
        <v>157.75000000000003</v>
      </c>
      <c r="Z52" s="2" cm="1">
        <f t="array" ref="Z52">IFERROR(
  AVERAGE(
    INDEX(All_India_Index_Upto_April23__1___1[Pan, tobacco and intoxicants],
      MATCH(1,(All_India_Index_Upto_April23__1___1[Date]=EDATE($A52,-12))*
              (All_India_Index_Upto_April23__1___1[Sector]="Rural+Urban"),0)),
    INDEX(All_India_Index_Upto_April23__1___1[Clothing],
      MATCH(1,(All_India_Index_Upto_April23__1___1[Date]=EDATE($A52,-12))*
              (All_India_Index_Upto_April23__1___1[Sector]="Rural+Urban"),0)),
    INDEX(All_India_Index_Upto_April23__1___1[Footwear],
      MATCH(1,(All_India_Index_Upto_April23__1___1[Date]=EDATE($A52,-12))*
              (All_India_Index_Upto_April23__1___1[Sector]="Rural+Urban"),0)),
    INDEX(All_India_Index_Upto_April23__1___1[Clothing and footwear],
      MATCH(1,(All_India_Index_Upto_April23__1___1[Date]=EDATE($A52,-12))*
              (All_India_Index_Upto_April23__1___1[Sector]="Rural+Urban"),0)),
    INDEX(All_India_Index_Upto_April23__1___1[Housing],
      MATCH(1,(All_India_Index_Upto_April23__1___1[Date]=EDATE($A52,-12))*
              (All_India_Index_Upto_April23__1___1[Sector]="Rural+Urban"),0)),
    INDEX(All_India_Index_Upto_April23__1___1[Fuel and light],
      MATCH(1,(All_India_Index_Upto_April23__1___1[Date]=EDATE($A52,-12))*
              (All_India_Index_Upto_April23__1___1[Sector]="Rural+Urban"),0)),
    INDEX(All_India_Index_Upto_April23__1___1[Household goods and services],
      MATCH(1,(All_India_Index_Upto_April23__1___1[Date]=EDATE($A52,-12))*
              (All_India_Index_Upto_April23__1___1[Sector]="Rural+Urban"),0)),
    INDEX(All_India_Index_Upto_April23__1___1[Health],
      MATCH(1,(All_India_Index_Upto_April23__1___1[Date]=EDATE($A52,-12))*
              (All_India_Index_Upto_April23__1___1[Sector]="Rural+Urban"),0)),
    INDEX(All_India_Index_Upto_April23__1___1[Transport and communication],
      MATCH(1,(All_India_Index_Upto_April23__1___1[Date]=EDATE($A52,-12))*
              (All_India_Index_Upto_April23__1___1[Sector]="Rural+Urban"),0)),
    INDEX(All_India_Index_Upto_April23__1___1[Recreation and amusement],
      MATCH(1,(All_India_Index_Upto_April23__1___1[Date]=EDATE($A52,-12))*
              (All_India_Index_Upto_April23__1___1[Sector]="Rural+Urban"),0)),
    INDEX(All_India_Index_Upto_April23__1___1[Education],
      MATCH(1,(All_India_Index_Upto_April23__1___1[Date]=EDATE($A52,-12))*
              (All_India_Index_Upto_April23__1___1[Sector]="Rural+Urban"),0)),
    INDEX(All_India_Index_Upto_April23__1___1[Personal care and effects],
      MATCH(1,(All_India_Index_Upto_April23__1___1[Date]=EDATE($A52,-12))*
              (All_India_Index_Upto_April23__1___1[Sector]="Rural+Urban"),0)),
    INDEX(All_India_Index_Upto_April23__1___1[Miscellaneous],
      MATCH(1,(All_India_Index_Upto_April23__1___1[Date]=EDATE($A52,-12))*
              (All_India_Index_Upto_April23__1___1[Sector]="Rural+Urban"),0))
  ),
"")</f>
        <v>149.9291666666667</v>
      </c>
      <c r="AA52" s="8">
        <f t="shared" si="6"/>
        <v>5.2163521663007466E-2</v>
      </c>
      <c r="AB52" t="str">
        <f t="shared" si="7"/>
        <v>COVID</v>
      </c>
    </row>
    <row r="53" spans="1:28" x14ac:dyDescent="0.2">
      <c r="A53" s="22">
        <v>44317</v>
      </c>
      <c r="B53">
        <v>2021</v>
      </c>
      <c r="C53" t="s">
        <v>40</v>
      </c>
      <c r="D53" s="2" cm="1">
        <f t="array" ref="D53">IFERROR(
  INDEX(
    All_India_Index_Upto_April23__1___1[General index],
    MATCH(
      1,
      (All_India_Index_Upto_April23__1___1[Sector]="Rural+Urban") *
      (All_India_Index_Upto_April23__1___1[Date]=A53),
      0
    )
  ),
"")</f>
        <v>160.4</v>
      </c>
      <c r="E53" s="2" cm="1">
        <f t="array" ref="E53">IFERROR(
  INDEX(
    All_India_Index_Upto_April23__1___1[General index],
    MATCH(
      1,
      (All_India_Index_Upto_April23__1___1[Sector]="Rural+Urban") *
      (All_India_Index_Upto_April23__1___1[Date]=EDATE(A53,-12)),
      0
    )
  ),
"")</f>
        <v>151.5</v>
      </c>
      <c r="F53" s="8">
        <f t="shared" si="0"/>
        <v>5.8745874587458724E-2</v>
      </c>
      <c r="G53" t="str">
        <f t="shared" si="1"/>
        <v>COVID</v>
      </c>
      <c r="O53" s="2" cm="1">
        <f t="array" ref="O53">IFERROR(
  AVERAGE(
    INDEX(All_India_Index_Upto_April23__1___1[Cereals and products],
      MATCH(1,(All_India_Index_Upto_April23__1___1[Date]=$A53)*
              (All_India_Index_Upto_April23__1___1[Sector]="Rural+Urban"),0)),
    INDEX(All_India_Index_Upto_April23__1___1[Meat and fish],
      MATCH(1,(All_India_Index_Upto_April23__1___1[Date]=$A53)*
              (All_India_Index_Upto_April23__1___1[Sector]="Rural+Urban"),0)),
    INDEX(All_India_Index_Upto_April23__1___1[Egg],
      MATCH(1,(All_India_Index_Upto_April23__1___1[Date]=$A53)*
              (All_India_Index_Upto_April23__1___1[Sector]="Rural+Urban"),0)),
    INDEX(All_India_Index_Upto_April23__1___1[Milk and products],
      MATCH(1,(All_India_Index_Upto_April23__1___1[Date]=$A53)*
              (All_India_Index_Upto_April23__1___1[Sector]="Rural+Urban"),0)),
    INDEX(All_India_Index_Upto_April23__1___1[Oils and fats],
      MATCH(1,(All_India_Index_Upto_April23__1___1[Date]=$A53)*
              (All_India_Index_Upto_April23__1___1[Sector]="Rural+Urban"),0)),
    INDEX(All_India_Index_Upto_April23__1___1[Fruits],
      MATCH(1,(All_India_Index_Upto_April23__1___1[Date]=$A53)*
              (All_India_Index_Upto_April23__1___1[Sector]="Rural+Urban"),0)),
    INDEX(All_India_Index_Upto_April23__1___1[Vegetables],
      MATCH(1,(All_India_Index_Upto_April23__1___1[Date]=$A53)*
              (All_India_Index_Upto_April23__1___1[Sector]="Rural+Urban"),0)),
    INDEX(All_India_Index_Upto_April23__1___1[Pulses and products],
      MATCH(1,(All_India_Index_Upto_April23__1___1[Date]=$A53)*
              (All_India_Index_Upto_April23__1___1[Sector]="Rural+Urban"),0)),
    INDEX(All_India_Index_Upto_April23__1___1[Sugar and Confectionery],
      MATCH(1,(All_India_Index_Upto_April23__1___1[Date]=$A53)*
              (All_India_Index_Upto_April23__1___1[Sector]="Rural+Urban"),0)),
    INDEX(All_India_Index_Upto_April23__1___1[Spices],
      MATCH(1,(All_India_Index_Upto_April23__1___1[Date]=$A53)*
              (All_India_Index_Upto_April23__1___1[Sector]="Rural+Urban"),0)),
    INDEX(All_India_Index_Upto_April23__1___1[Non-alcoholic beverages],
      MATCH(1,(All_India_Index_Upto_April23__1___1[Date]=$A53)*
              (All_India_Index_Upto_April23__1___1[Sector]="Rural+Urban"),0)),
    INDEX(All_India_Index_Upto_April23__1___1[Prepared meals, snacks, sweets etc.],
      MATCH(1,(All_India_Index_Upto_April23__1___1[Date]=$A53)*
              (All_India_Index_Upto_April23__1___1[Sector]="Rural+Urban"),0))
  ),
"")</f>
        <v>162.08333333333334</v>
      </c>
      <c r="P53" s="2" cm="1">
        <f t="array" ref="P53">IFERROR(
  AVERAGE(
    INDEX(All_India_Index_Upto_April23__1___1[Cereals and products],
      MATCH(1,(All_India_Index_Upto_April23__1___1[Date]=EDATE($A53,-12))*
              (All_India_Index_Upto_April23__1___1[Sector]="Rural+Urban"),0)),
    INDEX(All_India_Index_Upto_April23__1___1[Meat and fish],
      MATCH(1,(All_India_Index_Upto_April23__1___1[Date]=EDATE($A53,-12))*
              (All_India_Index_Upto_April23__1___1[Sector]="Rural+Urban"),0)),
    INDEX(All_India_Index_Upto_April23__1___1[Egg],
      MATCH(1,(All_India_Index_Upto_April23__1___1[Date]=EDATE($A53,-12))*
              (All_India_Index_Upto_April23__1___1[Sector]="Rural+Urban"),0)),
    INDEX(All_India_Index_Upto_April23__1___1[Milk and products],
      MATCH(1,(All_India_Index_Upto_April23__1___1[Date]=EDATE($A53,-12))*
              (All_India_Index_Upto_April23__1___1[Sector]="Rural+Urban"),0)),
    INDEX(All_India_Index_Upto_April23__1___1[Oils and fats],
      MATCH(1,(All_India_Index_Upto_April23__1___1[Date]=EDATE($A53,-12))*
              (All_India_Index_Upto_April23__1___1[Sector]="Rural+Urban"),0)),
    INDEX(All_India_Index_Upto_April23__1___1[Fruits],
      MATCH(1,(All_India_Index_Upto_April23__1___1[Date]=EDATE($A53,-12))*
              (All_India_Index_Upto_April23__1___1[Sector]="Rural+Urban"),0)),
    INDEX(All_India_Index_Upto_April23__1___1[Vegetables],
      MATCH(1,(All_India_Index_Upto_April23__1___1[Date]=EDATE($A53,-12))*
              (All_India_Index_Upto_April23__1___1[Sector]="Rural+Urban"),0)),
    INDEX(All_India_Index_Upto_April23__1___1[Pulses and products],
      MATCH(1,(All_India_Index_Upto_April23__1___1[Date]=EDATE($A53,-12))*
              (All_India_Index_Upto_April23__1___1[Sector]="Rural+Urban"),0)),
    INDEX(All_India_Index_Upto_April23__1___1[Sugar and Confectionery],
      MATCH(1,(All_India_Index_Upto_April23__1___1[Date]=EDATE($A53,-12))*
              (All_India_Index_Upto_April23__1___1[Sector]="Rural+Urban"),0)),
    INDEX(All_India_Index_Upto_April23__1___1[Spices],
      MATCH(1,(All_India_Index_Upto_April23__1___1[Date]=EDATE($A53,-12))*
              (All_India_Index_Upto_April23__1___1[Sector]="Rural+Urban"),0)),
    INDEX(All_India_Index_Upto_April23__1___1[Non-alcoholic beverages],
      MATCH(1,(All_India_Index_Upto_April23__1___1[Date]=EDATE($A53,-12))*
              (All_India_Index_Upto_April23__1___1[Sector]="Rural+Urban"),0)),
    INDEX(All_India_Index_Upto_April23__1___1[Prepared meals, snacks, sweets etc.],
      MATCH(1,(All_India_Index_Upto_April23__1___1[Date]=EDATE($A53,-12))*
              (All_India_Index_Upto_April23__1___1[Sector]="Rural+Urban"),0))
  ),
"")</f>
        <v>149.95000000000002</v>
      </c>
      <c r="Q53" s="8">
        <f t="shared" si="2"/>
        <v>8.091586084250299E-2</v>
      </c>
      <c r="R53" t="str">
        <f t="shared" si="3"/>
        <v>COVID</v>
      </c>
      <c r="T53" s="2" cm="1">
        <f t="array" ref="T53">IFERROR(
  INDEX(
    All_India_Index_Upto_April23__1___1[Health],
    MATCH(
      1,
      (All_India_Index_Upto_April23__1___1[Date]=$A53) *
      (All_India_Index_Upto_April23__1___1[Sector]="Rural+Urban"),
      0
    )
  ),
"")</f>
        <v>165.8</v>
      </c>
      <c r="U53" s="2" cm="1">
        <f t="array" ref="U53">IFERROR(
  INDEX(
    All_India_Index_Upto_April23__1___1[Health],
    MATCH(
      1,
      (All_India_Index_Upto_April23__1___1[Date]=EDATE($A53,-12)) *
      (All_India_Index_Upto_April23__1___1[Sector]="Rural+Urban"),
      0
    )
  ),
"")</f>
        <v>153.35</v>
      </c>
      <c r="V53" s="8">
        <f t="shared" si="4"/>
        <v>8.1186827518748075E-2</v>
      </c>
      <c r="W53" t="str">
        <f t="shared" si="5"/>
        <v>COVID</v>
      </c>
      <c r="Y53" s="2" cm="1">
        <f t="array" ref="Y53">IFERROR(
  AVERAGE(
    INDEX(All_India_Index_Upto_April23__1___1[Pan, tobacco and intoxicants],
      MATCH(1,(All_India_Index_Upto_April23__1___1[Date]=$A53)*
              (All_India_Index_Upto_April23__1___1[Sector]="Rural+Urban"),0)),
    INDEX(All_India_Index_Upto_April23__1___1[Clothing],
      MATCH(1,(All_India_Index_Upto_April23__1___1[Date]=$A53)*
              (All_India_Index_Upto_April23__1___1[Sector]="Rural+Urban"),0)),
    INDEX(All_India_Index_Upto_April23__1___1[Footwear],
      MATCH(1,(All_India_Index_Upto_April23__1___1[Date]=$A53)*
              (All_India_Index_Upto_April23__1___1[Sector]="Rural+Urban"),0)),
    INDEX(All_India_Index_Upto_April23__1___1[Clothing and footwear],
      MATCH(1,(All_India_Index_Upto_April23__1___1[Date]=$A53)*
              (All_India_Index_Upto_April23__1___1[Sector]="Rural+Urban"),0)),
    INDEX(All_India_Index_Upto_April23__1___1[Housing],
      MATCH(1,(All_India_Index_Upto_April23__1___1[Date]=$A53)*
              (All_India_Index_Upto_April23__1___1[Sector]="Rural+Urban"),0)),
    INDEX(All_India_Index_Upto_April23__1___1[Fuel and light],
      MATCH(1,(All_India_Index_Upto_April23__1___1[Date]=$A53)*
              (All_India_Index_Upto_April23__1___1[Sector]="Rural+Urban"),0)),
    INDEX(All_India_Index_Upto_April23__1___1[Household goods and services],
      MATCH(1,(All_India_Index_Upto_April23__1___1[Date]=$A53)*
              (All_India_Index_Upto_April23__1___1[Sector]="Rural+Urban"),0)),
    INDEX(All_India_Index_Upto_April23__1___1[Health],
      MATCH(1,(All_India_Index_Upto_April23__1___1[Date]=$A53)*
              (All_India_Index_Upto_April23__1___1[Sector]="Rural+Urban"),0)),
    INDEX(All_India_Index_Upto_April23__1___1[Transport and communication],
      MATCH(1,(All_India_Index_Upto_April23__1___1[Date]=$A53)*
              (All_India_Index_Upto_April23__1___1[Sector]="Rural+Urban"),0)),
    INDEX(All_India_Index_Upto_April23__1___1[Recreation and amusement],
      MATCH(1,(All_India_Index_Upto_April23__1___1[Date]=$A53)*
              (All_India_Index_Upto_April23__1___1[Sector]="Rural+Urban"),0)),
    INDEX(All_India_Index_Upto_April23__1___1[Education],
      MATCH(1,(All_India_Index_Upto_April23__1___1[Date]=$A53)*
              (All_India_Index_Upto_April23__1___1[Sector]="Rural+Urban"),0)),
    INDEX(All_India_Index_Upto_April23__1___1[Personal care and effects],
      MATCH(1,(All_India_Index_Upto_April23__1___1[Date]=$A53)*
              (All_India_Index_Upto_April23__1___1[Sector]="Rural+Urban"),0)),
    INDEX(All_India_Index_Upto_April23__1___1[Miscellaneous],
      MATCH(1,(All_India_Index_Upto_April23__1___1[Date]=$A53)*
              (All_India_Index_Upto_April23__1___1[Sector]="Rural+Urban"),0))
  ),
"")</f>
        <v>160.61666666666665</v>
      </c>
      <c r="Z53" s="2" cm="1">
        <f t="array" ref="Z53">IFERROR(
  AVERAGE(
    INDEX(All_India_Index_Upto_April23__1___1[Pan, tobacco and intoxicants],
      MATCH(1,(All_India_Index_Upto_April23__1___1[Date]=EDATE($A53,-12))*
              (All_India_Index_Upto_April23__1___1[Sector]="Rural+Urban"),0)),
    INDEX(All_India_Index_Upto_April23__1___1[Clothing],
      MATCH(1,(All_India_Index_Upto_April23__1___1[Date]=EDATE($A53,-12))*
              (All_India_Index_Upto_April23__1___1[Sector]="Rural+Urban"),0)),
    INDEX(All_India_Index_Upto_April23__1___1[Footwear],
      MATCH(1,(All_India_Index_Upto_April23__1___1[Date]=EDATE($A53,-12))*
              (All_India_Index_Upto_April23__1___1[Sector]="Rural+Urban"),0)),
    INDEX(All_India_Index_Upto_April23__1___1[Clothing and footwear],
      MATCH(1,(All_India_Index_Upto_April23__1___1[Date]=EDATE($A53,-12))*
              (All_India_Index_Upto_April23__1___1[Sector]="Rural+Urban"),0)),
    INDEX(All_India_Index_Upto_April23__1___1[Housing],
      MATCH(1,(All_India_Index_Upto_April23__1___1[Date]=EDATE($A53,-12))*
              (All_India_Index_Upto_April23__1___1[Sector]="Rural+Urban"),0)),
    INDEX(All_India_Index_Upto_April23__1___1[Fuel and light],
      MATCH(1,(All_India_Index_Upto_April23__1___1[Date]=EDATE($A53,-12))*
              (All_India_Index_Upto_April23__1___1[Sector]="Rural+Urban"),0)),
    INDEX(All_India_Index_Upto_April23__1___1[Household goods and services],
      MATCH(1,(All_India_Index_Upto_April23__1___1[Date]=EDATE($A53,-12))*
              (All_India_Index_Upto_April23__1___1[Sector]="Rural+Urban"),0)),
    INDEX(All_India_Index_Upto_April23__1___1[Health],
      MATCH(1,(All_India_Index_Upto_April23__1___1[Date]=EDATE($A53,-12))*
              (All_India_Index_Upto_April23__1___1[Sector]="Rural+Urban"),0)),
    INDEX(All_India_Index_Upto_April23__1___1[Transport and communication],
      MATCH(1,(All_India_Index_Upto_April23__1___1[Date]=EDATE($A53,-12))*
              (All_India_Index_Upto_April23__1___1[Sector]="Rural+Urban"),0)),
    INDEX(All_India_Index_Upto_April23__1___1[Recreation and amusement],
      MATCH(1,(All_India_Index_Upto_April23__1___1[Date]=EDATE($A53,-12))*
              (All_India_Index_Upto_April23__1___1[Sector]="Rural+Urban"),0)),
    INDEX(All_India_Index_Upto_April23__1___1[Education],
      MATCH(1,(All_India_Index_Upto_April23__1___1[Date]=EDATE($A53,-12))*
              (All_India_Index_Upto_April23__1___1[Sector]="Rural+Urban"),0)),
    INDEX(All_India_Index_Upto_April23__1___1[Personal care and effects],
      MATCH(1,(All_India_Index_Upto_April23__1___1[Date]=EDATE($A53,-12))*
              (All_India_Index_Upto_April23__1___1[Sector]="Rural+Urban"),0)),
    INDEX(All_India_Index_Upto_April23__1___1[Miscellaneous],
      MATCH(1,(All_India_Index_Upto_April23__1___1[Date]=EDATE($A53,-12))*
              (All_India_Index_Upto_April23__1___1[Sector]="Rural+Urban"),0))
  ),
"")</f>
        <v>150.30384615384611</v>
      </c>
      <c r="AA53" s="8">
        <f t="shared" si="6"/>
        <v>6.8613151138292694E-2</v>
      </c>
      <c r="AB53" t="str">
        <f t="shared" si="7"/>
        <v>COVID</v>
      </c>
    </row>
    <row r="54" spans="1:28" x14ac:dyDescent="0.2">
      <c r="A54" s="22">
        <v>44348</v>
      </c>
      <c r="B54">
        <v>2021</v>
      </c>
      <c r="C54" t="s">
        <v>41</v>
      </c>
      <c r="D54" s="2" cm="1">
        <f t="array" ref="D54">IFERROR(
  INDEX(
    All_India_Index_Upto_April23__1___1[General index],
    MATCH(
      1,
      (All_India_Index_Upto_April23__1___1[Sector]="Rural+Urban") *
      (All_India_Index_Upto_April23__1___1[Date]=A54),
      0
    )
  ),
"")</f>
        <v>161.30000000000001</v>
      </c>
      <c r="E54" s="2" cm="1">
        <f t="array" ref="E54">IFERROR(
  INDEX(
    All_India_Index_Upto_April23__1___1[General index],
    MATCH(
      1,
      (All_India_Index_Upto_April23__1___1[Sector]="Rural+Urban") *
      (All_India_Index_Upto_April23__1___1[Date]=EDATE(A54,-12)),
      0
    )
  ),
"")</f>
        <v>151.80000000000001</v>
      </c>
      <c r="F54" s="8">
        <f t="shared" si="0"/>
        <v>6.2582345191040778E-2</v>
      </c>
      <c r="G54" t="str">
        <f t="shared" si="1"/>
        <v>COVID</v>
      </c>
      <c r="O54" s="2" cm="1">
        <f t="array" ref="O54">IFERROR(
  AVERAGE(
    INDEX(All_India_Index_Upto_April23__1___1[Cereals and products],
      MATCH(1,(All_India_Index_Upto_April23__1___1[Date]=$A54)*
              (All_India_Index_Upto_April23__1___1[Sector]="Rural+Urban"),0)),
    INDEX(All_India_Index_Upto_April23__1___1[Meat and fish],
      MATCH(1,(All_India_Index_Upto_April23__1___1[Date]=$A54)*
              (All_India_Index_Upto_April23__1___1[Sector]="Rural+Urban"),0)),
    INDEX(All_India_Index_Upto_April23__1___1[Egg],
      MATCH(1,(All_India_Index_Upto_April23__1___1[Date]=$A54)*
              (All_India_Index_Upto_April23__1___1[Sector]="Rural+Urban"),0)),
    INDEX(All_India_Index_Upto_April23__1___1[Milk and products],
      MATCH(1,(All_India_Index_Upto_April23__1___1[Date]=$A54)*
              (All_India_Index_Upto_April23__1___1[Sector]="Rural+Urban"),0)),
    INDEX(All_India_Index_Upto_April23__1___1[Oils and fats],
      MATCH(1,(All_India_Index_Upto_April23__1___1[Date]=$A54)*
              (All_India_Index_Upto_April23__1___1[Sector]="Rural+Urban"),0)),
    INDEX(All_India_Index_Upto_April23__1___1[Fruits],
      MATCH(1,(All_India_Index_Upto_April23__1___1[Date]=$A54)*
              (All_India_Index_Upto_April23__1___1[Sector]="Rural+Urban"),0)),
    INDEX(All_India_Index_Upto_April23__1___1[Vegetables],
      MATCH(1,(All_India_Index_Upto_April23__1___1[Date]=$A54)*
              (All_India_Index_Upto_April23__1___1[Sector]="Rural+Urban"),0)),
    INDEX(All_India_Index_Upto_April23__1___1[Pulses and products],
      MATCH(1,(All_India_Index_Upto_April23__1___1[Date]=$A54)*
              (All_India_Index_Upto_April23__1___1[Sector]="Rural+Urban"),0)),
    INDEX(All_India_Index_Upto_April23__1___1[Sugar and Confectionery],
      MATCH(1,(All_India_Index_Upto_April23__1___1[Date]=$A54)*
              (All_India_Index_Upto_April23__1___1[Sector]="Rural+Urban"),0)),
    INDEX(All_India_Index_Upto_April23__1___1[Spices],
      MATCH(1,(All_India_Index_Upto_April23__1___1[Date]=$A54)*
              (All_India_Index_Upto_April23__1___1[Sector]="Rural+Urban"),0)),
    INDEX(All_India_Index_Upto_April23__1___1[Non-alcoholic beverages],
      MATCH(1,(All_India_Index_Upto_April23__1___1[Date]=$A54)*
              (All_India_Index_Upto_April23__1___1[Sector]="Rural+Urban"),0)),
    INDEX(All_India_Index_Upto_April23__1___1[Prepared meals, snacks, sweets etc.],
      MATCH(1,(All_India_Index_Upto_April23__1___1[Date]=$A54)*
              (All_India_Index_Upto_April23__1___1[Sector]="Rural+Urban"),0))
  ),
"")</f>
        <v>164.27500000000001</v>
      </c>
      <c r="P54" s="2" cm="1">
        <f t="array" ref="P54">IFERROR(
  AVERAGE(
    INDEX(All_India_Index_Upto_April23__1___1[Cereals and products],
      MATCH(1,(All_India_Index_Upto_April23__1___1[Date]=EDATE($A54,-12))*
              (All_India_Index_Upto_April23__1___1[Sector]="Rural+Urban"),0)),
    INDEX(All_India_Index_Upto_April23__1___1[Meat and fish],
      MATCH(1,(All_India_Index_Upto_April23__1___1[Date]=EDATE($A54,-12))*
              (All_India_Index_Upto_April23__1___1[Sector]="Rural+Urban"),0)),
    INDEX(All_India_Index_Upto_April23__1___1[Egg],
      MATCH(1,(All_India_Index_Upto_April23__1___1[Date]=EDATE($A54,-12))*
              (All_India_Index_Upto_April23__1___1[Sector]="Rural+Urban"),0)),
    INDEX(All_India_Index_Upto_April23__1___1[Milk and products],
      MATCH(1,(All_India_Index_Upto_April23__1___1[Date]=EDATE($A54,-12))*
              (All_India_Index_Upto_April23__1___1[Sector]="Rural+Urban"),0)),
    INDEX(All_India_Index_Upto_April23__1___1[Oils and fats],
      MATCH(1,(All_India_Index_Upto_April23__1___1[Date]=EDATE($A54,-12))*
              (All_India_Index_Upto_April23__1___1[Sector]="Rural+Urban"),0)),
    INDEX(All_India_Index_Upto_April23__1___1[Fruits],
      MATCH(1,(All_India_Index_Upto_April23__1___1[Date]=EDATE($A54,-12))*
              (All_India_Index_Upto_April23__1___1[Sector]="Rural+Urban"),0)),
    INDEX(All_India_Index_Upto_April23__1___1[Vegetables],
      MATCH(1,(All_India_Index_Upto_April23__1___1[Date]=EDATE($A54,-12))*
              (All_India_Index_Upto_April23__1___1[Sector]="Rural+Urban"),0)),
    INDEX(All_India_Index_Upto_April23__1___1[Pulses and products],
      MATCH(1,(All_India_Index_Upto_April23__1___1[Date]=EDATE($A54,-12))*
              (All_India_Index_Upto_April23__1___1[Sector]="Rural+Urban"),0)),
    INDEX(All_India_Index_Upto_April23__1___1[Sugar and Confectionery],
      MATCH(1,(All_India_Index_Upto_April23__1___1[Date]=EDATE($A54,-12))*
              (All_India_Index_Upto_April23__1___1[Sector]="Rural+Urban"),0)),
    INDEX(All_India_Index_Upto_April23__1___1[Spices],
      MATCH(1,(All_India_Index_Upto_April23__1___1[Date]=EDATE($A54,-12))*
              (All_India_Index_Upto_April23__1___1[Sector]="Rural+Urban"),0)),
    INDEX(All_India_Index_Upto_April23__1___1[Non-alcoholic beverages],
      MATCH(1,(All_India_Index_Upto_April23__1___1[Date]=EDATE($A54,-12))*
              (All_India_Index_Upto_April23__1___1[Sector]="Rural+Urban"),0)),
    INDEX(All_India_Index_Upto_April23__1___1[Prepared meals, snacks, sweets etc.],
      MATCH(1,(All_India_Index_Upto_April23__1___1[Date]=EDATE($A54,-12))*
              (All_India_Index_Upto_April23__1___1[Sector]="Rural+Urban"),0))
  ),
"")</f>
        <v>151.06666666666669</v>
      </c>
      <c r="Q54" s="8">
        <f t="shared" si="2"/>
        <v>8.7433804060017509E-2</v>
      </c>
      <c r="R54" t="str">
        <f t="shared" si="3"/>
        <v>COVID</v>
      </c>
      <c r="T54" s="2" cm="1">
        <f t="array" ref="T54">IFERROR(
  INDEX(
    All_India_Index_Upto_April23__1___1[Health],
    MATCH(
      1,
      (All_India_Index_Upto_April23__1___1[Date]=$A54) *
      (All_India_Index_Upto_April23__1___1[Sector]="Rural+Urban"),
      0
    )
  ),
"")</f>
        <v>166.3</v>
      </c>
      <c r="U54" s="2" cm="1">
        <f t="array" ref="U54">IFERROR(
  INDEX(
    All_India_Index_Upto_April23__1___1[Health],
    MATCH(
      1,
      (All_India_Index_Upto_April23__1___1[Date]=EDATE($A54,-12)) *
      (All_India_Index_Upto_April23__1___1[Sector]="Rural+Urban"),
      0
    )
  ),
"")</f>
        <v>154.4</v>
      </c>
      <c r="V54" s="8">
        <f t="shared" si="4"/>
        <v>7.7072538860103665E-2</v>
      </c>
      <c r="W54" t="str">
        <f t="shared" si="5"/>
        <v>COVID</v>
      </c>
      <c r="Y54" s="2" cm="1">
        <f t="array" ref="Y54">IFERROR(
  AVERAGE(
    INDEX(All_India_Index_Upto_April23__1___1[Pan, tobacco and intoxicants],
      MATCH(1,(All_India_Index_Upto_April23__1___1[Date]=$A54)*
              (All_India_Index_Upto_April23__1___1[Sector]="Rural+Urban"),0)),
    INDEX(All_India_Index_Upto_April23__1___1[Clothing],
      MATCH(1,(All_India_Index_Upto_April23__1___1[Date]=$A54)*
              (All_India_Index_Upto_April23__1___1[Sector]="Rural+Urban"),0)),
    INDEX(All_India_Index_Upto_April23__1___1[Footwear],
      MATCH(1,(All_India_Index_Upto_April23__1___1[Date]=$A54)*
              (All_India_Index_Upto_April23__1___1[Sector]="Rural+Urban"),0)),
    INDEX(All_India_Index_Upto_April23__1___1[Clothing and footwear],
      MATCH(1,(All_India_Index_Upto_April23__1___1[Date]=$A54)*
              (All_India_Index_Upto_April23__1___1[Sector]="Rural+Urban"),0)),
    INDEX(All_India_Index_Upto_April23__1___1[Housing],
      MATCH(1,(All_India_Index_Upto_April23__1___1[Date]=$A54)*
              (All_India_Index_Upto_April23__1___1[Sector]="Rural+Urban"),0)),
    INDEX(All_India_Index_Upto_April23__1___1[Fuel and light],
      MATCH(1,(All_India_Index_Upto_April23__1___1[Date]=$A54)*
              (All_India_Index_Upto_April23__1___1[Sector]="Rural+Urban"),0)),
    INDEX(All_India_Index_Upto_April23__1___1[Household goods and services],
      MATCH(1,(All_India_Index_Upto_April23__1___1[Date]=$A54)*
              (All_India_Index_Upto_April23__1___1[Sector]="Rural+Urban"),0)),
    INDEX(All_India_Index_Upto_April23__1___1[Health],
      MATCH(1,(All_India_Index_Upto_April23__1___1[Date]=$A54)*
              (All_India_Index_Upto_April23__1___1[Sector]="Rural+Urban"),0)),
    INDEX(All_India_Index_Upto_April23__1___1[Transport and communication],
      MATCH(1,(All_India_Index_Upto_April23__1___1[Date]=$A54)*
              (All_India_Index_Upto_April23__1___1[Sector]="Rural+Urban"),0)),
    INDEX(All_India_Index_Upto_April23__1___1[Recreation and amusement],
      MATCH(1,(All_India_Index_Upto_April23__1___1[Date]=$A54)*
              (All_India_Index_Upto_April23__1___1[Sector]="Rural+Urban"),0)),
    INDEX(All_India_Index_Upto_April23__1___1[Education],
      MATCH(1,(All_India_Index_Upto_April23__1___1[Date]=$A54)*
              (All_India_Index_Upto_April23__1___1[Sector]="Rural+Urban"),0)),
    INDEX(All_India_Index_Upto_April23__1___1[Personal care and effects],
      MATCH(1,(All_India_Index_Upto_April23__1___1[Date]=$A54)*
              (All_India_Index_Upto_April23__1___1[Sector]="Rural+Urban"),0)),
    INDEX(All_India_Index_Upto_April23__1___1[Miscellaneous],
      MATCH(1,(All_India_Index_Upto_April23__1___1[Date]=$A54)*
              (All_India_Index_Upto_April23__1___1[Sector]="Rural+Urban"),0))
  ),
"")</f>
        <v>160.84166666666667</v>
      </c>
      <c r="Z54" s="2" cm="1">
        <f t="array" ref="Z54">IFERROR(
  AVERAGE(
    INDEX(All_India_Index_Upto_April23__1___1[Pan, tobacco and intoxicants],
      MATCH(1,(All_India_Index_Upto_April23__1___1[Date]=EDATE($A54,-12))*
              (All_India_Index_Upto_April23__1___1[Sector]="Rural+Urban"),0)),
    INDEX(All_India_Index_Upto_April23__1___1[Clothing],
      MATCH(1,(All_India_Index_Upto_April23__1___1[Date]=EDATE($A54,-12))*
              (All_India_Index_Upto_April23__1___1[Sector]="Rural+Urban"),0)),
    INDEX(All_India_Index_Upto_April23__1___1[Footwear],
      MATCH(1,(All_India_Index_Upto_April23__1___1[Date]=EDATE($A54,-12))*
              (All_India_Index_Upto_April23__1___1[Sector]="Rural+Urban"),0)),
    INDEX(All_India_Index_Upto_April23__1___1[Clothing and footwear],
      MATCH(1,(All_India_Index_Upto_April23__1___1[Date]=EDATE($A54,-12))*
              (All_India_Index_Upto_April23__1___1[Sector]="Rural+Urban"),0)),
    INDEX(All_India_Index_Upto_April23__1___1[Housing],
      MATCH(1,(All_India_Index_Upto_April23__1___1[Date]=EDATE($A54,-12))*
              (All_India_Index_Upto_April23__1___1[Sector]="Rural+Urban"),0)),
    INDEX(All_India_Index_Upto_April23__1___1[Fuel and light],
      MATCH(1,(All_India_Index_Upto_April23__1___1[Date]=EDATE($A54,-12))*
              (All_India_Index_Upto_April23__1___1[Sector]="Rural+Urban"),0)),
    INDEX(All_India_Index_Upto_April23__1___1[Household goods and services],
      MATCH(1,(All_India_Index_Upto_April23__1___1[Date]=EDATE($A54,-12))*
              (All_India_Index_Upto_April23__1___1[Sector]="Rural+Urban"),0)),
    INDEX(All_India_Index_Upto_April23__1___1[Health],
      MATCH(1,(All_India_Index_Upto_April23__1___1[Date]=EDATE($A54,-12))*
              (All_India_Index_Upto_April23__1___1[Sector]="Rural+Urban"),0)),
    INDEX(All_India_Index_Upto_April23__1___1[Transport and communication],
      MATCH(1,(All_India_Index_Upto_April23__1___1[Date]=EDATE($A54,-12))*
              (All_India_Index_Upto_April23__1___1[Sector]="Rural+Urban"),0)),
    INDEX(All_India_Index_Upto_April23__1___1[Recreation and amusement],
      MATCH(1,(All_India_Index_Upto_April23__1___1[Date]=EDATE($A54,-12))*
              (All_India_Index_Upto_April23__1___1[Sector]="Rural+Urban"),0)),
    INDEX(All_India_Index_Upto_April23__1___1[Education],
      MATCH(1,(All_India_Index_Upto_April23__1___1[Date]=EDATE($A54,-12))*
              (All_India_Index_Upto_April23__1___1[Sector]="Rural+Urban"),0)),
    INDEX(All_India_Index_Upto_April23__1___1[Personal care and effects],
      MATCH(1,(All_India_Index_Upto_April23__1___1[Date]=EDATE($A54,-12))*
              (All_India_Index_Upto_April23__1___1[Sector]="Rural+Urban"),0)),
    INDEX(All_India_Index_Upto_April23__1___1[Miscellaneous],
      MATCH(1,(All_India_Index_Upto_April23__1___1[Date]=EDATE($A54,-12))*
              (All_India_Index_Upto_April23__1___1[Sector]="Rural+Urban"),0))
  ),
"")</f>
        <v>151.06666666666666</v>
      </c>
      <c r="AA54" s="8">
        <f t="shared" si="6"/>
        <v>6.4706531332744968E-2</v>
      </c>
      <c r="AB54" t="str">
        <f t="shared" si="7"/>
        <v>COVID</v>
      </c>
    </row>
    <row r="55" spans="1:28" x14ac:dyDescent="0.2">
      <c r="A55" s="22">
        <v>44378</v>
      </c>
      <c r="B55">
        <v>2021</v>
      </c>
      <c r="C55" t="s">
        <v>43</v>
      </c>
      <c r="D55" s="2" cm="1">
        <f t="array" ref="D55">IFERROR(
  INDEX(
    All_India_Index_Upto_April23__1___1[General index],
    MATCH(
      1,
      (All_India_Index_Upto_April23__1___1[Sector]="Rural+Urban") *
      (All_India_Index_Upto_April23__1___1[Date]=A55),
      0
    )
  ),
"")</f>
        <v>162.5</v>
      </c>
      <c r="E55" s="2" cm="1">
        <f t="array" ref="E55">IFERROR(
  INDEX(
    All_India_Index_Upto_April23__1___1[General index],
    MATCH(
      1,
      (All_India_Index_Upto_April23__1___1[Sector]="Rural+Urban") *
      (All_India_Index_Upto_April23__1___1[Date]=EDATE(A55,-12)),
      0
    )
  ),
"")</f>
        <v>151.80000000000001</v>
      </c>
      <c r="F55" s="8">
        <f t="shared" si="0"/>
        <v>7.0487483530961681E-2</v>
      </c>
      <c r="G55" t="str">
        <f t="shared" si="1"/>
        <v>COVID</v>
      </c>
      <c r="O55" s="2" cm="1">
        <f t="array" ref="O55">IFERROR(
  AVERAGE(
    INDEX(All_India_Index_Upto_April23__1___1[Cereals and products],
      MATCH(1,(All_India_Index_Upto_April23__1___1[Date]=$A55)*
              (All_India_Index_Upto_April23__1___1[Sector]="Rural+Urban"),0)),
    INDEX(All_India_Index_Upto_April23__1___1[Meat and fish],
      MATCH(1,(All_India_Index_Upto_April23__1___1[Date]=$A55)*
              (All_India_Index_Upto_April23__1___1[Sector]="Rural+Urban"),0)),
    INDEX(All_India_Index_Upto_April23__1___1[Egg],
      MATCH(1,(All_India_Index_Upto_April23__1___1[Date]=$A55)*
              (All_India_Index_Upto_April23__1___1[Sector]="Rural+Urban"),0)),
    INDEX(All_India_Index_Upto_April23__1___1[Milk and products],
      MATCH(1,(All_India_Index_Upto_April23__1___1[Date]=$A55)*
              (All_India_Index_Upto_April23__1___1[Sector]="Rural+Urban"),0)),
    INDEX(All_India_Index_Upto_April23__1___1[Oils and fats],
      MATCH(1,(All_India_Index_Upto_April23__1___1[Date]=$A55)*
              (All_India_Index_Upto_April23__1___1[Sector]="Rural+Urban"),0)),
    INDEX(All_India_Index_Upto_April23__1___1[Fruits],
      MATCH(1,(All_India_Index_Upto_April23__1___1[Date]=$A55)*
              (All_India_Index_Upto_April23__1___1[Sector]="Rural+Urban"),0)),
    INDEX(All_India_Index_Upto_April23__1___1[Vegetables],
      MATCH(1,(All_India_Index_Upto_April23__1___1[Date]=$A55)*
              (All_India_Index_Upto_April23__1___1[Sector]="Rural+Urban"),0)),
    INDEX(All_India_Index_Upto_April23__1___1[Pulses and products],
      MATCH(1,(All_India_Index_Upto_April23__1___1[Date]=$A55)*
              (All_India_Index_Upto_April23__1___1[Sector]="Rural+Urban"),0)),
    INDEX(All_India_Index_Upto_April23__1___1[Sugar and Confectionery],
      MATCH(1,(All_India_Index_Upto_April23__1___1[Date]=$A55)*
              (All_India_Index_Upto_April23__1___1[Sector]="Rural+Urban"),0)),
    INDEX(All_India_Index_Upto_April23__1___1[Spices],
      MATCH(1,(All_India_Index_Upto_April23__1___1[Date]=$A55)*
              (All_India_Index_Upto_April23__1___1[Sector]="Rural+Urban"),0)),
    INDEX(All_India_Index_Upto_April23__1___1[Non-alcoholic beverages],
      MATCH(1,(All_India_Index_Upto_April23__1___1[Date]=$A55)*
              (All_India_Index_Upto_April23__1___1[Sector]="Rural+Urban"),0)),
    INDEX(All_India_Index_Upto_April23__1___1[Prepared meals, snacks, sweets etc.],
      MATCH(1,(All_India_Index_Upto_April23__1___1[Date]=$A55)*
              (All_India_Index_Upto_April23__1___1[Sector]="Rural+Urban"),0))
  ),
"")</f>
        <v>165.25000000000003</v>
      </c>
      <c r="P55" s="2" cm="1">
        <f t="array" ref="P55">IFERROR(
  AVERAGE(
    INDEX(All_India_Index_Upto_April23__1___1[Cereals and products],
      MATCH(1,(All_India_Index_Upto_April23__1___1[Date]=EDATE($A55,-12))*
              (All_India_Index_Upto_April23__1___1[Sector]="Rural+Urban"),0)),
    INDEX(All_India_Index_Upto_April23__1___1[Meat and fish],
      MATCH(1,(All_India_Index_Upto_April23__1___1[Date]=EDATE($A55,-12))*
              (All_India_Index_Upto_April23__1___1[Sector]="Rural+Urban"),0)),
    INDEX(All_India_Index_Upto_April23__1___1[Egg],
      MATCH(1,(All_India_Index_Upto_April23__1___1[Date]=EDATE($A55,-12))*
              (All_India_Index_Upto_April23__1___1[Sector]="Rural+Urban"),0)),
    INDEX(All_India_Index_Upto_April23__1___1[Milk and products],
      MATCH(1,(All_India_Index_Upto_April23__1___1[Date]=EDATE($A55,-12))*
              (All_India_Index_Upto_April23__1___1[Sector]="Rural+Urban"),0)),
    INDEX(All_India_Index_Upto_April23__1___1[Oils and fats],
      MATCH(1,(All_India_Index_Upto_April23__1___1[Date]=EDATE($A55,-12))*
              (All_India_Index_Upto_April23__1___1[Sector]="Rural+Urban"),0)),
    INDEX(All_India_Index_Upto_April23__1___1[Fruits],
      MATCH(1,(All_India_Index_Upto_April23__1___1[Date]=EDATE($A55,-12))*
              (All_India_Index_Upto_April23__1___1[Sector]="Rural+Urban"),0)),
    INDEX(All_India_Index_Upto_April23__1___1[Vegetables],
      MATCH(1,(All_India_Index_Upto_April23__1___1[Date]=EDATE($A55,-12))*
              (All_India_Index_Upto_April23__1___1[Sector]="Rural+Urban"),0)),
    INDEX(All_India_Index_Upto_April23__1___1[Pulses and products],
      MATCH(1,(All_India_Index_Upto_April23__1___1[Date]=EDATE($A55,-12))*
              (All_India_Index_Upto_April23__1___1[Sector]="Rural+Urban"),0)),
    INDEX(All_India_Index_Upto_April23__1___1[Sugar and Confectionery],
      MATCH(1,(All_India_Index_Upto_April23__1___1[Date]=EDATE($A55,-12))*
              (All_India_Index_Upto_April23__1___1[Sector]="Rural+Urban"),0)),
    INDEX(All_India_Index_Upto_April23__1___1[Spices],
      MATCH(1,(All_India_Index_Upto_April23__1___1[Date]=EDATE($A55,-12))*
              (All_India_Index_Upto_April23__1___1[Sector]="Rural+Urban"),0)),
    INDEX(All_India_Index_Upto_April23__1___1[Non-alcoholic beverages],
      MATCH(1,(All_India_Index_Upto_April23__1___1[Date]=EDATE($A55,-12))*
              (All_India_Index_Upto_April23__1___1[Sector]="Rural+Urban"),0)),
    INDEX(All_India_Index_Upto_April23__1___1[Prepared meals, snacks, sweets etc.],
      MATCH(1,(All_India_Index_Upto_April23__1___1[Date]=EDATE($A55,-12))*
              (All_India_Index_Upto_April23__1___1[Sector]="Rural+Urban"),0))
  ),
"")</f>
        <v>151.06666666666669</v>
      </c>
      <c r="Q55" s="8">
        <f t="shared" si="2"/>
        <v>9.3887908208296567E-2</v>
      </c>
      <c r="R55" t="str">
        <f t="shared" si="3"/>
        <v>COVID</v>
      </c>
      <c r="T55" s="2" cm="1">
        <f t="array" ref="T55">IFERROR(
  INDEX(
    All_India_Index_Upto_April23__1___1[Health],
    MATCH(
      1,
      (All_India_Index_Upto_April23__1___1[Date]=$A55) *
      (All_India_Index_Upto_April23__1___1[Sector]="Rural+Urban"),
      0
    )
  ),
"")</f>
        <v>167</v>
      </c>
      <c r="U55" s="2" cm="1">
        <f t="array" ref="U55">IFERROR(
  INDEX(
    All_India_Index_Upto_April23__1___1[Health],
    MATCH(
      1,
      (All_India_Index_Upto_April23__1___1[Date]=EDATE($A55,-12)) *
      (All_India_Index_Upto_April23__1___1[Sector]="Rural+Urban"),
      0
    )
  ),
"")</f>
        <v>154.4</v>
      </c>
      <c r="V55" s="8">
        <f t="shared" si="4"/>
        <v>8.1606217616580268E-2</v>
      </c>
      <c r="W55" t="str">
        <f t="shared" si="5"/>
        <v>COVID</v>
      </c>
      <c r="Y55" s="2" cm="1">
        <f t="array" ref="Y55">IFERROR(
  AVERAGE(
    INDEX(All_India_Index_Upto_April23__1___1[Pan, tobacco and intoxicants],
      MATCH(1,(All_India_Index_Upto_April23__1___1[Date]=$A55)*
              (All_India_Index_Upto_April23__1___1[Sector]="Rural+Urban"),0)),
    INDEX(All_India_Index_Upto_April23__1___1[Clothing],
      MATCH(1,(All_India_Index_Upto_April23__1___1[Date]=$A55)*
              (All_India_Index_Upto_April23__1___1[Sector]="Rural+Urban"),0)),
    INDEX(All_India_Index_Upto_April23__1___1[Footwear],
      MATCH(1,(All_India_Index_Upto_April23__1___1[Date]=$A55)*
              (All_India_Index_Upto_April23__1___1[Sector]="Rural+Urban"),0)),
    INDEX(All_India_Index_Upto_April23__1___1[Clothing and footwear],
      MATCH(1,(All_India_Index_Upto_April23__1___1[Date]=$A55)*
              (All_India_Index_Upto_April23__1___1[Sector]="Rural+Urban"),0)),
    INDEX(All_India_Index_Upto_April23__1___1[Housing],
      MATCH(1,(All_India_Index_Upto_April23__1___1[Date]=$A55)*
              (All_India_Index_Upto_April23__1___1[Sector]="Rural+Urban"),0)),
    INDEX(All_India_Index_Upto_April23__1___1[Fuel and light],
      MATCH(1,(All_India_Index_Upto_April23__1___1[Date]=$A55)*
              (All_India_Index_Upto_April23__1___1[Sector]="Rural+Urban"),0)),
    INDEX(All_India_Index_Upto_April23__1___1[Household goods and services],
      MATCH(1,(All_India_Index_Upto_April23__1___1[Date]=$A55)*
              (All_India_Index_Upto_April23__1___1[Sector]="Rural+Urban"),0)),
    INDEX(All_India_Index_Upto_April23__1___1[Health],
      MATCH(1,(All_India_Index_Upto_April23__1___1[Date]=$A55)*
              (All_India_Index_Upto_April23__1___1[Sector]="Rural+Urban"),0)),
    INDEX(All_India_Index_Upto_April23__1___1[Transport and communication],
      MATCH(1,(All_India_Index_Upto_April23__1___1[Date]=$A55)*
              (All_India_Index_Upto_April23__1___1[Sector]="Rural+Urban"),0)),
    INDEX(All_India_Index_Upto_April23__1___1[Recreation and amusement],
      MATCH(1,(All_India_Index_Upto_April23__1___1[Date]=$A55)*
              (All_India_Index_Upto_April23__1___1[Sector]="Rural+Urban"),0)),
    INDEX(All_India_Index_Upto_April23__1___1[Education],
      MATCH(1,(All_India_Index_Upto_April23__1___1[Date]=$A55)*
              (All_India_Index_Upto_April23__1___1[Sector]="Rural+Urban"),0)),
    INDEX(All_India_Index_Upto_April23__1___1[Personal care and effects],
      MATCH(1,(All_India_Index_Upto_April23__1___1[Date]=$A55)*
              (All_India_Index_Upto_April23__1___1[Sector]="Rural+Urban"),0)),
    INDEX(All_India_Index_Upto_April23__1___1[Miscellaneous],
      MATCH(1,(All_India_Index_Upto_April23__1___1[Date]=$A55)*
              (All_India_Index_Upto_April23__1___1[Sector]="Rural+Urban"),0))
  ),
"")</f>
        <v>161.89166666666665</v>
      </c>
      <c r="Z55" s="2" cm="1">
        <f t="array" ref="Z55">IFERROR(
  AVERAGE(
    INDEX(All_India_Index_Upto_April23__1___1[Pan, tobacco and intoxicants],
      MATCH(1,(All_India_Index_Upto_April23__1___1[Date]=EDATE($A55,-12))*
              (All_India_Index_Upto_April23__1___1[Sector]="Rural+Urban"),0)),
    INDEX(All_India_Index_Upto_April23__1___1[Clothing],
      MATCH(1,(All_India_Index_Upto_April23__1___1[Date]=EDATE($A55,-12))*
              (All_India_Index_Upto_April23__1___1[Sector]="Rural+Urban"),0)),
    INDEX(All_India_Index_Upto_April23__1___1[Footwear],
      MATCH(1,(All_India_Index_Upto_April23__1___1[Date]=EDATE($A55,-12))*
              (All_India_Index_Upto_April23__1___1[Sector]="Rural+Urban"),0)),
    INDEX(All_India_Index_Upto_April23__1___1[Clothing and footwear],
      MATCH(1,(All_India_Index_Upto_April23__1___1[Date]=EDATE($A55,-12))*
              (All_India_Index_Upto_April23__1___1[Sector]="Rural+Urban"),0)),
    INDEX(All_India_Index_Upto_April23__1___1[Housing],
      MATCH(1,(All_India_Index_Upto_April23__1___1[Date]=EDATE($A55,-12))*
              (All_India_Index_Upto_April23__1___1[Sector]="Rural+Urban"),0)),
    INDEX(All_India_Index_Upto_April23__1___1[Fuel and light],
      MATCH(1,(All_India_Index_Upto_April23__1___1[Date]=EDATE($A55,-12))*
              (All_India_Index_Upto_April23__1___1[Sector]="Rural+Urban"),0)),
    INDEX(All_India_Index_Upto_April23__1___1[Household goods and services],
      MATCH(1,(All_India_Index_Upto_April23__1___1[Date]=EDATE($A55,-12))*
              (All_India_Index_Upto_April23__1___1[Sector]="Rural+Urban"),0)),
    INDEX(All_India_Index_Upto_April23__1___1[Health],
      MATCH(1,(All_India_Index_Upto_April23__1___1[Date]=EDATE($A55,-12))*
              (All_India_Index_Upto_April23__1___1[Sector]="Rural+Urban"),0)),
    INDEX(All_India_Index_Upto_April23__1___1[Transport and communication],
      MATCH(1,(All_India_Index_Upto_April23__1___1[Date]=EDATE($A55,-12))*
              (All_India_Index_Upto_April23__1___1[Sector]="Rural+Urban"),0)),
    INDEX(All_India_Index_Upto_April23__1___1[Recreation and amusement],
      MATCH(1,(All_India_Index_Upto_April23__1___1[Date]=EDATE($A55,-12))*
              (All_India_Index_Upto_April23__1___1[Sector]="Rural+Urban"),0)),
    INDEX(All_India_Index_Upto_April23__1___1[Education],
      MATCH(1,(All_India_Index_Upto_April23__1___1[Date]=EDATE($A55,-12))*
              (All_India_Index_Upto_April23__1___1[Sector]="Rural+Urban"),0)),
    INDEX(All_India_Index_Upto_April23__1___1[Personal care and effects],
      MATCH(1,(All_India_Index_Upto_April23__1___1[Date]=EDATE($A55,-12))*
              (All_India_Index_Upto_April23__1___1[Sector]="Rural+Urban"),0)),
    INDEX(All_India_Index_Upto_April23__1___1[Miscellaneous],
      MATCH(1,(All_India_Index_Upto_April23__1___1[Date]=EDATE($A55,-12))*
              (All_India_Index_Upto_April23__1___1[Sector]="Rural+Urban"),0))
  ),
"")</f>
        <v>151.06666666666666</v>
      </c>
      <c r="AA55" s="8">
        <f t="shared" si="6"/>
        <v>7.1657105030891372E-2</v>
      </c>
      <c r="AB55" t="str">
        <f t="shared" si="7"/>
        <v>COVID</v>
      </c>
    </row>
    <row r="56" spans="1:28" x14ac:dyDescent="0.2">
      <c r="A56" s="22">
        <v>44409</v>
      </c>
      <c r="B56">
        <v>2021</v>
      </c>
      <c r="C56" t="s">
        <v>45</v>
      </c>
      <c r="D56" s="2" cm="1">
        <f t="array" ref="D56">IFERROR(
  INDEX(
    All_India_Index_Upto_April23__1___1[General index],
    MATCH(
      1,
      (All_India_Index_Upto_April23__1___1[Sector]="Rural+Urban") *
      (All_India_Index_Upto_April23__1___1[Date]=A56),
      0
    )
  ),
"")</f>
        <v>163.19999999999999</v>
      </c>
      <c r="E56" s="2" cm="1">
        <f t="array" ref="E56">IFERROR(
  INDEX(
    All_India_Index_Upto_April23__1___1[General index],
    MATCH(
      1,
      (All_India_Index_Upto_April23__1___1[Sector]="Rural+Urban") *
      (All_India_Index_Upto_April23__1___1[Date]=EDATE(A56,-12)),
      0
    )
  ),
"")</f>
        <v>153.9</v>
      </c>
      <c r="F56" s="8">
        <f t="shared" si="0"/>
        <v>6.0428849902534054E-2</v>
      </c>
      <c r="G56" t="str">
        <f t="shared" si="1"/>
        <v>COVID</v>
      </c>
      <c r="O56" s="2" cm="1">
        <f t="array" ref="O56">IFERROR(
  AVERAGE(
    INDEX(All_India_Index_Upto_April23__1___1[Cereals and products],
      MATCH(1,(All_India_Index_Upto_April23__1___1[Date]=$A56)*
              (All_India_Index_Upto_April23__1___1[Sector]="Rural+Urban"),0)),
    INDEX(All_India_Index_Upto_April23__1___1[Meat and fish],
      MATCH(1,(All_India_Index_Upto_April23__1___1[Date]=$A56)*
              (All_India_Index_Upto_April23__1___1[Sector]="Rural+Urban"),0)),
    INDEX(All_India_Index_Upto_April23__1___1[Egg],
      MATCH(1,(All_India_Index_Upto_April23__1___1[Date]=$A56)*
              (All_India_Index_Upto_April23__1___1[Sector]="Rural+Urban"),0)),
    INDEX(All_India_Index_Upto_April23__1___1[Milk and products],
      MATCH(1,(All_India_Index_Upto_April23__1___1[Date]=$A56)*
              (All_India_Index_Upto_April23__1___1[Sector]="Rural+Urban"),0)),
    INDEX(All_India_Index_Upto_April23__1___1[Oils and fats],
      MATCH(1,(All_India_Index_Upto_April23__1___1[Date]=$A56)*
              (All_India_Index_Upto_April23__1___1[Sector]="Rural+Urban"),0)),
    INDEX(All_India_Index_Upto_April23__1___1[Fruits],
      MATCH(1,(All_India_Index_Upto_April23__1___1[Date]=$A56)*
              (All_India_Index_Upto_April23__1___1[Sector]="Rural+Urban"),0)),
    INDEX(All_India_Index_Upto_April23__1___1[Vegetables],
      MATCH(1,(All_India_Index_Upto_April23__1___1[Date]=$A56)*
              (All_India_Index_Upto_April23__1___1[Sector]="Rural+Urban"),0)),
    INDEX(All_India_Index_Upto_April23__1___1[Pulses and products],
      MATCH(1,(All_India_Index_Upto_April23__1___1[Date]=$A56)*
              (All_India_Index_Upto_April23__1___1[Sector]="Rural+Urban"),0)),
    INDEX(All_India_Index_Upto_April23__1___1[Sugar and Confectionery],
      MATCH(1,(All_India_Index_Upto_April23__1___1[Date]=$A56)*
              (All_India_Index_Upto_April23__1___1[Sector]="Rural+Urban"),0)),
    INDEX(All_India_Index_Upto_April23__1___1[Spices],
      MATCH(1,(All_India_Index_Upto_April23__1___1[Date]=$A56)*
              (All_India_Index_Upto_April23__1___1[Sector]="Rural+Urban"),0)),
    INDEX(All_India_Index_Upto_April23__1___1[Non-alcoholic beverages],
      MATCH(1,(All_India_Index_Upto_April23__1___1[Date]=$A56)*
              (All_India_Index_Upto_April23__1___1[Sector]="Rural+Urban"),0)),
    INDEX(All_India_Index_Upto_April23__1___1[Prepared meals, snacks, sweets etc.],
      MATCH(1,(All_India_Index_Upto_April23__1___1[Date]=$A56)*
              (All_India_Index_Upto_April23__1___1[Sector]="Rural+Urban"),0))
  ),
"")</f>
        <v>164.83333333333334</v>
      </c>
      <c r="P56" s="2" cm="1">
        <f t="array" ref="P56">IFERROR(
  AVERAGE(
    INDEX(All_India_Index_Upto_April23__1___1[Cereals and products],
      MATCH(1,(All_India_Index_Upto_April23__1___1[Date]=EDATE($A56,-12))*
              (All_India_Index_Upto_April23__1___1[Sector]="Rural+Urban"),0)),
    INDEX(All_India_Index_Upto_April23__1___1[Meat and fish],
      MATCH(1,(All_India_Index_Upto_April23__1___1[Date]=EDATE($A56,-12))*
              (All_India_Index_Upto_April23__1___1[Sector]="Rural+Urban"),0)),
    INDEX(All_India_Index_Upto_April23__1___1[Egg],
      MATCH(1,(All_India_Index_Upto_April23__1___1[Date]=EDATE($A56,-12))*
              (All_India_Index_Upto_April23__1___1[Sector]="Rural+Urban"),0)),
    INDEX(All_India_Index_Upto_April23__1___1[Milk and products],
      MATCH(1,(All_India_Index_Upto_April23__1___1[Date]=EDATE($A56,-12))*
              (All_India_Index_Upto_April23__1___1[Sector]="Rural+Urban"),0)),
    INDEX(All_India_Index_Upto_April23__1___1[Oils and fats],
      MATCH(1,(All_India_Index_Upto_April23__1___1[Date]=EDATE($A56,-12))*
              (All_India_Index_Upto_April23__1___1[Sector]="Rural+Urban"),0)),
    INDEX(All_India_Index_Upto_April23__1___1[Fruits],
      MATCH(1,(All_India_Index_Upto_April23__1___1[Date]=EDATE($A56,-12))*
              (All_India_Index_Upto_April23__1___1[Sector]="Rural+Urban"),0)),
    INDEX(All_India_Index_Upto_April23__1___1[Vegetables],
      MATCH(1,(All_India_Index_Upto_April23__1___1[Date]=EDATE($A56,-12))*
              (All_India_Index_Upto_April23__1___1[Sector]="Rural+Urban"),0)),
    INDEX(All_India_Index_Upto_April23__1___1[Pulses and products],
      MATCH(1,(All_India_Index_Upto_April23__1___1[Date]=EDATE($A56,-12))*
              (All_India_Index_Upto_April23__1___1[Sector]="Rural+Urban"),0)),
    INDEX(All_India_Index_Upto_April23__1___1[Sugar and Confectionery],
      MATCH(1,(All_India_Index_Upto_April23__1___1[Date]=EDATE($A56,-12))*
              (All_India_Index_Upto_April23__1___1[Sector]="Rural+Urban"),0)),
    INDEX(All_India_Index_Upto_April23__1___1[Spices],
      MATCH(1,(All_India_Index_Upto_April23__1___1[Date]=EDATE($A56,-12))*
              (All_India_Index_Upto_April23__1___1[Sector]="Rural+Urban"),0)),
    INDEX(All_India_Index_Upto_April23__1___1[Non-alcoholic beverages],
      MATCH(1,(All_India_Index_Upto_April23__1___1[Date]=EDATE($A56,-12))*
              (All_India_Index_Upto_April23__1___1[Sector]="Rural+Urban"),0)),
    INDEX(All_India_Index_Upto_April23__1___1[Prepared meals, snacks, sweets etc.],
      MATCH(1,(All_India_Index_Upto_April23__1___1[Date]=EDATE($A56,-12))*
              (All_India_Index_Upto_April23__1___1[Sector]="Rural+Urban"),0))
  ),
"")</f>
        <v>153.18333333333331</v>
      </c>
      <c r="Q56" s="8">
        <f t="shared" si="2"/>
        <v>7.6052660211076289E-2</v>
      </c>
      <c r="R56" t="str">
        <f t="shared" si="3"/>
        <v>COVID</v>
      </c>
      <c r="T56" s="2" cm="1">
        <f t="array" ref="T56">IFERROR(
  INDEX(
    All_India_Index_Upto_April23__1___1[Health],
    MATCH(
      1,
      (All_India_Index_Upto_April23__1___1[Date]=$A56) *
      (All_India_Index_Upto_April23__1___1[Sector]="Rural+Urban"),
      0
    )
  ),
"")</f>
        <v>168.4</v>
      </c>
      <c r="U56" s="2" cm="1">
        <f t="array" ref="U56">IFERROR(
  INDEX(
    All_India_Index_Upto_April23__1___1[Health],
    MATCH(
      1,
      (All_India_Index_Upto_April23__1___1[Date]=EDATE($A56,-12)) *
      (All_India_Index_Upto_April23__1___1[Sector]="Rural+Urban"),
      0
    )
  ),
"")</f>
        <v>155</v>
      </c>
      <c r="V56" s="8">
        <f t="shared" si="4"/>
        <v>8.6451612903225838E-2</v>
      </c>
      <c r="W56" t="str">
        <f t="shared" si="5"/>
        <v>COVID</v>
      </c>
      <c r="Y56" s="2" cm="1">
        <f t="array" ref="Y56">IFERROR(
  AVERAGE(
    INDEX(All_India_Index_Upto_April23__1___1[Pan, tobacco and intoxicants],
      MATCH(1,(All_India_Index_Upto_April23__1___1[Date]=$A56)*
              (All_India_Index_Upto_April23__1___1[Sector]="Rural+Urban"),0)),
    INDEX(All_India_Index_Upto_April23__1___1[Clothing],
      MATCH(1,(All_India_Index_Upto_April23__1___1[Date]=$A56)*
              (All_India_Index_Upto_April23__1___1[Sector]="Rural+Urban"),0)),
    INDEX(All_India_Index_Upto_April23__1___1[Footwear],
      MATCH(1,(All_India_Index_Upto_April23__1___1[Date]=$A56)*
              (All_India_Index_Upto_April23__1___1[Sector]="Rural+Urban"),0)),
    INDEX(All_India_Index_Upto_April23__1___1[Clothing and footwear],
      MATCH(1,(All_India_Index_Upto_April23__1___1[Date]=$A56)*
              (All_India_Index_Upto_April23__1___1[Sector]="Rural+Urban"),0)),
    INDEX(All_India_Index_Upto_April23__1___1[Housing],
      MATCH(1,(All_India_Index_Upto_April23__1___1[Date]=$A56)*
              (All_India_Index_Upto_April23__1___1[Sector]="Rural+Urban"),0)),
    INDEX(All_India_Index_Upto_April23__1___1[Fuel and light],
      MATCH(1,(All_India_Index_Upto_April23__1___1[Date]=$A56)*
              (All_India_Index_Upto_April23__1___1[Sector]="Rural+Urban"),0)),
    INDEX(All_India_Index_Upto_April23__1___1[Household goods and services],
      MATCH(1,(All_India_Index_Upto_April23__1___1[Date]=$A56)*
              (All_India_Index_Upto_April23__1___1[Sector]="Rural+Urban"),0)),
    INDEX(All_India_Index_Upto_April23__1___1[Health],
      MATCH(1,(All_India_Index_Upto_April23__1___1[Date]=$A56)*
              (All_India_Index_Upto_April23__1___1[Sector]="Rural+Urban"),0)),
    INDEX(All_India_Index_Upto_April23__1___1[Transport and communication],
      MATCH(1,(All_India_Index_Upto_April23__1___1[Date]=$A56)*
              (All_India_Index_Upto_April23__1___1[Sector]="Rural+Urban"),0)),
    INDEX(All_India_Index_Upto_April23__1___1[Recreation and amusement],
      MATCH(1,(All_India_Index_Upto_April23__1___1[Date]=$A56)*
              (All_India_Index_Upto_April23__1___1[Sector]="Rural+Urban"),0)),
    INDEX(All_India_Index_Upto_April23__1___1[Education],
      MATCH(1,(All_India_Index_Upto_April23__1___1[Date]=$A56)*
              (All_India_Index_Upto_April23__1___1[Sector]="Rural+Urban"),0)),
    INDEX(All_India_Index_Upto_April23__1___1[Personal care and effects],
      MATCH(1,(All_India_Index_Upto_April23__1___1[Date]=$A56)*
              (All_India_Index_Upto_April23__1___1[Sector]="Rural+Urban"),0)),
    INDEX(All_India_Index_Upto_April23__1___1[Miscellaneous],
      MATCH(1,(All_India_Index_Upto_April23__1___1[Date]=$A56)*
              (All_India_Index_Upto_April23__1___1[Sector]="Rural+Urban"),0))
  ),
"")</f>
        <v>163.25</v>
      </c>
      <c r="Z56" s="2" cm="1">
        <f t="array" ref="Z56">IFERROR(
  AVERAGE(
    INDEX(All_India_Index_Upto_April23__1___1[Pan, tobacco and intoxicants],
      MATCH(1,(All_India_Index_Upto_April23__1___1[Date]=EDATE($A56,-12))*
              (All_India_Index_Upto_April23__1___1[Sector]="Rural+Urban"),0)),
    INDEX(All_India_Index_Upto_April23__1___1[Clothing],
      MATCH(1,(All_India_Index_Upto_April23__1___1[Date]=EDATE($A56,-12))*
              (All_India_Index_Upto_April23__1___1[Sector]="Rural+Urban"),0)),
    INDEX(All_India_Index_Upto_April23__1___1[Footwear],
      MATCH(1,(All_India_Index_Upto_April23__1___1[Date]=EDATE($A56,-12))*
              (All_India_Index_Upto_April23__1___1[Sector]="Rural+Urban"),0)),
    INDEX(All_India_Index_Upto_April23__1___1[Clothing and footwear],
      MATCH(1,(All_India_Index_Upto_April23__1___1[Date]=EDATE($A56,-12))*
              (All_India_Index_Upto_April23__1___1[Sector]="Rural+Urban"),0)),
    INDEX(All_India_Index_Upto_April23__1___1[Housing],
      MATCH(1,(All_India_Index_Upto_April23__1___1[Date]=EDATE($A56,-12))*
              (All_India_Index_Upto_April23__1___1[Sector]="Rural+Urban"),0)),
    INDEX(All_India_Index_Upto_April23__1___1[Fuel and light],
      MATCH(1,(All_India_Index_Upto_April23__1___1[Date]=EDATE($A56,-12))*
              (All_India_Index_Upto_April23__1___1[Sector]="Rural+Urban"),0)),
    INDEX(All_India_Index_Upto_April23__1___1[Household goods and services],
      MATCH(1,(All_India_Index_Upto_April23__1___1[Date]=EDATE($A56,-12))*
              (All_India_Index_Upto_April23__1___1[Sector]="Rural+Urban"),0)),
    INDEX(All_India_Index_Upto_April23__1___1[Health],
      MATCH(1,(All_India_Index_Upto_April23__1___1[Date]=EDATE($A56,-12))*
              (All_India_Index_Upto_April23__1___1[Sector]="Rural+Urban"),0)),
    INDEX(All_India_Index_Upto_April23__1___1[Transport and communication],
      MATCH(1,(All_India_Index_Upto_April23__1___1[Date]=EDATE($A56,-12))*
              (All_India_Index_Upto_April23__1___1[Sector]="Rural+Urban"),0)),
    INDEX(All_India_Index_Upto_April23__1___1[Recreation and amusement],
      MATCH(1,(All_India_Index_Upto_April23__1___1[Date]=EDATE($A56,-12))*
              (All_India_Index_Upto_April23__1___1[Sector]="Rural+Urban"),0)),
    INDEX(All_India_Index_Upto_April23__1___1[Education],
      MATCH(1,(All_India_Index_Upto_April23__1___1[Date]=EDATE($A56,-12))*
              (All_India_Index_Upto_April23__1___1[Sector]="Rural+Urban"),0)),
    INDEX(All_India_Index_Upto_April23__1___1[Personal care and effects],
      MATCH(1,(All_India_Index_Upto_April23__1___1[Date]=EDATE($A56,-12))*
              (All_India_Index_Upto_April23__1___1[Sector]="Rural+Urban"),0)),
    INDEX(All_India_Index_Upto_April23__1___1[Miscellaneous],
      MATCH(1,(All_India_Index_Upto_April23__1___1[Date]=EDATE($A56,-12))*
              (All_India_Index_Upto_April23__1___1[Sector]="Rural+Urban"),0))
  ),
"")</f>
        <v>151.95833333333331</v>
      </c>
      <c r="AA56" s="8">
        <f t="shared" si="6"/>
        <v>7.4307650123389218E-2</v>
      </c>
      <c r="AB56" t="str">
        <f t="shared" si="7"/>
        <v>COVID</v>
      </c>
    </row>
    <row r="57" spans="1:28" x14ac:dyDescent="0.2">
      <c r="A57" s="22">
        <v>44440</v>
      </c>
      <c r="B57">
        <v>2021</v>
      </c>
      <c r="C57" t="s">
        <v>47</v>
      </c>
      <c r="D57" s="2" cm="1">
        <f t="array" ref="D57">IFERROR(
  INDEX(
    All_India_Index_Upto_April23__1___1[General index],
    MATCH(
      1,
      (All_India_Index_Upto_April23__1___1[Sector]="Rural+Urban") *
      (All_India_Index_Upto_April23__1___1[Date]=A57),
      0
    )
  ),
"")</f>
        <v>163.19999999999999</v>
      </c>
      <c r="E57" s="2" cm="1">
        <f t="array" ref="E57">IFERROR(
  INDEX(
    All_India_Index_Upto_April23__1___1[General index],
    MATCH(
      1,
      (All_India_Index_Upto_April23__1___1[Sector]="Rural+Urban") *
      (All_India_Index_Upto_April23__1___1[Date]=EDATE(A57,-12)),
      0
    )
  ),
"")</f>
        <v>154.69999999999999</v>
      </c>
      <c r="F57" s="8">
        <f t="shared" si="0"/>
        <v>5.4945054945054972E-2</v>
      </c>
      <c r="G57" t="str">
        <f t="shared" si="1"/>
        <v>COVID</v>
      </c>
      <c r="O57" s="2" cm="1">
        <f t="array" ref="O57">IFERROR(
  AVERAGE(
    INDEX(All_India_Index_Upto_April23__1___1[Cereals and products],
      MATCH(1,(All_India_Index_Upto_April23__1___1[Date]=$A57)*
              (All_India_Index_Upto_April23__1___1[Sector]="Rural+Urban"),0)),
    INDEX(All_India_Index_Upto_April23__1___1[Meat and fish],
      MATCH(1,(All_India_Index_Upto_April23__1___1[Date]=$A57)*
              (All_India_Index_Upto_April23__1___1[Sector]="Rural+Urban"),0)),
    INDEX(All_India_Index_Upto_April23__1___1[Egg],
      MATCH(1,(All_India_Index_Upto_April23__1___1[Date]=$A57)*
              (All_India_Index_Upto_April23__1___1[Sector]="Rural+Urban"),0)),
    INDEX(All_India_Index_Upto_April23__1___1[Milk and products],
      MATCH(1,(All_India_Index_Upto_April23__1___1[Date]=$A57)*
              (All_India_Index_Upto_April23__1___1[Sector]="Rural+Urban"),0)),
    INDEX(All_India_Index_Upto_April23__1___1[Oils and fats],
      MATCH(1,(All_India_Index_Upto_April23__1___1[Date]=$A57)*
              (All_India_Index_Upto_April23__1___1[Sector]="Rural+Urban"),0)),
    INDEX(All_India_Index_Upto_April23__1___1[Fruits],
      MATCH(1,(All_India_Index_Upto_April23__1___1[Date]=$A57)*
              (All_India_Index_Upto_April23__1___1[Sector]="Rural+Urban"),0)),
    INDEX(All_India_Index_Upto_April23__1___1[Vegetables],
      MATCH(1,(All_India_Index_Upto_April23__1___1[Date]=$A57)*
              (All_India_Index_Upto_April23__1___1[Sector]="Rural+Urban"),0)),
    INDEX(All_India_Index_Upto_April23__1___1[Pulses and products],
      MATCH(1,(All_India_Index_Upto_April23__1___1[Date]=$A57)*
              (All_India_Index_Upto_April23__1___1[Sector]="Rural+Urban"),0)),
    INDEX(All_India_Index_Upto_April23__1___1[Sugar and Confectionery],
      MATCH(1,(All_India_Index_Upto_April23__1___1[Date]=$A57)*
              (All_India_Index_Upto_April23__1___1[Sector]="Rural+Urban"),0)),
    INDEX(All_India_Index_Upto_April23__1___1[Spices],
      MATCH(1,(All_India_Index_Upto_April23__1___1[Date]=$A57)*
              (All_India_Index_Upto_April23__1___1[Sector]="Rural+Urban"),0)),
    INDEX(All_India_Index_Upto_April23__1___1[Non-alcoholic beverages],
      MATCH(1,(All_India_Index_Upto_April23__1___1[Date]=$A57)*
              (All_India_Index_Upto_April23__1___1[Sector]="Rural+Urban"),0)),
    INDEX(All_India_Index_Upto_April23__1___1[Prepared meals, snacks, sweets etc.],
      MATCH(1,(All_India_Index_Upto_April23__1___1[Date]=$A57)*
              (All_India_Index_Upto_April23__1___1[Sector]="Rural+Urban"),0))
  ),
"")</f>
        <v>164.83333333333334</v>
      </c>
      <c r="P57" s="2" cm="1">
        <f t="array" ref="P57">IFERROR(
  AVERAGE(
    INDEX(All_India_Index_Upto_April23__1___1[Cereals and products],
      MATCH(1,(All_India_Index_Upto_April23__1___1[Date]=EDATE($A57,-12))*
              (All_India_Index_Upto_April23__1___1[Sector]="Rural+Urban"),0)),
    INDEX(All_India_Index_Upto_April23__1___1[Meat and fish],
      MATCH(1,(All_India_Index_Upto_April23__1___1[Date]=EDATE($A57,-12))*
              (All_India_Index_Upto_April23__1___1[Sector]="Rural+Urban"),0)),
    INDEX(All_India_Index_Upto_April23__1___1[Egg],
      MATCH(1,(All_India_Index_Upto_April23__1___1[Date]=EDATE($A57,-12))*
              (All_India_Index_Upto_April23__1___1[Sector]="Rural+Urban"),0)),
    INDEX(All_India_Index_Upto_April23__1___1[Milk and products],
      MATCH(1,(All_India_Index_Upto_April23__1___1[Date]=EDATE($A57,-12))*
              (All_India_Index_Upto_April23__1___1[Sector]="Rural+Urban"),0)),
    INDEX(All_India_Index_Upto_April23__1___1[Oils and fats],
      MATCH(1,(All_India_Index_Upto_April23__1___1[Date]=EDATE($A57,-12))*
              (All_India_Index_Upto_April23__1___1[Sector]="Rural+Urban"),0)),
    INDEX(All_India_Index_Upto_April23__1___1[Fruits],
      MATCH(1,(All_India_Index_Upto_April23__1___1[Date]=EDATE($A57,-12))*
              (All_India_Index_Upto_April23__1___1[Sector]="Rural+Urban"),0)),
    INDEX(All_India_Index_Upto_April23__1___1[Vegetables],
      MATCH(1,(All_India_Index_Upto_April23__1___1[Date]=EDATE($A57,-12))*
              (All_India_Index_Upto_April23__1___1[Sector]="Rural+Urban"),0)),
    INDEX(All_India_Index_Upto_April23__1___1[Pulses and products],
      MATCH(1,(All_India_Index_Upto_April23__1___1[Date]=EDATE($A57,-12))*
              (All_India_Index_Upto_April23__1___1[Sector]="Rural+Urban"),0)),
    INDEX(All_India_Index_Upto_April23__1___1[Sugar and Confectionery],
      MATCH(1,(All_India_Index_Upto_April23__1___1[Date]=EDATE($A57,-12))*
              (All_India_Index_Upto_April23__1___1[Sector]="Rural+Urban"),0)),
    INDEX(All_India_Index_Upto_April23__1___1[Spices],
      MATCH(1,(All_India_Index_Upto_April23__1___1[Date]=EDATE($A57,-12))*
              (All_India_Index_Upto_April23__1___1[Sector]="Rural+Urban"),0)),
    INDEX(All_India_Index_Upto_April23__1___1[Non-alcoholic beverages],
      MATCH(1,(All_India_Index_Upto_April23__1___1[Date]=EDATE($A57,-12))*
              (All_India_Index_Upto_April23__1___1[Sector]="Rural+Urban"),0)),
    INDEX(All_India_Index_Upto_April23__1___1[Prepared meals, snacks, sweets etc.],
      MATCH(1,(All_India_Index_Upto_April23__1___1[Date]=EDATE($A57,-12))*
              (All_India_Index_Upto_April23__1___1[Sector]="Rural+Urban"),0))
  ),
"")</f>
        <v>154.08333333333334</v>
      </c>
      <c r="Q57" s="8">
        <f t="shared" si="2"/>
        <v>6.9767441860465115E-2</v>
      </c>
      <c r="R57" t="str">
        <f t="shared" si="3"/>
        <v>COVID</v>
      </c>
      <c r="T57" s="2" cm="1">
        <f t="array" ref="T57">IFERROR(
  INDEX(
    All_India_Index_Upto_April23__1___1[Health],
    MATCH(
      1,
      (All_India_Index_Upto_April23__1___1[Date]=$A57) *
      (All_India_Index_Upto_April23__1___1[Sector]="Rural+Urban"),
      0
    )
  ),
"")</f>
        <v>168.4</v>
      </c>
      <c r="U57" s="2" cm="1">
        <f t="array" ref="U57">IFERROR(
  INDEX(
    All_India_Index_Upto_April23__1___1[Health],
    MATCH(
      1,
      (All_India_Index_Upto_April23__1___1[Date]=EDATE($A57,-12)) *
      (All_India_Index_Upto_April23__1___1[Sector]="Rural+Urban"),
      0
    )
  ),
"")</f>
        <v>155.6</v>
      </c>
      <c r="V57" s="8">
        <f t="shared" si="4"/>
        <v>8.2262210796915244E-2</v>
      </c>
      <c r="W57" t="str">
        <f t="shared" si="5"/>
        <v>COVID</v>
      </c>
      <c r="Y57" s="2" cm="1">
        <f t="array" ref="Y57">IFERROR(
  AVERAGE(
    INDEX(All_India_Index_Upto_April23__1___1[Pan, tobacco and intoxicants],
      MATCH(1,(All_India_Index_Upto_April23__1___1[Date]=$A57)*
              (All_India_Index_Upto_April23__1___1[Sector]="Rural+Urban"),0)),
    INDEX(All_India_Index_Upto_April23__1___1[Clothing],
      MATCH(1,(All_India_Index_Upto_April23__1___1[Date]=$A57)*
              (All_India_Index_Upto_April23__1___1[Sector]="Rural+Urban"),0)),
    INDEX(All_India_Index_Upto_April23__1___1[Footwear],
      MATCH(1,(All_India_Index_Upto_April23__1___1[Date]=$A57)*
              (All_India_Index_Upto_April23__1___1[Sector]="Rural+Urban"),0)),
    INDEX(All_India_Index_Upto_April23__1___1[Clothing and footwear],
      MATCH(1,(All_India_Index_Upto_April23__1___1[Date]=$A57)*
              (All_India_Index_Upto_April23__1___1[Sector]="Rural+Urban"),0)),
    INDEX(All_India_Index_Upto_April23__1___1[Housing],
      MATCH(1,(All_India_Index_Upto_April23__1___1[Date]=$A57)*
              (All_India_Index_Upto_April23__1___1[Sector]="Rural+Urban"),0)),
    INDEX(All_India_Index_Upto_April23__1___1[Fuel and light],
      MATCH(1,(All_India_Index_Upto_April23__1___1[Date]=$A57)*
              (All_India_Index_Upto_April23__1___1[Sector]="Rural+Urban"),0)),
    INDEX(All_India_Index_Upto_April23__1___1[Household goods and services],
      MATCH(1,(All_India_Index_Upto_April23__1___1[Date]=$A57)*
              (All_India_Index_Upto_April23__1___1[Sector]="Rural+Urban"),0)),
    INDEX(All_India_Index_Upto_April23__1___1[Health],
      MATCH(1,(All_India_Index_Upto_April23__1___1[Date]=$A57)*
              (All_India_Index_Upto_April23__1___1[Sector]="Rural+Urban"),0)),
    INDEX(All_India_Index_Upto_April23__1___1[Transport and communication],
      MATCH(1,(All_India_Index_Upto_April23__1___1[Date]=$A57)*
              (All_India_Index_Upto_April23__1___1[Sector]="Rural+Urban"),0)),
    INDEX(All_India_Index_Upto_April23__1___1[Recreation and amusement],
      MATCH(1,(All_India_Index_Upto_April23__1___1[Date]=$A57)*
              (All_India_Index_Upto_April23__1___1[Sector]="Rural+Urban"),0)),
    INDEX(All_India_Index_Upto_April23__1___1[Education],
      MATCH(1,(All_India_Index_Upto_April23__1___1[Date]=$A57)*
              (All_India_Index_Upto_April23__1___1[Sector]="Rural+Urban"),0)),
    INDEX(All_India_Index_Upto_April23__1___1[Personal care and effects],
      MATCH(1,(All_India_Index_Upto_April23__1___1[Date]=$A57)*
              (All_India_Index_Upto_April23__1___1[Sector]="Rural+Urban"),0)),
    INDEX(All_India_Index_Upto_April23__1___1[Miscellaneous],
      MATCH(1,(All_India_Index_Upto_April23__1___1[Date]=$A57)*
              (All_India_Index_Upto_April23__1___1[Sector]="Rural+Urban"),0))
  ),
"")</f>
        <v>163.26666666666668</v>
      </c>
      <c r="Z57" s="2" cm="1">
        <f t="array" ref="Z57">IFERROR(
  AVERAGE(
    INDEX(All_India_Index_Upto_April23__1___1[Pan, tobacco and intoxicants],
      MATCH(1,(All_India_Index_Upto_April23__1___1[Date]=EDATE($A57,-12))*
              (All_India_Index_Upto_April23__1___1[Sector]="Rural+Urban"),0)),
    INDEX(All_India_Index_Upto_April23__1___1[Clothing],
      MATCH(1,(All_India_Index_Upto_April23__1___1[Date]=EDATE($A57,-12))*
              (All_India_Index_Upto_April23__1___1[Sector]="Rural+Urban"),0)),
    INDEX(All_India_Index_Upto_April23__1___1[Footwear],
      MATCH(1,(All_India_Index_Upto_April23__1___1[Date]=EDATE($A57,-12))*
              (All_India_Index_Upto_April23__1___1[Sector]="Rural+Urban"),0)),
    INDEX(All_India_Index_Upto_April23__1___1[Clothing and footwear],
      MATCH(1,(All_India_Index_Upto_April23__1___1[Date]=EDATE($A57,-12))*
              (All_India_Index_Upto_April23__1___1[Sector]="Rural+Urban"),0)),
    INDEX(All_India_Index_Upto_April23__1___1[Housing],
      MATCH(1,(All_India_Index_Upto_April23__1___1[Date]=EDATE($A57,-12))*
              (All_India_Index_Upto_April23__1___1[Sector]="Rural+Urban"),0)),
    INDEX(All_India_Index_Upto_April23__1___1[Fuel and light],
      MATCH(1,(All_India_Index_Upto_April23__1___1[Date]=EDATE($A57,-12))*
              (All_India_Index_Upto_April23__1___1[Sector]="Rural+Urban"),0)),
    INDEX(All_India_Index_Upto_April23__1___1[Household goods and services],
      MATCH(1,(All_India_Index_Upto_April23__1___1[Date]=EDATE($A57,-12))*
              (All_India_Index_Upto_April23__1___1[Sector]="Rural+Urban"),0)),
    INDEX(All_India_Index_Upto_April23__1___1[Health],
      MATCH(1,(All_India_Index_Upto_April23__1___1[Date]=EDATE($A57,-12))*
              (All_India_Index_Upto_April23__1___1[Sector]="Rural+Urban"),0)),
    INDEX(All_India_Index_Upto_April23__1___1[Transport and communication],
      MATCH(1,(All_India_Index_Upto_April23__1___1[Date]=EDATE($A57,-12))*
              (All_India_Index_Upto_April23__1___1[Sector]="Rural+Urban"),0)),
    INDEX(All_India_Index_Upto_April23__1___1[Recreation and amusement],
      MATCH(1,(All_India_Index_Upto_April23__1___1[Date]=EDATE($A57,-12))*
              (All_India_Index_Upto_April23__1___1[Sector]="Rural+Urban"),0)),
    INDEX(All_India_Index_Upto_April23__1___1[Education],
      MATCH(1,(All_India_Index_Upto_April23__1___1[Date]=EDATE($A57,-12))*
              (All_India_Index_Upto_April23__1___1[Sector]="Rural+Urban"),0)),
    INDEX(All_India_Index_Upto_April23__1___1[Personal care and effects],
      MATCH(1,(All_India_Index_Upto_April23__1___1[Date]=EDATE($A57,-12))*
              (All_India_Index_Upto_April23__1___1[Sector]="Rural+Urban"),0)),
    INDEX(All_India_Index_Upto_April23__1___1[Miscellaneous],
      MATCH(1,(All_India_Index_Upto_April23__1___1[Date]=EDATE($A57,-12))*
              (All_India_Index_Upto_April23__1___1[Sector]="Rural+Urban"),0))
  ),
"")</f>
        <v>152.78333333333333</v>
      </c>
      <c r="AA57" s="8">
        <f t="shared" si="6"/>
        <v>6.8615686702301837E-2</v>
      </c>
      <c r="AB57" t="str">
        <f t="shared" si="7"/>
        <v>COVID</v>
      </c>
    </row>
    <row r="58" spans="1:28" x14ac:dyDescent="0.2">
      <c r="A58" s="22">
        <v>44470</v>
      </c>
      <c r="B58">
        <v>2021</v>
      </c>
      <c r="C58" t="s">
        <v>49</v>
      </c>
      <c r="D58" s="2" cm="1">
        <f t="array" ref="D58">IFERROR(
  INDEX(
    All_India_Index_Upto_April23__1___1[General index],
    MATCH(
      1,
      (All_India_Index_Upto_April23__1___1[Sector]="Rural+Urban") *
      (All_India_Index_Upto_April23__1___1[Date]=A58),
      0
    )
  ),
"")</f>
        <v>165.5</v>
      </c>
      <c r="E58" s="2" cm="1">
        <f t="array" ref="E58">IFERROR(
  INDEX(
    All_India_Index_Upto_April23__1___1[General index],
    MATCH(
      1,
      (All_India_Index_Upto_April23__1___1[Sector]="Rural+Urban") *
      (All_India_Index_Upto_April23__1___1[Date]=EDATE(A58,-12)),
      0
    )
  ),
"")</f>
        <v>156.4</v>
      </c>
      <c r="F58" s="8">
        <f t="shared" si="0"/>
        <v>5.8184143222506313E-2</v>
      </c>
      <c r="G58" t="str">
        <f t="shared" si="1"/>
        <v>COVID</v>
      </c>
      <c r="O58" s="2" cm="1">
        <f t="array" ref="O58">IFERROR(
  AVERAGE(
    INDEX(All_India_Index_Upto_April23__1___1[Cereals and products],
      MATCH(1,(All_India_Index_Upto_April23__1___1[Date]=$A58)*
              (All_India_Index_Upto_April23__1___1[Sector]="Rural+Urban"),0)),
    INDEX(All_India_Index_Upto_April23__1___1[Meat and fish],
      MATCH(1,(All_India_Index_Upto_April23__1___1[Date]=$A58)*
              (All_India_Index_Upto_April23__1___1[Sector]="Rural+Urban"),0)),
    INDEX(All_India_Index_Upto_April23__1___1[Egg],
      MATCH(1,(All_India_Index_Upto_April23__1___1[Date]=$A58)*
              (All_India_Index_Upto_April23__1___1[Sector]="Rural+Urban"),0)),
    INDEX(All_India_Index_Upto_April23__1___1[Milk and products],
      MATCH(1,(All_India_Index_Upto_April23__1___1[Date]=$A58)*
              (All_India_Index_Upto_April23__1___1[Sector]="Rural+Urban"),0)),
    INDEX(All_India_Index_Upto_April23__1___1[Oils and fats],
      MATCH(1,(All_India_Index_Upto_April23__1___1[Date]=$A58)*
              (All_India_Index_Upto_April23__1___1[Sector]="Rural+Urban"),0)),
    INDEX(All_India_Index_Upto_April23__1___1[Fruits],
      MATCH(1,(All_India_Index_Upto_April23__1___1[Date]=$A58)*
              (All_India_Index_Upto_April23__1___1[Sector]="Rural+Urban"),0)),
    INDEX(All_India_Index_Upto_April23__1___1[Vegetables],
      MATCH(1,(All_India_Index_Upto_April23__1___1[Date]=$A58)*
              (All_India_Index_Upto_April23__1___1[Sector]="Rural+Urban"),0)),
    INDEX(All_India_Index_Upto_April23__1___1[Pulses and products],
      MATCH(1,(All_India_Index_Upto_April23__1___1[Date]=$A58)*
              (All_India_Index_Upto_April23__1___1[Sector]="Rural+Urban"),0)),
    INDEX(All_India_Index_Upto_April23__1___1[Sugar and Confectionery],
      MATCH(1,(All_India_Index_Upto_April23__1___1[Date]=$A58)*
              (All_India_Index_Upto_April23__1___1[Sector]="Rural+Urban"),0)),
    INDEX(All_India_Index_Upto_April23__1___1[Spices],
      MATCH(1,(All_India_Index_Upto_April23__1___1[Date]=$A58)*
              (All_India_Index_Upto_April23__1___1[Sector]="Rural+Urban"),0)),
    INDEX(All_India_Index_Upto_April23__1___1[Non-alcoholic beverages],
      MATCH(1,(All_India_Index_Upto_April23__1___1[Date]=$A58)*
              (All_India_Index_Upto_April23__1___1[Sector]="Rural+Urban"),0)),
    INDEX(All_India_Index_Upto_April23__1___1[Prepared meals, snacks, sweets etc.],
      MATCH(1,(All_India_Index_Upto_April23__1___1[Date]=$A58)*
              (All_India_Index_Upto_April23__1___1[Sector]="Rural+Urban"),0))
  ),
"")</f>
        <v>167.31666666666669</v>
      </c>
      <c r="P58" s="2" cm="1">
        <f t="array" ref="P58">IFERROR(
  AVERAGE(
    INDEX(All_India_Index_Upto_April23__1___1[Cereals and products],
      MATCH(1,(All_India_Index_Upto_April23__1___1[Date]=EDATE($A58,-12))*
              (All_India_Index_Upto_April23__1___1[Sector]="Rural+Urban"),0)),
    INDEX(All_India_Index_Upto_April23__1___1[Meat and fish],
      MATCH(1,(All_India_Index_Upto_April23__1___1[Date]=EDATE($A58,-12))*
              (All_India_Index_Upto_April23__1___1[Sector]="Rural+Urban"),0)),
    INDEX(All_India_Index_Upto_April23__1___1[Egg],
      MATCH(1,(All_India_Index_Upto_April23__1___1[Date]=EDATE($A58,-12))*
              (All_India_Index_Upto_April23__1___1[Sector]="Rural+Urban"),0)),
    INDEX(All_India_Index_Upto_April23__1___1[Milk and products],
      MATCH(1,(All_India_Index_Upto_April23__1___1[Date]=EDATE($A58,-12))*
              (All_India_Index_Upto_April23__1___1[Sector]="Rural+Urban"),0)),
    INDEX(All_India_Index_Upto_April23__1___1[Oils and fats],
      MATCH(1,(All_India_Index_Upto_April23__1___1[Date]=EDATE($A58,-12))*
              (All_India_Index_Upto_April23__1___1[Sector]="Rural+Urban"),0)),
    INDEX(All_India_Index_Upto_April23__1___1[Fruits],
      MATCH(1,(All_India_Index_Upto_April23__1___1[Date]=EDATE($A58,-12))*
              (All_India_Index_Upto_April23__1___1[Sector]="Rural+Urban"),0)),
    INDEX(All_India_Index_Upto_April23__1___1[Vegetables],
      MATCH(1,(All_India_Index_Upto_April23__1___1[Date]=EDATE($A58,-12))*
              (All_India_Index_Upto_April23__1___1[Sector]="Rural+Urban"),0)),
    INDEX(All_India_Index_Upto_April23__1___1[Pulses and products],
      MATCH(1,(All_India_Index_Upto_April23__1___1[Date]=EDATE($A58,-12))*
              (All_India_Index_Upto_April23__1___1[Sector]="Rural+Urban"),0)),
    INDEX(All_India_Index_Upto_April23__1___1[Sugar and Confectionery],
      MATCH(1,(All_India_Index_Upto_April23__1___1[Date]=EDATE($A58,-12))*
              (All_India_Index_Upto_April23__1___1[Sector]="Rural+Urban"),0)),
    INDEX(All_India_Index_Upto_April23__1___1[Spices],
      MATCH(1,(All_India_Index_Upto_April23__1___1[Date]=EDATE($A58,-12))*
              (All_India_Index_Upto_April23__1___1[Sector]="Rural+Urban"),0)),
    INDEX(All_India_Index_Upto_April23__1___1[Non-alcoholic beverages],
      MATCH(1,(All_India_Index_Upto_April23__1___1[Date]=EDATE($A58,-12))*
              (All_India_Index_Upto_April23__1___1[Sector]="Rural+Urban"),0)),
    INDEX(All_India_Index_Upto_April23__1___1[Prepared meals, snacks, sweets etc.],
      MATCH(1,(All_India_Index_Upto_April23__1___1[Date]=EDATE($A58,-12))*
              (All_India_Index_Upto_April23__1___1[Sector]="Rural+Urban"),0))
  ),
"")</f>
        <v>157.26666666666668</v>
      </c>
      <c r="Q58" s="8">
        <f t="shared" si="2"/>
        <v>6.390419669351427E-2</v>
      </c>
      <c r="R58" t="str">
        <f t="shared" si="3"/>
        <v>COVID</v>
      </c>
      <c r="T58" s="2" cm="1">
        <f t="array" ref="T58">IFERROR(
  INDEX(
    All_India_Index_Upto_April23__1___1[Health],
    MATCH(
      1,
      (All_India_Index_Upto_April23__1___1[Date]=$A58) *
      (All_India_Index_Upto_April23__1___1[Sector]="Rural+Urban"),
      0
    )
  ),
"")</f>
        <v>169.1</v>
      </c>
      <c r="U58" s="2" cm="1">
        <f t="array" ref="U58">IFERROR(
  INDEX(
    All_India_Index_Upto_April23__1___1[Health],
    MATCH(
      1,
      (All_India_Index_Upto_April23__1___1[Date]=EDATE($A58,-12)) *
      (All_India_Index_Upto_April23__1___1[Sector]="Rural+Urban"),
      0
    )
  ),
"")</f>
        <v>156.30000000000001</v>
      </c>
      <c r="V58" s="8">
        <f t="shared" si="4"/>
        <v>8.189379398592439E-2</v>
      </c>
      <c r="W58" t="str">
        <f t="shared" si="5"/>
        <v>COVID</v>
      </c>
      <c r="Y58" s="2" cm="1">
        <f t="array" ref="Y58">IFERROR(
  AVERAGE(
    INDEX(All_India_Index_Upto_April23__1___1[Pan, tobacco and intoxicants],
      MATCH(1,(All_India_Index_Upto_April23__1___1[Date]=$A58)*
              (All_India_Index_Upto_April23__1___1[Sector]="Rural+Urban"),0)),
    INDEX(All_India_Index_Upto_April23__1___1[Clothing],
      MATCH(1,(All_India_Index_Upto_April23__1___1[Date]=$A58)*
              (All_India_Index_Upto_April23__1___1[Sector]="Rural+Urban"),0)),
    INDEX(All_India_Index_Upto_April23__1___1[Footwear],
      MATCH(1,(All_India_Index_Upto_April23__1___1[Date]=$A58)*
              (All_India_Index_Upto_April23__1___1[Sector]="Rural+Urban"),0)),
    INDEX(All_India_Index_Upto_April23__1___1[Clothing and footwear],
      MATCH(1,(All_India_Index_Upto_April23__1___1[Date]=$A58)*
              (All_India_Index_Upto_April23__1___1[Sector]="Rural+Urban"),0)),
    INDEX(All_India_Index_Upto_April23__1___1[Housing],
      MATCH(1,(All_India_Index_Upto_April23__1___1[Date]=$A58)*
              (All_India_Index_Upto_April23__1___1[Sector]="Rural+Urban"),0)),
    INDEX(All_India_Index_Upto_April23__1___1[Fuel and light],
      MATCH(1,(All_India_Index_Upto_April23__1___1[Date]=$A58)*
              (All_India_Index_Upto_April23__1___1[Sector]="Rural+Urban"),0)),
    INDEX(All_India_Index_Upto_April23__1___1[Household goods and services],
      MATCH(1,(All_India_Index_Upto_April23__1___1[Date]=$A58)*
              (All_India_Index_Upto_April23__1___1[Sector]="Rural+Urban"),0)),
    INDEX(All_India_Index_Upto_April23__1___1[Health],
      MATCH(1,(All_India_Index_Upto_April23__1___1[Date]=$A58)*
              (All_India_Index_Upto_April23__1___1[Sector]="Rural+Urban"),0)),
    INDEX(All_India_Index_Upto_April23__1___1[Transport and communication],
      MATCH(1,(All_India_Index_Upto_April23__1___1[Date]=$A58)*
              (All_India_Index_Upto_April23__1___1[Sector]="Rural+Urban"),0)),
    INDEX(All_India_Index_Upto_April23__1___1[Recreation and amusement],
      MATCH(1,(All_India_Index_Upto_April23__1___1[Date]=$A58)*
              (All_India_Index_Upto_April23__1___1[Sector]="Rural+Urban"),0)),
    INDEX(All_India_Index_Upto_April23__1___1[Education],
      MATCH(1,(All_India_Index_Upto_April23__1___1[Date]=$A58)*
              (All_India_Index_Upto_April23__1___1[Sector]="Rural+Urban"),0)),
    INDEX(All_India_Index_Upto_April23__1___1[Personal care and effects],
      MATCH(1,(All_India_Index_Upto_April23__1___1[Date]=$A58)*
              (All_India_Index_Upto_April23__1___1[Sector]="Rural+Urban"),0)),
    INDEX(All_India_Index_Upto_April23__1___1[Miscellaneous],
      MATCH(1,(All_India_Index_Upto_April23__1___1[Date]=$A58)*
              (All_India_Index_Upto_April23__1___1[Sector]="Rural+Urban"),0))
  ),
"")</f>
        <v>164.22499999999999</v>
      </c>
      <c r="Z58" s="2" cm="1">
        <f t="array" ref="Z58">IFERROR(
  AVERAGE(
    INDEX(All_India_Index_Upto_April23__1___1[Pan, tobacco and intoxicants],
      MATCH(1,(All_India_Index_Upto_April23__1___1[Date]=EDATE($A58,-12))*
              (All_India_Index_Upto_April23__1___1[Sector]="Rural+Urban"),0)),
    INDEX(All_India_Index_Upto_April23__1___1[Clothing],
      MATCH(1,(All_India_Index_Upto_April23__1___1[Date]=EDATE($A58,-12))*
              (All_India_Index_Upto_April23__1___1[Sector]="Rural+Urban"),0)),
    INDEX(All_India_Index_Upto_April23__1___1[Footwear],
      MATCH(1,(All_India_Index_Upto_April23__1___1[Date]=EDATE($A58,-12))*
              (All_India_Index_Upto_April23__1___1[Sector]="Rural+Urban"),0)),
    INDEX(All_India_Index_Upto_April23__1___1[Clothing and footwear],
      MATCH(1,(All_India_Index_Upto_April23__1___1[Date]=EDATE($A58,-12))*
              (All_India_Index_Upto_April23__1___1[Sector]="Rural+Urban"),0)),
    INDEX(All_India_Index_Upto_April23__1___1[Housing],
      MATCH(1,(All_India_Index_Upto_April23__1___1[Date]=EDATE($A58,-12))*
              (All_India_Index_Upto_April23__1___1[Sector]="Rural+Urban"),0)),
    INDEX(All_India_Index_Upto_April23__1___1[Fuel and light],
      MATCH(1,(All_India_Index_Upto_April23__1___1[Date]=EDATE($A58,-12))*
              (All_India_Index_Upto_April23__1___1[Sector]="Rural+Urban"),0)),
    INDEX(All_India_Index_Upto_April23__1___1[Household goods and services],
      MATCH(1,(All_India_Index_Upto_April23__1___1[Date]=EDATE($A58,-12))*
              (All_India_Index_Upto_April23__1___1[Sector]="Rural+Urban"),0)),
    INDEX(All_India_Index_Upto_April23__1___1[Health],
      MATCH(1,(All_India_Index_Upto_April23__1___1[Date]=EDATE($A58,-12))*
              (All_India_Index_Upto_April23__1___1[Sector]="Rural+Urban"),0)),
    INDEX(All_India_Index_Upto_April23__1___1[Transport and communication],
      MATCH(1,(All_India_Index_Upto_April23__1___1[Date]=EDATE($A58,-12))*
              (All_India_Index_Upto_April23__1___1[Sector]="Rural+Urban"),0)),
    INDEX(All_India_Index_Upto_April23__1___1[Recreation and amusement],
      MATCH(1,(All_India_Index_Upto_April23__1___1[Date]=EDATE($A58,-12))*
              (All_India_Index_Upto_April23__1___1[Sector]="Rural+Urban"),0)),
    INDEX(All_India_Index_Upto_April23__1___1[Education],
      MATCH(1,(All_India_Index_Upto_April23__1___1[Date]=EDATE($A58,-12))*
              (All_India_Index_Upto_April23__1___1[Sector]="Rural+Urban"),0)),
    INDEX(All_India_Index_Upto_April23__1___1[Personal care and effects],
      MATCH(1,(All_India_Index_Upto_April23__1___1[Date]=EDATE($A58,-12))*
              (All_India_Index_Upto_April23__1___1[Sector]="Rural+Urban"),0)),
    INDEX(All_India_Index_Upto_April23__1___1[Miscellaneous],
      MATCH(1,(All_India_Index_Upto_April23__1___1[Date]=EDATE($A58,-12))*
              (All_India_Index_Upto_April23__1___1[Sector]="Rural+Urban"),0))
  ),
"")</f>
        <v>153</v>
      </c>
      <c r="AA58" s="8">
        <f t="shared" si="6"/>
        <v>7.3366013071895386E-2</v>
      </c>
      <c r="AB58" t="str">
        <f t="shared" si="7"/>
        <v>COVID</v>
      </c>
    </row>
    <row r="59" spans="1:28" x14ac:dyDescent="0.2">
      <c r="A59" s="22">
        <v>44501</v>
      </c>
      <c r="B59">
        <v>2021</v>
      </c>
      <c r="C59" t="s">
        <v>51</v>
      </c>
      <c r="D59" s="2" cm="1">
        <f t="array" ref="D59">IFERROR(
  INDEX(
    All_India_Index_Upto_April23__1___1[General index],
    MATCH(
      1,
      (All_India_Index_Upto_April23__1___1[Sector]="Rural+Urban") *
      (All_India_Index_Upto_April23__1___1[Date]=A59),
      0
    )
  ),
"")</f>
        <v>166.7</v>
      </c>
      <c r="E59" s="2" cm="1">
        <f t="array" ref="E59">IFERROR(
  INDEX(
    All_India_Index_Upto_April23__1___1[General index],
    MATCH(
      1,
      (All_India_Index_Upto_April23__1___1[Sector]="Rural+Urban") *
      (All_India_Index_Upto_April23__1___1[Date]=EDATE(A59,-12)),
      0
    )
  ),
"")</f>
        <v>158.4</v>
      </c>
      <c r="F59" s="8">
        <f t="shared" si="0"/>
        <v>5.2398989898989834E-2</v>
      </c>
      <c r="G59" t="str">
        <f t="shared" si="1"/>
        <v>COVID</v>
      </c>
      <c r="O59" s="2" cm="1">
        <f t="array" ref="O59">IFERROR(
  AVERAGE(
    INDEX(All_India_Index_Upto_April23__1___1[Cereals and products],
      MATCH(1,(All_India_Index_Upto_April23__1___1[Date]=$A59)*
              (All_India_Index_Upto_April23__1___1[Sector]="Rural+Urban"),0)),
    INDEX(All_India_Index_Upto_April23__1___1[Meat and fish],
      MATCH(1,(All_India_Index_Upto_April23__1___1[Date]=$A59)*
              (All_India_Index_Upto_April23__1___1[Sector]="Rural+Urban"),0)),
    INDEX(All_India_Index_Upto_April23__1___1[Egg],
      MATCH(1,(All_India_Index_Upto_April23__1___1[Date]=$A59)*
              (All_India_Index_Upto_April23__1___1[Sector]="Rural+Urban"),0)),
    INDEX(All_India_Index_Upto_April23__1___1[Milk and products],
      MATCH(1,(All_India_Index_Upto_April23__1___1[Date]=$A59)*
              (All_India_Index_Upto_April23__1___1[Sector]="Rural+Urban"),0)),
    INDEX(All_India_Index_Upto_April23__1___1[Oils and fats],
      MATCH(1,(All_India_Index_Upto_April23__1___1[Date]=$A59)*
              (All_India_Index_Upto_April23__1___1[Sector]="Rural+Urban"),0)),
    INDEX(All_India_Index_Upto_April23__1___1[Fruits],
      MATCH(1,(All_India_Index_Upto_April23__1___1[Date]=$A59)*
              (All_India_Index_Upto_April23__1___1[Sector]="Rural+Urban"),0)),
    INDEX(All_India_Index_Upto_April23__1___1[Vegetables],
      MATCH(1,(All_India_Index_Upto_April23__1___1[Date]=$A59)*
              (All_India_Index_Upto_April23__1___1[Sector]="Rural+Urban"),0)),
    INDEX(All_India_Index_Upto_April23__1___1[Pulses and products],
      MATCH(1,(All_India_Index_Upto_April23__1___1[Date]=$A59)*
              (All_India_Index_Upto_April23__1___1[Sector]="Rural+Urban"),0)),
    INDEX(All_India_Index_Upto_April23__1___1[Sugar and Confectionery],
      MATCH(1,(All_India_Index_Upto_April23__1___1[Date]=$A59)*
              (All_India_Index_Upto_April23__1___1[Sector]="Rural+Urban"),0)),
    INDEX(All_India_Index_Upto_April23__1___1[Spices],
      MATCH(1,(All_India_Index_Upto_April23__1___1[Date]=$A59)*
              (All_India_Index_Upto_April23__1___1[Sector]="Rural+Urban"),0)),
    INDEX(All_India_Index_Upto_April23__1___1[Non-alcoholic beverages],
      MATCH(1,(All_India_Index_Upto_April23__1___1[Date]=$A59)*
              (All_India_Index_Upto_April23__1___1[Sector]="Rural+Urban"),0)),
    INDEX(All_India_Index_Upto_April23__1___1[Prepared meals, snacks, sweets etc.],
      MATCH(1,(All_India_Index_Upto_April23__1___1[Date]=$A59)*
              (All_India_Index_Upto_April23__1___1[Sector]="Rural+Urban"),0))
  ),
"")</f>
        <v>168.7</v>
      </c>
      <c r="P59" s="2" cm="1">
        <f t="array" ref="P59">IFERROR(
  AVERAGE(
    INDEX(All_India_Index_Upto_April23__1___1[Cereals and products],
      MATCH(1,(All_India_Index_Upto_April23__1___1[Date]=EDATE($A59,-12))*
              (All_India_Index_Upto_April23__1___1[Sector]="Rural+Urban"),0)),
    INDEX(All_India_Index_Upto_April23__1___1[Meat and fish],
      MATCH(1,(All_India_Index_Upto_April23__1___1[Date]=EDATE($A59,-12))*
              (All_India_Index_Upto_April23__1___1[Sector]="Rural+Urban"),0)),
    INDEX(All_India_Index_Upto_April23__1___1[Egg],
      MATCH(1,(All_India_Index_Upto_April23__1___1[Date]=EDATE($A59,-12))*
              (All_India_Index_Upto_April23__1___1[Sector]="Rural+Urban"),0)),
    INDEX(All_India_Index_Upto_April23__1___1[Milk and products],
      MATCH(1,(All_India_Index_Upto_April23__1___1[Date]=EDATE($A59,-12))*
              (All_India_Index_Upto_April23__1___1[Sector]="Rural+Urban"),0)),
    INDEX(All_India_Index_Upto_April23__1___1[Oils and fats],
      MATCH(1,(All_India_Index_Upto_April23__1___1[Date]=EDATE($A59,-12))*
              (All_India_Index_Upto_April23__1___1[Sector]="Rural+Urban"),0)),
    INDEX(All_India_Index_Upto_April23__1___1[Fruits],
      MATCH(1,(All_India_Index_Upto_April23__1___1[Date]=EDATE($A59,-12))*
              (All_India_Index_Upto_April23__1___1[Sector]="Rural+Urban"),0)),
    INDEX(All_India_Index_Upto_April23__1___1[Vegetables],
      MATCH(1,(All_India_Index_Upto_April23__1___1[Date]=EDATE($A59,-12))*
              (All_India_Index_Upto_April23__1___1[Sector]="Rural+Urban"),0)),
    INDEX(All_India_Index_Upto_April23__1___1[Pulses and products],
      MATCH(1,(All_India_Index_Upto_April23__1___1[Date]=EDATE($A59,-12))*
              (All_India_Index_Upto_April23__1___1[Sector]="Rural+Urban"),0)),
    INDEX(All_India_Index_Upto_April23__1___1[Sugar and Confectionery],
      MATCH(1,(All_India_Index_Upto_April23__1___1[Date]=EDATE($A59,-12))*
              (All_India_Index_Upto_April23__1___1[Sector]="Rural+Urban"),0)),
    INDEX(All_India_Index_Upto_April23__1___1[Spices],
      MATCH(1,(All_India_Index_Upto_April23__1___1[Date]=EDATE($A59,-12))*
              (All_India_Index_Upto_April23__1___1[Sector]="Rural+Urban"),0)),
    INDEX(All_India_Index_Upto_April23__1___1[Non-alcoholic beverages],
      MATCH(1,(All_India_Index_Upto_April23__1___1[Date]=EDATE($A59,-12))*
              (All_India_Index_Upto_April23__1___1[Sector]="Rural+Urban"),0)),
    INDEX(All_India_Index_Upto_April23__1___1[Prepared meals, snacks, sweets etc.],
      MATCH(1,(All_India_Index_Upto_April23__1___1[Date]=EDATE($A59,-12))*
              (All_India_Index_Upto_April23__1___1[Sector]="Rural+Urban"),0))
  ),
"")</f>
        <v>160.90833333333333</v>
      </c>
      <c r="Q59" s="8">
        <f t="shared" si="2"/>
        <v>4.8423015174271007E-2</v>
      </c>
      <c r="R59" t="str">
        <f t="shared" si="3"/>
        <v>COVID</v>
      </c>
      <c r="T59" s="2" cm="1">
        <f t="array" ref="T59">IFERROR(
  INDEX(
    All_India_Index_Upto_April23__1___1[Health],
    MATCH(
      1,
      (All_India_Index_Upto_April23__1___1[Date]=$A59) *
      (All_India_Index_Upto_April23__1___1[Sector]="Rural+Urban"),
      0
    )
  ),
"")</f>
        <v>169.9</v>
      </c>
      <c r="U59" s="2" cm="1">
        <f t="array" ref="U59">IFERROR(
  INDEX(
    All_India_Index_Upto_April23__1___1[Health],
    MATCH(
      1,
      (All_India_Index_Upto_April23__1___1[Date]=EDATE($A59,-12)) *
      (All_India_Index_Upto_April23__1___1[Sector]="Rural+Urban"),
      0
    )
  ),
"")</f>
        <v>157.19999999999999</v>
      </c>
      <c r="V59" s="8">
        <f t="shared" si="4"/>
        <v>8.0788804071246931E-2</v>
      </c>
      <c r="W59" t="str">
        <f t="shared" si="5"/>
        <v>COVID</v>
      </c>
      <c r="Y59" s="2" cm="1">
        <f t="array" ref="Y59">IFERROR(
  AVERAGE(
    INDEX(All_India_Index_Upto_April23__1___1[Pan, tobacco and intoxicants],
      MATCH(1,(All_India_Index_Upto_April23__1___1[Date]=$A59)*
              (All_India_Index_Upto_April23__1___1[Sector]="Rural+Urban"),0)),
    INDEX(All_India_Index_Upto_April23__1___1[Clothing],
      MATCH(1,(All_India_Index_Upto_April23__1___1[Date]=$A59)*
              (All_India_Index_Upto_April23__1___1[Sector]="Rural+Urban"),0)),
    INDEX(All_India_Index_Upto_April23__1___1[Footwear],
      MATCH(1,(All_India_Index_Upto_April23__1___1[Date]=$A59)*
              (All_India_Index_Upto_April23__1___1[Sector]="Rural+Urban"),0)),
    INDEX(All_India_Index_Upto_April23__1___1[Clothing and footwear],
      MATCH(1,(All_India_Index_Upto_April23__1___1[Date]=$A59)*
              (All_India_Index_Upto_April23__1___1[Sector]="Rural+Urban"),0)),
    INDEX(All_India_Index_Upto_April23__1___1[Housing],
      MATCH(1,(All_India_Index_Upto_April23__1___1[Date]=$A59)*
              (All_India_Index_Upto_April23__1___1[Sector]="Rural+Urban"),0)),
    INDEX(All_India_Index_Upto_April23__1___1[Fuel and light],
      MATCH(1,(All_India_Index_Upto_April23__1___1[Date]=$A59)*
              (All_India_Index_Upto_April23__1___1[Sector]="Rural+Urban"),0)),
    INDEX(All_India_Index_Upto_April23__1___1[Household goods and services],
      MATCH(1,(All_India_Index_Upto_April23__1___1[Date]=$A59)*
              (All_India_Index_Upto_April23__1___1[Sector]="Rural+Urban"),0)),
    INDEX(All_India_Index_Upto_April23__1___1[Health],
      MATCH(1,(All_India_Index_Upto_April23__1___1[Date]=$A59)*
              (All_India_Index_Upto_April23__1___1[Sector]="Rural+Urban"),0)),
    INDEX(All_India_Index_Upto_April23__1___1[Transport and communication],
      MATCH(1,(All_India_Index_Upto_April23__1___1[Date]=$A59)*
              (All_India_Index_Upto_April23__1___1[Sector]="Rural+Urban"),0)),
    INDEX(All_India_Index_Upto_April23__1___1[Recreation and amusement],
      MATCH(1,(All_India_Index_Upto_April23__1___1[Date]=$A59)*
              (All_India_Index_Upto_April23__1___1[Sector]="Rural+Urban"),0)),
    INDEX(All_India_Index_Upto_April23__1___1[Education],
      MATCH(1,(All_India_Index_Upto_April23__1___1[Date]=$A59)*
              (All_India_Index_Upto_April23__1___1[Sector]="Rural+Urban"),0)),
    INDEX(All_India_Index_Upto_April23__1___1[Personal care and effects],
      MATCH(1,(All_India_Index_Upto_April23__1___1[Date]=$A59)*
              (All_India_Index_Upto_April23__1___1[Sector]="Rural+Urban"),0)),
    INDEX(All_India_Index_Upto_April23__1___1[Miscellaneous],
      MATCH(1,(All_India_Index_Upto_April23__1___1[Date]=$A59)*
              (All_India_Index_Upto_April23__1___1[Sector]="Rural+Urban"),0))
  ),
"")</f>
        <v>164.90833333333333</v>
      </c>
      <c r="Z59" s="2" cm="1">
        <f t="array" ref="Z59">IFERROR(
  AVERAGE(
    INDEX(All_India_Index_Upto_April23__1___1[Pan, tobacco and intoxicants],
      MATCH(1,(All_India_Index_Upto_April23__1___1[Date]=EDATE($A59,-12))*
              (All_India_Index_Upto_April23__1___1[Sector]="Rural+Urban"),0)),
    INDEX(All_India_Index_Upto_April23__1___1[Clothing],
      MATCH(1,(All_India_Index_Upto_April23__1___1[Date]=EDATE($A59,-12))*
              (All_India_Index_Upto_April23__1___1[Sector]="Rural+Urban"),0)),
    INDEX(All_India_Index_Upto_April23__1___1[Footwear],
      MATCH(1,(All_India_Index_Upto_April23__1___1[Date]=EDATE($A59,-12))*
              (All_India_Index_Upto_April23__1___1[Sector]="Rural+Urban"),0)),
    INDEX(All_India_Index_Upto_April23__1___1[Clothing and footwear],
      MATCH(1,(All_India_Index_Upto_April23__1___1[Date]=EDATE($A59,-12))*
              (All_India_Index_Upto_April23__1___1[Sector]="Rural+Urban"),0)),
    INDEX(All_India_Index_Upto_April23__1___1[Housing],
      MATCH(1,(All_India_Index_Upto_April23__1___1[Date]=EDATE($A59,-12))*
              (All_India_Index_Upto_April23__1___1[Sector]="Rural+Urban"),0)),
    INDEX(All_India_Index_Upto_April23__1___1[Fuel and light],
      MATCH(1,(All_India_Index_Upto_April23__1___1[Date]=EDATE($A59,-12))*
              (All_India_Index_Upto_April23__1___1[Sector]="Rural+Urban"),0)),
    INDEX(All_India_Index_Upto_April23__1___1[Household goods and services],
      MATCH(1,(All_India_Index_Upto_April23__1___1[Date]=EDATE($A59,-12))*
              (All_India_Index_Upto_April23__1___1[Sector]="Rural+Urban"),0)),
    INDEX(All_India_Index_Upto_April23__1___1[Health],
      MATCH(1,(All_India_Index_Upto_April23__1___1[Date]=EDATE($A59,-12))*
              (All_India_Index_Upto_April23__1___1[Sector]="Rural+Urban"),0)),
    INDEX(All_India_Index_Upto_April23__1___1[Transport and communication],
      MATCH(1,(All_India_Index_Upto_April23__1___1[Date]=EDATE($A59,-12))*
              (All_India_Index_Upto_April23__1___1[Sector]="Rural+Urban"),0)),
    INDEX(All_India_Index_Upto_April23__1___1[Recreation and amusement],
      MATCH(1,(All_India_Index_Upto_April23__1___1[Date]=EDATE($A59,-12))*
              (All_India_Index_Upto_April23__1___1[Sector]="Rural+Urban"),0)),
    INDEX(All_India_Index_Upto_April23__1___1[Education],
      MATCH(1,(All_India_Index_Upto_April23__1___1[Date]=EDATE($A59,-12))*
              (All_India_Index_Upto_April23__1___1[Sector]="Rural+Urban"),0)),
    INDEX(All_India_Index_Upto_April23__1___1[Personal care and effects],
      MATCH(1,(All_India_Index_Upto_April23__1___1[Date]=EDATE($A59,-12))*
              (All_India_Index_Upto_April23__1___1[Sector]="Rural+Urban"),0)),
    INDEX(All_India_Index_Upto_April23__1___1[Miscellaneous],
      MATCH(1,(All_India_Index_Upto_April23__1___1[Date]=EDATE($A59,-12))*
              (All_India_Index_Upto_April23__1___1[Sector]="Rural+Urban"),0))
  ),
"")</f>
        <v>153.48333333333335</v>
      </c>
      <c r="AA59" s="8">
        <f t="shared" si="6"/>
        <v>7.4438049733955791E-2</v>
      </c>
      <c r="AB59" t="str">
        <f t="shared" si="7"/>
        <v>COVID</v>
      </c>
    </row>
    <row r="60" spans="1:28" x14ac:dyDescent="0.2">
      <c r="A60" s="22">
        <v>44531</v>
      </c>
      <c r="B60">
        <v>2021</v>
      </c>
      <c r="C60" t="s">
        <v>53</v>
      </c>
      <c r="D60" s="2" cm="1">
        <f t="array" ref="D60">IFERROR(
  INDEX(
    All_India_Index_Upto_April23__1___1[General index],
    MATCH(
      1,
      (All_India_Index_Upto_April23__1___1[Sector]="Rural+Urban") *
      (All_India_Index_Upto_April23__1___1[Date]=A60),
      0
    )
  ),
"")</f>
        <v>166.2</v>
      </c>
      <c r="E60" s="2" cm="1">
        <f t="array" ref="E60">IFERROR(
  INDEX(
    All_India_Index_Upto_April23__1___1[General index],
    MATCH(
      1,
      (All_India_Index_Upto_April23__1___1[Sector]="Rural+Urban") *
      (All_India_Index_Upto_April23__1___1[Date]=EDATE(A60,-12)),
      0
    )
  ),
"")</f>
        <v>158.9</v>
      </c>
      <c r="F60" s="8">
        <f t="shared" si="0"/>
        <v>4.5940843297671341E-2</v>
      </c>
      <c r="G60" t="str">
        <f t="shared" si="1"/>
        <v>COVID</v>
      </c>
      <c r="O60" s="2" cm="1">
        <f t="array" ref="O60">IFERROR(
  AVERAGE(
    INDEX(All_India_Index_Upto_April23__1___1[Cereals and products],
      MATCH(1,(All_India_Index_Upto_April23__1___1[Date]=$A60)*
              (All_India_Index_Upto_April23__1___1[Sector]="Rural+Urban"),0)),
    INDEX(All_India_Index_Upto_April23__1___1[Meat and fish],
      MATCH(1,(All_India_Index_Upto_April23__1___1[Date]=$A60)*
              (All_India_Index_Upto_April23__1___1[Sector]="Rural+Urban"),0)),
    INDEX(All_India_Index_Upto_April23__1___1[Egg],
      MATCH(1,(All_India_Index_Upto_April23__1___1[Date]=$A60)*
              (All_India_Index_Upto_April23__1___1[Sector]="Rural+Urban"),0)),
    INDEX(All_India_Index_Upto_April23__1___1[Milk and products],
      MATCH(1,(All_India_Index_Upto_April23__1___1[Date]=$A60)*
              (All_India_Index_Upto_April23__1___1[Sector]="Rural+Urban"),0)),
    INDEX(All_India_Index_Upto_April23__1___1[Oils and fats],
      MATCH(1,(All_India_Index_Upto_April23__1___1[Date]=$A60)*
              (All_India_Index_Upto_April23__1___1[Sector]="Rural+Urban"),0)),
    INDEX(All_India_Index_Upto_April23__1___1[Fruits],
      MATCH(1,(All_India_Index_Upto_April23__1___1[Date]=$A60)*
              (All_India_Index_Upto_April23__1___1[Sector]="Rural+Urban"),0)),
    INDEX(All_India_Index_Upto_April23__1___1[Vegetables],
      MATCH(1,(All_India_Index_Upto_April23__1___1[Date]=$A60)*
              (All_India_Index_Upto_April23__1___1[Sector]="Rural+Urban"),0)),
    INDEX(All_India_Index_Upto_April23__1___1[Pulses and products],
      MATCH(1,(All_India_Index_Upto_April23__1___1[Date]=$A60)*
              (All_India_Index_Upto_April23__1___1[Sector]="Rural+Urban"),0)),
    INDEX(All_India_Index_Upto_April23__1___1[Sugar and Confectionery],
      MATCH(1,(All_India_Index_Upto_April23__1___1[Date]=$A60)*
              (All_India_Index_Upto_April23__1___1[Sector]="Rural+Urban"),0)),
    INDEX(All_India_Index_Upto_April23__1___1[Spices],
      MATCH(1,(All_India_Index_Upto_April23__1___1[Date]=$A60)*
              (All_India_Index_Upto_April23__1___1[Sector]="Rural+Urban"),0)),
    INDEX(All_India_Index_Upto_April23__1___1[Non-alcoholic beverages],
      MATCH(1,(All_India_Index_Upto_April23__1___1[Date]=$A60)*
              (All_India_Index_Upto_April23__1___1[Sector]="Rural+Urban"),0)),
    INDEX(All_India_Index_Upto_April23__1___1[Prepared meals, snacks, sweets etc.],
      MATCH(1,(All_India_Index_Upto_April23__1___1[Date]=$A60)*
              (All_India_Index_Upto_April23__1___1[Sector]="Rural+Urban"),0))
  ),
"")</f>
        <v>167.72499999999999</v>
      </c>
      <c r="P60" s="2" cm="1">
        <f t="array" ref="P60">IFERROR(
  AVERAGE(
    INDEX(All_India_Index_Upto_April23__1___1[Cereals and products],
      MATCH(1,(All_India_Index_Upto_April23__1___1[Date]=EDATE($A60,-12))*
              (All_India_Index_Upto_April23__1___1[Sector]="Rural+Urban"),0)),
    INDEX(All_India_Index_Upto_April23__1___1[Meat and fish],
      MATCH(1,(All_India_Index_Upto_April23__1___1[Date]=EDATE($A60,-12))*
              (All_India_Index_Upto_April23__1___1[Sector]="Rural+Urban"),0)),
    INDEX(All_India_Index_Upto_April23__1___1[Egg],
      MATCH(1,(All_India_Index_Upto_April23__1___1[Date]=EDATE($A60,-12))*
              (All_India_Index_Upto_April23__1___1[Sector]="Rural+Urban"),0)),
    INDEX(All_India_Index_Upto_April23__1___1[Milk and products],
      MATCH(1,(All_India_Index_Upto_April23__1___1[Date]=EDATE($A60,-12))*
              (All_India_Index_Upto_April23__1___1[Sector]="Rural+Urban"),0)),
    INDEX(All_India_Index_Upto_April23__1___1[Oils and fats],
      MATCH(1,(All_India_Index_Upto_April23__1___1[Date]=EDATE($A60,-12))*
              (All_India_Index_Upto_April23__1___1[Sector]="Rural+Urban"),0)),
    INDEX(All_India_Index_Upto_April23__1___1[Fruits],
      MATCH(1,(All_India_Index_Upto_April23__1___1[Date]=EDATE($A60,-12))*
              (All_India_Index_Upto_April23__1___1[Sector]="Rural+Urban"),0)),
    INDEX(All_India_Index_Upto_April23__1___1[Vegetables],
      MATCH(1,(All_India_Index_Upto_April23__1___1[Date]=EDATE($A60,-12))*
              (All_India_Index_Upto_April23__1___1[Sector]="Rural+Urban"),0)),
    INDEX(All_India_Index_Upto_April23__1___1[Pulses and products],
      MATCH(1,(All_India_Index_Upto_April23__1___1[Date]=EDATE($A60,-12))*
              (All_India_Index_Upto_April23__1___1[Sector]="Rural+Urban"),0)),
    INDEX(All_India_Index_Upto_April23__1___1[Sugar and Confectionery],
      MATCH(1,(All_India_Index_Upto_April23__1___1[Date]=EDATE($A60,-12))*
              (All_India_Index_Upto_April23__1___1[Sector]="Rural+Urban"),0)),
    INDEX(All_India_Index_Upto_April23__1___1[Spices],
      MATCH(1,(All_India_Index_Upto_April23__1___1[Date]=EDATE($A60,-12))*
              (All_India_Index_Upto_April23__1___1[Sector]="Rural+Urban"),0)),
    INDEX(All_India_Index_Upto_April23__1___1[Non-alcoholic beverages],
      MATCH(1,(All_India_Index_Upto_April23__1___1[Date]=EDATE($A60,-12))*
              (All_India_Index_Upto_April23__1___1[Sector]="Rural+Urban"),0)),
    INDEX(All_India_Index_Upto_April23__1___1[Prepared meals, snacks, sweets etc.],
      MATCH(1,(All_India_Index_Upto_April23__1___1[Date]=EDATE($A60,-12))*
              (All_India_Index_Upto_April23__1___1[Sector]="Rural+Urban"),0))
  ),
"")</f>
        <v>161.97499999999999</v>
      </c>
      <c r="Q60" s="8">
        <f t="shared" si="2"/>
        <v>3.5499305448371661E-2</v>
      </c>
      <c r="R60" t="str">
        <f t="shared" si="3"/>
        <v>COVID</v>
      </c>
      <c r="T60" s="2" cm="1">
        <f t="array" ref="T60">IFERROR(
  INDEX(
    All_India_Index_Upto_April23__1___1[Health],
    MATCH(
      1,
      (All_India_Index_Upto_April23__1___1[Date]=$A60) *
      (All_India_Index_Upto_April23__1___1[Sector]="Rural+Urban"),
      0
    )
  ),
"")</f>
        <v>170.6</v>
      </c>
      <c r="U60" s="2" cm="1">
        <f t="array" ref="U60">IFERROR(
  INDEX(
    All_India_Index_Upto_April23__1___1[Health],
    MATCH(
      1,
      (All_India_Index_Upto_April23__1___1[Date]=EDATE($A60,-12)) *
      (All_India_Index_Upto_April23__1___1[Sector]="Rural+Urban"),
      0
    )
  ),
"")</f>
        <v>158.30000000000001</v>
      </c>
      <c r="V60" s="8">
        <f t="shared" si="4"/>
        <v>7.7700568540745307E-2</v>
      </c>
      <c r="W60" t="str">
        <f t="shared" si="5"/>
        <v>COVID</v>
      </c>
      <c r="Y60" s="2" cm="1">
        <f t="array" ref="Y60">IFERROR(
  AVERAGE(
    INDEX(All_India_Index_Upto_April23__1___1[Pan, tobacco and intoxicants],
      MATCH(1,(All_India_Index_Upto_April23__1___1[Date]=$A60)*
              (All_India_Index_Upto_April23__1___1[Sector]="Rural+Urban"),0)),
    INDEX(All_India_Index_Upto_April23__1___1[Clothing],
      MATCH(1,(All_India_Index_Upto_April23__1___1[Date]=$A60)*
              (All_India_Index_Upto_April23__1___1[Sector]="Rural+Urban"),0)),
    INDEX(All_India_Index_Upto_April23__1___1[Footwear],
      MATCH(1,(All_India_Index_Upto_April23__1___1[Date]=$A60)*
              (All_India_Index_Upto_April23__1___1[Sector]="Rural+Urban"),0)),
    INDEX(All_India_Index_Upto_April23__1___1[Clothing and footwear],
      MATCH(1,(All_India_Index_Upto_April23__1___1[Date]=$A60)*
              (All_India_Index_Upto_April23__1___1[Sector]="Rural+Urban"),0)),
    INDEX(All_India_Index_Upto_April23__1___1[Housing],
      MATCH(1,(All_India_Index_Upto_April23__1___1[Date]=$A60)*
              (All_India_Index_Upto_April23__1___1[Sector]="Rural+Urban"),0)),
    INDEX(All_India_Index_Upto_April23__1___1[Fuel and light],
      MATCH(1,(All_India_Index_Upto_April23__1___1[Date]=$A60)*
              (All_India_Index_Upto_April23__1___1[Sector]="Rural+Urban"),0)),
    INDEX(All_India_Index_Upto_April23__1___1[Household goods and services],
      MATCH(1,(All_India_Index_Upto_April23__1___1[Date]=$A60)*
              (All_India_Index_Upto_April23__1___1[Sector]="Rural+Urban"),0)),
    INDEX(All_India_Index_Upto_April23__1___1[Health],
      MATCH(1,(All_India_Index_Upto_April23__1___1[Date]=$A60)*
              (All_India_Index_Upto_April23__1___1[Sector]="Rural+Urban"),0)),
    INDEX(All_India_Index_Upto_April23__1___1[Transport and communication],
      MATCH(1,(All_India_Index_Upto_April23__1___1[Date]=$A60)*
              (All_India_Index_Upto_April23__1___1[Sector]="Rural+Urban"),0)),
    INDEX(All_India_Index_Upto_April23__1___1[Recreation and amusement],
      MATCH(1,(All_India_Index_Upto_April23__1___1[Date]=$A60)*
              (All_India_Index_Upto_April23__1___1[Sector]="Rural+Urban"),0)),
    INDEX(All_India_Index_Upto_April23__1___1[Education],
      MATCH(1,(All_India_Index_Upto_April23__1___1[Date]=$A60)*
              (All_India_Index_Upto_April23__1___1[Sector]="Rural+Urban"),0)),
    INDEX(All_India_Index_Upto_April23__1___1[Personal care and effects],
      MATCH(1,(All_India_Index_Upto_April23__1___1[Date]=$A60)*
              (All_India_Index_Upto_April23__1___1[Sector]="Rural+Urban"),0)),
    INDEX(All_India_Index_Upto_April23__1___1[Miscellaneous],
      MATCH(1,(All_India_Index_Upto_April23__1___1[Date]=$A60)*
              (All_India_Index_Upto_April23__1___1[Sector]="Rural+Urban"),0))
  ),
"")</f>
        <v>165.56666666666663</v>
      </c>
      <c r="Z60" s="2" cm="1">
        <f t="array" ref="Z60">IFERROR(
  AVERAGE(
    INDEX(All_India_Index_Upto_April23__1___1[Pan, tobacco and intoxicants],
      MATCH(1,(All_India_Index_Upto_April23__1___1[Date]=EDATE($A60,-12))*
              (All_India_Index_Upto_April23__1___1[Sector]="Rural+Urban"),0)),
    INDEX(All_India_Index_Upto_April23__1___1[Clothing],
      MATCH(1,(All_India_Index_Upto_April23__1___1[Date]=EDATE($A60,-12))*
              (All_India_Index_Upto_April23__1___1[Sector]="Rural+Urban"),0)),
    INDEX(All_India_Index_Upto_April23__1___1[Footwear],
      MATCH(1,(All_India_Index_Upto_April23__1___1[Date]=EDATE($A60,-12))*
              (All_India_Index_Upto_April23__1___1[Sector]="Rural+Urban"),0)),
    INDEX(All_India_Index_Upto_April23__1___1[Clothing and footwear],
      MATCH(1,(All_India_Index_Upto_April23__1___1[Date]=EDATE($A60,-12))*
              (All_India_Index_Upto_April23__1___1[Sector]="Rural+Urban"),0)),
    INDEX(All_India_Index_Upto_April23__1___1[Housing],
      MATCH(1,(All_India_Index_Upto_April23__1___1[Date]=EDATE($A60,-12))*
              (All_India_Index_Upto_April23__1___1[Sector]="Rural+Urban"),0)),
    INDEX(All_India_Index_Upto_April23__1___1[Fuel and light],
      MATCH(1,(All_India_Index_Upto_April23__1___1[Date]=EDATE($A60,-12))*
              (All_India_Index_Upto_April23__1___1[Sector]="Rural+Urban"),0)),
    INDEX(All_India_Index_Upto_April23__1___1[Household goods and services],
      MATCH(1,(All_India_Index_Upto_April23__1___1[Date]=EDATE($A60,-12))*
              (All_India_Index_Upto_April23__1___1[Sector]="Rural+Urban"),0)),
    INDEX(All_India_Index_Upto_April23__1___1[Health],
      MATCH(1,(All_India_Index_Upto_April23__1___1[Date]=EDATE($A60,-12))*
              (All_India_Index_Upto_April23__1___1[Sector]="Rural+Urban"),0)),
    INDEX(All_India_Index_Upto_April23__1___1[Transport and communication],
      MATCH(1,(All_India_Index_Upto_April23__1___1[Date]=EDATE($A60,-12))*
              (All_India_Index_Upto_April23__1___1[Sector]="Rural+Urban"),0)),
    INDEX(All_India_Index_Upto_April23__1___1[Recreation and amusement],
      MATCH(1,(All_India_Index_Upto_April23__1___1[Date]=EDATE($A60,-12))*
              (All_India_Index_Upto_April23__1___1[Sector]="Rural+Urban"),0)),
    INDEX(All_India_Index_Upto_April23__1___1[Education],
      MATCH(1,(All_India_Index_Upto_April23__1___1[Date]=EDATE($A60,-12))*
              (All_India_Index_Upto_April23__1___1[Sector]="Rural+Urban"),0)),
    INDEX(All_India_Index_Upto_April23__1___1[Personal care and effects],
      MATCH(1,(All_India_Index_Upto_April23__1___1[Date]=EDATE($A60,-12))*
              (All_India_Index_Upto_April23__1___1[Sector]="Rural+Urban"),0)),
    INDEX(All_India_Index_Upto_April23__1___1[Miscellaneous],
      MATCH(1,(All_India_Index_Upto_April23__1___1[Date]=EDATE($A60,-12))*
              (All_India_Index_Upto_April23__1___1[Sector]="Rural+Urban"),0))
  ),
"")</f>
        <v>154.07500000000002</v>
      </c>
      <c r="AA60" s="8">
        <f t="shared" si="6"/>
        <v>7.4584888311968953E-2</v>
      </c>
      <c r="AB60" t="str">
        <f t="shared" si="7"/>
        <v>COVID</v>
      </c>
    </row>
    <row r="61" spans="1:28" x14ac:dyDescent="0.2">
      <c r="A61" s="22">
        <v>44562</v>
      </c>
      <c r="B61">
        <v>2022</v>
      </c>
      <c r="C61" t="s">
        <v>31</v>
      </c>
      <c r="D61" s="2" cm="1">
        <f t="array" ref="D61">IFERROR(
  INDEX(
    All_India_Index_Upto_April23__1___1[General index],
    MATCH(
      1,
      (All_India_Index_Upto_April23__1___1[Sector]="Rural+Urban") *
      (All_India_Index_Upto_April23__1___1[Date]=A61),
      0
    )
  ),
"")</f>
        <v>165.7</v>
      </c>
      <c r="E61" s="2" cm="1">
        <f t="array" ref="E61">IFERROR(
  INDEX(
    All_India_Index_Upto_April23__1___1[General index],
    MATCH(
      1,
      (All_India_Index_Upto_April23__1___1[Sector]="Rural+Urban") *
      (All_India_Index_Upto_April23__1___1[Date]=EDATE(A61,-12)),
      0
    )
  ),
"")</f>
        <v>157.30000000000001</v>
      </c>
      <c r="F61" s="8">
        <f t="shared" si="0"/>
        <v>5.3401144310235127E-2</v>
      </c>
      <c r="G61" t="str">
        <f t="shared" si="1"/>
        <v>COVID</v>
      </c>
      <c r="O61" s="2" cm="1">
        <f t="array" ref="O61">IFERROR(
  AVERAGE(
    INDEX(All_India_Index_Upto_April23__1___1[Cereals and products],
      MATCH(1,(All_India_Index_Upto_April23__1___1[Date]=$A61)*
              (All_India_Index_Upto_April23__1___1[Sector]="Rural+Urban"),0)),
    INDEX(All_India_Index_Upto_April23__1___1[Meat and fish],
      MATCH(1,(All_India_Index_Upto_April23__1___1[Date]=$A61)*
              (All_India_Index_Upto_April23__1___1[Sector]="Rural+Urban"),0)),
    INDEX(All_India_Index_Upto_April23__1___1[Egg],
      MATCH(1,(All_India_Index_Upto_April23__1___1[Date]=$A61)*
              (All_India_Index_Upto_April23__1___1[Sector]="Rural+Urban"),0)),
    INDEX(All_India_Index_Upto_April23__1___1[Milk and products],
      MATCH(1,(All_India_Index_Upto_April23__1___1[Date]=$A61)*
              (All_India_Index_Upto_April23__1___1[Sector]="Rural+Urban"),0)),
    INDEX(All_India_Index_Upto_April23__1___1[Oils and fats],
      MATCH(1,(All_India_Index_Upto_April23__1___1[Date]=$A61)*
              (All_India_Index_Upto_April23__1___1[Sector]="Rural+Urban"),0)),
    INDEX(All_India_Index_Upto_April23__1___1[Fruits],
      MATCH(1,(All_India_Index_Upto_April23__1___1[Date]=$A61)*
              (All_India_Index_Upto_April23__1___1[Sector]="Rural+Urban"),0)),
    INDEX(All_India_Index_Upto_April23__1___1[Vegetables],
      MATCH(1,(All_India_Index_Upto_April23__1___1[Date]=$A61)*
              (All_India_Index_Upto_April23__1___1[Sector]="Rural+Urban"),0)),
    INDEX(All_India_Index_Upto_April23__1___1[Pulses and products],
      MATCH(1,(All_India_Index_Upto_April23__1___1[Date]=$A61)*
              (All_India_Index_Upto_April23__1___1[Sector]="Rural+Urban"),0)),
    INDEX(All_India_Index_Upto_April23__1___1[Sugar and Confectionery],
      MATCH(1,(All_India_Index_Upto_April23__1___1[Date]=$A61)*
              (All_India_Index_Upto_April23__1___1[Sector]="Rural+Urban"),0)),
    INDEX(All_India_Index_Upto_April23__1___1[Spices],
      MATCH(1,(All_India_Index_Upto_April23__1___1[Date]=$A61)*
              (All_India_Index_Upto_April23__1___1[Sector]="Rural+Urban"),0)),
    INDEX(All_India_Index_Upto_April23__1___1[Non-alcoholic beverages],
      MATCH(1,(All_India_Index_Upto_April23__1___1[Date]=$A61)*
              (All_India_Index_Upto_April23__1___1[Sector]="Rural+Urban"),0)),
    INDEX(All_India_Index_Upto_April23__1___1[Prepared meals, snacks, sweets etc.],
      MATCH(1,(All_India_Index_Upto_April23__1___1[Date]=$A61)*
              (All_India_Index_Upto_April23__1___1[Sector]="Rural+Urban"),0))
  ),
"")</f>
        <v>166.48333333333332</v>
      </c>
      <c r="P61" s="2" cm="1">
        <f t="array" ref="P61">IFERROR(
  AVERAGE(
    INDEX(All_India_Index_Upto_April23__1___1[Cereals and products],
      MATCH(1,(All_India_Index_Upto_April23__1___1[Date]=EDATE($A61,-12))*
              (All_India_Index_Upto_April23__1___1[Sector]="Rural+Urban"),0)),
    INDEX(All_India_Index_Upto_April23__1___1[Meat and fish],
      MATCH(1,(All_India_Index_Upto_April23__1___1[Date]=EDATE($A61,-12))*
              (All_India_Index_Upto_April23__1___1[Sector]="Rural+Urban"),0)),
    INDEX(All_India_Index_Upto_April23__1___1[Egg],
      MATCH(1,(All_India_Index_Upto_April23__1___1[Date]=EDATE($A61,-12))*
              (All_India_Index_Upto_April23__1___1[Sector]="Rural+Urban"),0)),
    INDEX(All_India_Index_Upto_April23__1___1[Milk and products],
      MATCH(1,(All_India_Index_Upto_April23__1___1[Date]=EDATE($A61,-12))*
              (All_India_Index_Upto_April23__1___1[Sector]="Rural+Urban"),0)),
    INDEX(All_India_Index_Upto_April23__1___1[Oils and fats],
      MATCH(1,(All_India_Index_Upto_April23__1___1[Date]=EDATE($A61,-12))*
              (All_India_Index_Upto_April23__1___1[Sector]="Rural+Urban"),0)),
    INDEX(All_India_Index_Upto_April23__1___1[Fruits],
      MATCH(1,(All_India_Index_Upto_April23__1___1[Date]=EDATE($A61,-12))*
              (All_India_Index_Upto_April23__1___1[Sector]="Rural+Urban"),0)),
    INDEX(All_India_Index_Upto_April23__1___1[Vegetables],
      MATCH(1,(All_India_Index_Upto_April23__1___1[Date]=EDATE($A61,-12))*
              (All_India_Index_Upto_April23__1___1[Sector]="Rural+Urban"),0)),
    INDEX(All_India_Index_Upto_April23__1___1[Pulses and products],
      MATCH(1,(All_India_Index_Upto_April23__1___1[Date]=EDATE($A61,-12))*
              (All_India_Index_Upto_April23__1___1[Sector]="Rural+Urban"),0)),
    INDEX(All_India_Index_Upto_April23__1___1[Sugar and Confectionery],
      MATCH(1,(All_India_Index_Upto_April23__1___1[Date]=EDATE($A61,-12))*
              (All_India_Index_Upto_April23__1___1[Sector]="Rural+Urban"),0)),
    INDEX(All_India_Index_Upto_April23__1___1[Spices],
      MATCH(1,(All_India_Index_Upto_April23__1___1[Date]=EDATE($A61,-12))*
              (All_India_Index_Upto_April23__1___1[Sector]="Rural+Urban"),0)),
    INDEX(All_India_Index_Upto_April23__1___1[Non-alcoholic beverages],
      MATCH(1,(All_India_Index_Upto_April23__1___1[Date]=EDATE($A61,-12))*
              (All_India_Index_Upto_April23__1___1[Sector]="Rural+Urban"),0)),
    INDEX(All_India_Index_Upto_April23__1___1[Prepared meals, snacks, sweets etc.],
      MATCH(1,(All_India_Index_Upto_April23__1___1[Date]=EDATE($A61,-12))*
              (All_India_Index_Upto_April23__1___1[Sector]="Rural+Urban"),0))
  ),
"")</f>
        <v>159.62499999999997</v>
      </c>
      <c r="Q61" s="8">
        <f t="shared" si="2"/>
        <v>4.2965283215870634E-2</v>
      </c>
      <c r="R61" t="str">
        <f t="shared" si="3"/>
        <v>COVID</v>
      </c>
      <c r="T61" s="2" cm="1">
        <f t="array" ref="T61">IFERROR(
  INDEX(
    All_India_Index_Upto_April23__1___1[Health],
    MATCH(
      1,
      (All_India_Index_Upto_April23__1___1[Date]=$A61) *
      (All_India_Index_Upto_April23__1___1[Sector]="Rural+Urban"),
      0
    )
  ),
"")</f>
        <v>171.4</v>
      </c>
      <c r="U61" s="2" cm="1">
        <f t="array" ref="U61">IFERROR(
  INDEX(
    All_India_Index_Upto_April23__1___1[Health],
    MATCH(
      1,
      (All_India_Index_Upto_April23__1___1[Date]=EDATE($A61,-12)) *
      (All_India_Index_Upto_April23__1___1[Sector]="Rural+Urban"),
      0
    )
  ),
"")</f>
        <v>159.30000000000001</v>
      </c>
      <c r="V61" s="8">
        <f t="shared" si="4"/>
        <v>7.5957313245448799E-2</v>
      </c>
      <c r="W61" t="str">
        <f t="shared" si="5"/>
        <v>COVID</v>
      </c>
      <c r="Y61" s="2" cm="1">
        <f t="array" ref="Y61">IFERROR(
  AVERAGE(
    INDEX(All_India_Index_Upto_April23__1___1[Pan, tobacco and intoxicants],
      MATCH(1,(All_India_Index_Upto_April23__1___1[Date]=$A61)*
              (All_India_Index_Upto_April23__1___1[Sector]="Rural+Urban"),0)),
    INDEX(All_India_Index_Upto_April23__1___1[Clothing],
      MATCH(1,(All_India_Index_Upto_April23__1___1[Date]=$A61)*
              (All_India_Index_Upto_April23__1___1[Sector]="Rural+Urban"),0)),
    INDEX(All_India_Index_Upto_April23__1___1[Footwear],
      MATCH(1,(All_India_Index_Upto_April23__1___1[Date]=$A61)*
              (All_India_Index_Upto_April23__1___1[Sector]="Rural+Urban"),0)),
    INDEX(All_India_Index_Upto_April23__1___1[Clothing and footwear],
      MATCH(1,(All_India_Index_Upto_April23__1___1[Date]=$A61)*
              (All_India_Index_Upto_April23__1___1[Sector]="Rural+Urban"),0)),
    INDEX(All_India_Index_Upto_April23__1___1[Housing],
      MATCH(1,(All_India_Index_Upto_April23__1___1[Date]=$A61)*
              (All_India_Index_Upto_April23__1___1[Sector]="Rural+Urban"),0)),
    INDEX(All_India_Index_Upto_April23__1___1[Fuel and light],
      MATCH(1,(All_India_Index_Upto_April23__1___1[Date]=$A61)*
              (All_India_Index_Upto_April23__1___1[Sector]="Rural+Urban"),0)),
    INDEX(All_India_Index_Upto_April23__1___1[Household goods and services],
      MATCH(1,(All_India_Index_Upto_April23__1___1[Date]=$A61)*
              (All_India_Index_Upto_April23__1___1[Sector]="Rural+Urban"),0)),
    INDEX(All_India_Index_Upto_April23__1___1[Health],
      MATCH(1,(All_India_Index_Upto_April23__1___1[Date]=$A61)*
              (All_India_Index_Upto_April23__1___1[Sector]="Rural+Urban"),0)),
    INDEX(All_India_Index_Upto_April23__1___1[Transport and communication],
      MATCH(1,(All_India_Index_Upto_April23__1___1[Date]=$A61)*
              (All_India_Index_Upto_April23__1___1[Sector]="Rural+Urban"),0)),
    INDEX(All_India_Index_Upto_April23__1___1[Recreation and amusement],
      MATCH(1,(All_India_Index_Upto_April23__1___1[Date]=$A61)*
              (All_India_Index_Upto_April23__1___1[Sector]="Rural+Urban"),0)),
    INDEX(All_India_Index_Upto_April23__1___1[Education],
      MATCH(1,(All_India_Index_Upto_April23__1___1[Date]=$A61)*
              (All_India_Index_Upto_April23__1___1[Sector]="Rural+Urban"),0)),
    INDEX(All_India_Index_Upto_April23__1___1[Personal care and effects],
      MATCH(1,(All_India_Index_Upto_April23__1___1[Date]=$A61)*
              (All_India_Index_Upto_April23__1___1[Sector]="Rural+Urban"),0)),
    INDEX(All_India_Index_Upto_April23__1___1[Miscellaneous],
      MATCH(1,(All_India_Index_Upto_April23__1___1[Date]=$A61)*
              (All_India_Index_Upto_April23__1___1[Sector]="Rural+Urban"),0))
  ),
"")</f>
        <v>166.34166666666667</v>
      </c>
      <c r="Z61" s="2" cm="1">
        <f t="array" ref="Z61">IFERROR(
  AVERAGE(
    INDEX(All_India_Index_Upto_April23__1___1[Pan, tobacco and intoxicants],
      MATCH(1,(All_India_Index_Upto_April23__1___1[Date]=EDATE($A61,-12))*
              (All_India_Index_Upto_April23__1___1[Sector]="Rural+Urban"),0)),
    INDEX(All_India_Index_Upto_April23__1___1[Clothing],
      MATCH(1,(All_India_Index_Upto_April23__1___1[Date]=EDATE($A61,-12))*
              (All_India_Index_Upto_April23__1___1[Sector]="Rural+Urban"),0)),
    INDEX(All_India_Index_Upto_April23__1___1[Footwear],
      MATCH(1,(All_India_Index_Upto_April23__1___1[Date]=EDATE($A61,-12))*
              (All_India_Index_Upto_April23__1___1[Sector]="Rural+Urban"),0)),
    INDEX(All_India_Index_Upto_April23__1___1[Clothing and footwear],
      MATCH(1,(All_India_Index_Upto_April23__1___1[Date]=EDATE($A61,-12))*
              (All_India_Index_Upto_April23__1___1[Sector]="Rural+Urban"),0)),
    INDEX(All_India_Index_Upto_April23__1___1[Housing],
      MATCH(1,(All_India_Index_Upto_April23__1___1[Date]=EDATE($A61,-12))*
              (All_India_Index_Upto_April23__1___1[Sector]="Rural+Urban"),0)),
    INDEX(All_India_Index_Upto_April23__1___1[Fuel and light],
      MATCH(1,(All_India_Index_Upto_April23__1___1[Date]=EDATE($A61,-12))*
              (All_India_Index_Upto_April23__1___1[Sector]="Rural+Urban"),0)),
    INDEX(All_India_Index_Upto_April23__1___1[Household goods and services],
      MATCH(1,(All_India_Index_Upto_April23__1___1[Date]=EDATE($A61,-12))*
              (All_India_Index_Upto_April23__1___1[Sector]="Rural+Urban"),0)),
    INDEX(All_India_Index_Upto_April23__1___1[Health],
      MATCH(1,(All_India_Index_Upto_April23__1___1[Date]=EDATE($A61,-12))*
              (All_India_Index_Upto_April23__1___1[Sector]="Rural+Urban"),0)),
    INDEX(All_India_Index_Upto_April23__1___1[Transport and communication],
      MATCH(1,(All_India_Index_Upto_April23__1___1[Date]=EDATE($A61,-12))*
              (All_India_Index_Upto_April23__1___1[Sector]="Rural+Urban"),0)),
    INDEX(All_India_Index_Upto_April23__1___1[Recreation and amusement],
      MATCH(1,(All_India_Index_Upto_April23__1___1[Date]=EDATE($A61,-12))*
              (All_India_Index_Upto_April23__1___1[Sector]="Rural+Urban"),0)),
    INDEX(All_India_Index_Upto_April23__1___1[Education],
      MATCH(1,(All_India_Index_Upto_April23__1___1[Date]=EDATE($A61,-12))*
              (All_India_Index_Upto_April23__1___1[Sector]="Rural+Urban"),0)),
    INDEX(All_India_Index_Upto_April23__1___1[Personal care and effects],
      MATCH(1,(All_India_Index_Upto_April23__1___1[Date]=EDATE($A61,-12))*
              (All_India_Index_Upto_April23__1___1[Sector]="Rural+Urban"),0)),
    INDEX(All_India_Index_Upto_April23__1___1[Miscellaneous],
      MATCH(1,(All_India_Index_Upto_April23__1___1[Date]=EDATE($A61,-12))*
              (All_India_Index_Upto_April23__1___1[Sector]="Rural+Urban"),0))
  ),
"")</f>
        <v>154.90833333333333</v>
      </c>
      <c r="AA61" s="8">
        <f t="shared" si="6"/>
        <v>7.3807090214643101E-2</v>
      </c>
      <c r="AB61" t="str">
        <f t="shared" si="7"/>
        <v>COVID</v>
      </c>
    </row>
    <row r="62" spans="1:28" x14ac:dyDescent="0.2">
      <c r="A62" s="22">
        <v>44593</v>
      </c>
      <c r="B62">
        <v>2022</v>
      </c>
      <c r="C62" t="s">
        <v>35</v>
      </c>
      <c r="D62" s="2" cm="1">
        <f t="array" ref="D62">IFERROR(
  INDEX(
    All_India_Index_Upto_April23__1___1[General index],
    MATCH(
      1,
      (All_India_Index_Upto_April23__1___1[Sector]="Rural+Urban") *
      (All_India_Index_Upto_April23__1___1[Date]=A62),
      0
    )
  ),
"")</f>
        <v>166.1</v>
      </c>
      <c r="E62" s="2" cm="1">
        <f t="array" ref="E62">IFERROR(
  INDEX(
    All_India_Index_Upto_April23__1___1[General index],
    MATCH(
      1,
      (All_India_Index_Upto_April23__1___1[Sector]="Rural+Urban") *
      (All_India_Index_Upto_April23__1___1[Date]=EDATE(A62,-12)),
      0
    )
  ),
"")</f>
        <v>156.6</v>
      </c>
      <c r="F62" s="8">
        <f t="shared" si="0"/>
        <v>6.0664112388250313E-2</v>
      </c>
      <c r="G62" t="str">
        <f t="shared" si="1"/>
        <v>COVID</v>
      </c>
      <c r="O62" s="2" cm="1">
        <f t="array" ref="O62">IFERROR(
  AVERAGE(
    INDEX(All_India_Index_Upto_April23__1___1[Cereals and products],
      MATCH(1,(All_India_Index_Upto_April23__1___1[Date]=$A62)*
              (All_India_Index_Upto_April23__1___1[Sector]="Rural+Urban"),0)),
    INDEX(All_India_Index_Upto_April23__1___1[Meat and fish],
      MATCH(1,(All_India_Index_Upto_April23__1___1[Date]=$A62)*
              (All_India_Index_Upto_April23__1___1[Sector]="Rural+Urban"),0)),
    INDEX(All_India_Index_Upto_April23__1___1[Egg],
      MATCH(1,(All_India_Index_Upto_April23__1___1[Date]=$A62)*
              (All_India_Index_Upto_April23__1___1[Sector]="Rural+Urban"),0)),
    INDEX(All_India_Index_Upto_April23__1___1[Milk and products],
      MATCH(1,(All_India_Index_Upto_April23__1___1[Date]=$A62)*
              (All_India_Index_Upto_April23__1___1[Sector]="Rural+Urban"),0)),
    INDEX(All_India_Index_Upto_April23__1___1[Oils and fats],
      MATCH(1,(All_India_Index_Upto_April23__1___1[Date]=$A62)*
              (All_India_Index_Upto_April23__1___1[Sector]="Rural+Urban"),0)),
    INDEX(All_India_Index_Upto_April23__1___1[Fruits],
      MATCH(1,(All_India_Index_Upto_April23__1___1[Date]=$A62)*
              (All_India_Index_Upto_April23__1___1[Sector]="Rural+Urban"),0)),
    INDEX(All_India_Index_Upto_April23__1___1[Vegetables],
      MATCH(1,(All_India_Index_Upto_April23__1___1[Date]=$A62)*
              (All_India_Index_Upto_April23__1___1[Sector]="Rural+Urban"),0)),
    INDEX(All_India_Index_Upto_April23__1___1[Pulses and products],
      MATCH(1,(All_India_Index_Upto_April23__1___1[Date]=$A62)*
              (All_India_Index_Upto_April23__1___1[Sector]="Rural+Urban"),0)),
    INDEX(All_India_Index_Upto_April23__1___1[Sugar and Confectionery],
      MATCH(1,(All_India_Index_Upto_April23__1___1[Date]=$A62)*
              (All_India_Index_Upto_April23__1___1[Sector]="Rural+Urban"),0)),
    INDEX(All_India_Index_Upto_April23__1___1[Spices],
      MATCH(1,(All_India_Index_Upto_April23__1___1[Date]=$A62)*
              (All_India_Index_Upto_April23__1___1[Sector]="Rural+Urban"),0)),
    INDEX(All_India_Index_Upto_April23__1___1[Non-alcoholic beverages],
      MATCH(1,(All_India_Index_Upto_April23__1___1[Date]=$A62)*
              (All_India_Index_Upto_April23__1___1[Sector]="Rural+Urban"),0)),
    INDEX(All_India_Index_Upto_April23__1___1[Prepared meals, snacks, sweets etc.],
      MATCH(1,(All_India_Index_Upto_April23__1___1[Date]=$A62)*
              (All_India_Index_Upto_April23__1___1[Sector]="Rural+Urban"),0))
  ),
"")</f>
        <v>166.25000000000003</v>
      </c>
      <c r="P62" s="2" cm="1">
        <f t="array" ref="P62">IFERROR(
  AVERAGE(
    INDEX(All_India_Index_Upto_April23__1___1[Cereals and products],
      MATCH(1,(All_India_Index_Upto_April23__1___1[Date]=EDATE($A62,-12))*
              (All_India_Index_Upto_April23__1___1[Sector]="Rural+Urban"),0)),
    INDEX(All_India_Index_Upto_April23__1___1[Meat and fish],
      MATCH(1,(All_India_Index_Upto_April23__1___1[Date]=EDATE($A62,-12))*
              (All_India_Index_Upto_April23__1___1[Sector]="Rural+Urban"),0)),
    INDEX(All_India_Index_Upto_April23__1___1[Egg],
      MATCH(1,(All_India_Index_Upto_April23__1___1[Date]=EDATE($A62,-12))*
              (All_India_Index_Upto_April23__1___1[Sector]="Rural+Urban"),0)),
    INDEX(All_India_Index_Upto_April23__1___1[Milk and products],
      MATCH(1,(All_India_Index_Upto_April23__1___1[Date]=EDATE($A62,-12))*
              (All_India_Index_Upto_April23__1___1[Sector]="Rural+Urban"),0)),
    INDEX(All_India_Index_Upto_April23__1___1[Oils and fats],
      MATCH(1,(All_India_Index_Upto_April23__1___1[Date]=EDATE($A62,-12))*
              (All_India_Index_Upto_April23__1___1[Sector]="Rural+Urban"),0)),
    INDEX(All_India_Index_Upto_April23__1___1[Fruits],
      MATCH(1,(All_India_Index_Upto_April23__1___1[Date]=EDATE($A62,-12))*
              (All_India_Index_Upto_April23__1___1[Sector]="Rural+Urban"),0)),
    INDEX(All_India_Index_Upto_April23__1___1[Vegetables],
      MATCH(1,(All_India_Index_Upto_April23__1___1[Date]=EDATE($A62,-12))*
              (All_India_Index_Upto_April23__1___1[Sector]="Rural+Urban"),0)),
    INDEX(All_India_Index_Upto_April23__1___1[Pulses and products],
      MATCH(1,(All_India_Index_Upto_April23__1___1[Date]=EDATE($A62,-12))*
              (All_India_Index_Upto_April23__1___1[Sector]="Rural+Urban"),0)),
    INDEX(All_India_Index_Upto_April23__1___1[Sugar and Confectionery],
      MATCH(1,(All_India_Index_Upto_April23__1___1[Date]=EDATE($A62,-12))*
              (All_India_Index_Upto_April23__1___1[Sector]="Rural+Urban"),0)),
    INDEX(All_India_Index_Upto_April23__1___1[Spices],
      MATCH(1,(All_India_Index_Upto_April23__1___1[Date]=EDATE($A62,-12))*
              (All_India_Index_Upto_April23__1___1[Sector]="Rural+Urban"),0)),
    INDEX(All_India_Index_Upto_April23__1___1[Non-alcoholic beverages],
      MATCH(1,(All_India_Index_Upto_April23__1___1[Date]=EDATE($A62,-12))*
              (All_India_Index_Upto_April23__1___1[Sector]="Rural+Urban"),0)),
    INDEX(All_India_Index_Upto_April23__1___1[Prepared meals, snacks, sweets etc.],
      MATCH(1,(All_India_Index_Upto_April23__1___1[Date]=EDATE($A62,-12))*
              (All_India_Index_Upto_April23__1___1[Sector]="Rural+Urban"),0))
  ),
"")</f>
        <v>156.86666666666667</v>
      </c>
      <c r="Q62" s="8">
        <f t="shared" si="2"/>
        <v>5.9817254568635916E-2</v>
      </c>
      <c r="R62" t="str">
        <f t="shared" si="3"/>
        <v>COVID</v>
      </c>
      <c r="T62" s="2" cm="1">
        <f t="array" ref="T62">IFERROR(
  INDEX(
    All_India_Index_Upto_April23__1___1[Health],
    MATCH(
      1,
      (All_India_Index_Upto_April23__1___1[Date]=$A62) *
      (All_India_Index_Upto_April23__1___1[Sector]="Rural+Urban"),
      0
    )
  ),
"")</f>
        <v>172.2</v>
      </c>
      <c r="U62" s="2" cm="1">
        <f t="array" ref="U62">IFERROR(
  INDEX(
    All_India_Index_Upto_April23__1___1[Health],
    MATCH(
      1,
      (All_India_Index_Upto_April23__1___1[Date]=EDATE($A62,-12)) *
      (All_India_Index_Upto_April23__1___1[Sector]="Rural+Urban"),
      0
    )
  ),
"")</f>
        <v>161.30000000000001</v>
      </c>
      <c r="V62" s="8">
        <f t="shared" si="4"/>
        <v>6.7575945443273264E-2</v>
      </c>
      <c r="W62" t="str">
        <f t="shared" si="5"/>
        <v>COVID</v>
      </c>
      <c r="Y62" s="2" cm="1">
        <f t="array" ref="Y62">IFERROR(
  AVERAGE(
    INDEX(All_India_Index_Upto_April23__1___1[Pan, tobacco and intoxicants],
      MATCH(1,(All_India_Index_Upto_April23__1___1[Date]=$A62)*
              (All_India_Index_Upto_April23__1___1[Sector]="Rural+Urban"),0)),
    INDEX(All_India_Index_Upto_April23__1___1[Clothing],
      MATCH(1,(All_India_Index_Upto_April23__1___1[Date]=$A62)*
              (All_India_Index_Upto_April23__1___1[Sector]="Rural+Urban"),0)),
    INDEX(All_India_Index_Upto_April23__1___1[Footwear],
      MATCH(1,(All_India_Index_Upto_April23__1___1[Date]=$A62)*
              (All_India_Index_Upto_April23__1___1[Sector]="Rural+Urban"),0)),
    INDEX(All_India_Index_Upto_April23__1___1[Clothing and footwear],
      MATCH(1,(All_India_Index_Upto_April23__1___1[Date]=$A62)*
              (All_India_Index_Upto_April23__1___1[Sector]="Rural+Urban"),0)),
    INDEX(All_India_Index_Upto_April23__1___1[Housing],
      MATCH(1,(All_India_Index_Upto_April23__1___1[Date]=$A62)*
              (All_India_Index_Upto_April23__1___1[Sector]="Rural+Urban"),0)),
    INDEX(All_India_Index_Upto_April23__1___1[Fuel and light],
      MATCH(1,(All_India_Index_Upto_April23__1___1[Date]=$A62)*
              (All_India_Index_Upto_April23__1___1[Sector]="Rural+Urban"),0)),
    INDEX(All_India_Index_Upto_April23__1___1[Household goods and services],
      MATCH(1,(All_India_Index_Upto_April23__1___1[Date]=$A62)*
              (All_India_Index_Upto_April23__1___1[Sector]="Rural+Urban"),0)),
    INDEX(All_India_Index_Upto_April23__1___1[Health],
      MATCH(1,(All_India_Index_Upto_April23__1___1[Date]=$A62)*
              (All_India_Index_Upto_April23__1___1[Sector]="Rural+Urban"),0)),
    INDEX(All_India_Index_Upto_April23__1___1[Transport and communication],
      MATCH(1,(All_India_Index_Upto_April23__1___1[Date]=$A62)*
              (All_India_Index_Upto_April23__1___1[Sector]="Rural+Urban"),0)),
    INDEX(All_India_Index_Upto_April23__1___1[Recreation and amusement],
      MATCH(1,(All_India_Index_Upto_April23__1___1[Date]=$A62)*
              (All_India_Index_Upto_April23__1___1[Sector]="Rural+Urban"),0)),
    INDEX(All_India_Index_Upto_April23__1___1[Education],
      MATCH(1,(All_India_Index_Upto_April23__1___1[Date]=$A62)*
              (All_India_Index_Upto_April23__1___1[Sector]="Rural+Urban"),0)),
    INDEX(All_India_Index_Upto_April23__1___1[Personal care and effects],
      MATCH(1,(All_India_Index_Upto_April23__1___1[Date]=$A62)*
              (All_India_Index_Upto_April23__1___1[Sector]="Rural+Urban"),0)),
    INDEX(All_India_Index_Upto_April23__1___1[Miscellaneous],
      MATCH(1,(All_India_Index_Upto_April23__1___1[Date]=$A62)*
              (All_India_Index_Upto_April23__1___1[Sector]="Rural+Urban"),0))
  ),
"")</f>
        <v>167.3</v>
      </c>
      <c r="Z62" s="2" cm="1">
        <f t="array" ref="Z62">IFERROR(
  AVERAGE(
    INDEX(All_India_Index_Upto_April23__1___1[Pan, tobacco and intoxicants],
      MATCH(1,(All_India_Index_Upto_April23__1___1[Date]=EDATE($A62,-12))*
              (All_India_Index_Upto_April23__1___1[Sector]="Rural+Urban"),0)),
    INDEX(All_India_Index_Upto_April23__1___1[Clothing],
      MATCH(1,(All_India_Index_Upto_April23__1___1[Date]=EDATE($A62,-12))*
              (All_India_Index_Upto_April23__1___1[Sector]="Rural+Urban"),0)),
    INDEX(All_India_Index_Upto_April23__1___1[Footwear],
      MATCH(1,(All_India_Index_Upto_April23__1___1[Date]=EDATE($A62,-12))*
              (All_India_Index_Upto_April23__1___1[Sector]="Rural+Urban"),0)),
    INDEX(All_India_Index_Upto_April23__1___1[Clothing and footwear],
      MATCH(1,(All_India_Index_Upto_April23__1___1[Date]=EDATE($A62,-12))*
              (All_India_Index_Upto_April23__1___1[Sector]="Rural+Urban"),0)),
    INDEX(All_India_Index_Upto_April23__1___1[Housing],
      MATCH(1,(All_India_Index_Upto_April23__1___1[Date]=EDATE($A62,-12))*
              (All_India_Index_Upto_April23__1___1[Sector]="Rural+Urban"),0)),
    INDEX(All_India_Index_Upto_April23__1___1[Fuel and light],
      MATCH(1,(All_India_Index_Upto_April23__1___1[Date]=EDATE($A62,-12))*
              (All_India_Index_Upto_April23__1___1[Sector]="Rural+Urban"),0)),
    INDEX(All_India_Index_Upto_April23__1___1[Household goods and services],
      MATCH(1,(All_India_Index_Upto_April23__1___1[Date]=EDATE($A62,-12))*
              (All_India_Index_Upto_April23__1___1[Sector]="Rural+Urban"),0)),
    INDEX(All_India_Index_Upto_April23__1___1[Health],
      MATCH(1,(All_India_Index_Upto_April23__1___1[Date]=EDATE($A62,-12))*
              (All_India_Index_Upto_April23__1___1[Sector]="Rural+Urban"),0)),
    INDEX(All_India_Index_Upto_April23__1___1[Transport and communication],
      MATCH(1,(All_India_Index_Upto_April23__1___1[Date]=EDATE($A62,-12))*
              (All_India_Index_Upto_April23__1___1[Sector]="Rural+Urban"),0)),
    INDEX(All_India_Index_Upto_April23__1___1[Recreation and amusement],
      MATCH(1,(All_India_Index_Upto_April23__1___1[Date]=EDATE($A62,-12))*
              (All_India_Index_Upto_April23__1___1[Sector]="Rural+Urban"),0)),
    INDEX(All_India_Index_Upto_April23__1___1[Education],
      MATCH(1,(All_India_Index_Upto_April23__1___1[Date]=EDATE($A62,-12))*
              (All_India_Index_Upto_April23__1___1[Sector]="Rural+Urban"),0)),
    INDEX(All_India_Index_Upto_April23__1___1[Personal care and effects],
      MATCH(1,(All_India_Index_Upto_April23__1___1[Date]=EDATE($A62,-12))*
              (All_India_Index_Upto_April23__1___1[Sector]="Rural+Urban"),0)),
    INDEX(All_India_Index_Upto_April23__1___1[Miscellaneous],
      MATCH(1,(All_India_Index_Upto_April23__1___1[Date]=EDATE($A62,-12))*
              (All_India_Index_Upto_April23__1___1[Sector]="Rural+Urban"),0))
  ),
"")</f>
        <v>156.54999999999998</v>
      </c>
      <c r="AA62" s="8">
        <f t="shared" si="6"/>
        <v>6.8668157138294661E-2</v>
      </c>
      <c r="AB62" t="str">
        <f t="shared" si="7"/>
        <v>COVID</v>
      </c>
    </row>
    <row r="63" spans="1:28" x14ac:dyDescent="0.2">
      <c r="A63" s="22">
        <v>44621</v>
      </c>
      <c r="B63">
        <v>2022</v>
      </c>
      <c r="C63" t="s">
        <v>37</v>
      </c>
      <c r="D63" s="2" cm="1">
        <f t="array" ref="D63">IFERROR(
  INDEX(
    All_India_Index_Upto_April23__1___1[General index],
    MATCH(
      1,
      (All_India_Index_Upto_April23__1___1[Sector]="Rural+Urban") *
      (All_India_Index_Upto_April23__1___1[Date]=A63),
      0
    )
  ),
"")</f>
        <v>167.7</v>
      </c>
      <c r="E63" s="2" cm="1">
        <f t="array" ref="E63">IFERROR(
  INDEX(
    All_India_Index_Upto_April23__1___1[General index],
    MATCH(
      1,
      (All_India_Index_Upto_April23__1___1[Sector]="Rural+Urban") *
      (All_India_Index_Upto_April23__1___1[Date]=EDATE(A63,-12)),
      0
    )
  ),
"")</f>
        <v>156.80000000000001</v>
      </c>
      <c r="F63" s="8">
        <f t="shared" si="0"/>
        <v>6.9515306122448939E-2</v>
      </c>
      <c r="G63" t="str">
        <f t="shared" si="1"/>
        <v>COVID</v>
      </c>
      <c r="O63" s="2" cm="1">
        <f t="array" ref="O63">IFERROR(
  AVERAGE(
    INDEX(All_India_Index_Upto_April23__1___1[Cereals and products],
      MATCH(1,(All_India_Index_Upto_April23__1___1[Date]=$A63)*
              (All_India_Index_Upto_April23__1___1[Sector]="Rural+Urban"),0)),
    INDEX(All_India_Index_Upto_April23__1___1[Meat and fish],
      MATCH(1,(All_India_Index_Upto_April23__1___1[Date]=$A63)*
              (All_India_Index_Upto_April23__1___1[Sector]="Rural+Urban"),0)),
    INDEX(All_India_Index_Upto_April23__1___1[Egg],
      MATCH(1,(All_India_Index_Upto_April23__1___1[Date]=$A63)*
              (All_India_Index_Upto_April23__1___1[Sector]="Rural+Urban"),0)),
    INDEX(All_India_Index_Upto_April23__1___1[Milk and products],
      MATCH(1,(All_India_Index_Upto_April23__1___1[Date]=$A63)*
              (All_India_Index_Upto_April23__1___1[Sector]="Rural+Urban"),0)),
    INDEX(All_India_Index_Upto_April23__1___1[Oils and fats],
      MATCH(1,(All_India_Index_Upto_April23__1___1[Date]=$A63)*
              (All_India_Index_Upto_April23__1___1[Sector]="Rural+Urban"),0)),
    INDEX(All_India_Index_Upto_April23__1___1[Fruits],
      MATCH(1,(All_India_Index_Upto_April23__1___1[Date]=$A63)*
              (All_India_Index_Upto_April23__1___1[Sector]="Rural+Urban"),0)),
    INDEX(All_India_Index_Upto_April23__1___1[Vegetables],
      MATCH(1,(All_India_Index_Upto_April23__1___1[Date]=$A63)*
              (All_India_Index_Upto_April23__1___1[Sector]="Rural+Urban"),0)),
    INDEX(All_India_Index_Upto_April23__1___1[Pulses and products],
      MATCH(1,(All_India_Index_Upto_April23__1___1[Date]=$A63)*
              (All_India_Index_Upto_April23__1___1[Sector]="Rural+Urban"),0)),
    INDEX(All_India_Index_Upto_April23__1___1[Sugar and Confectionery],
      MATCH(1,(All_India_Index_Upto_April23__1___1[Date]=$A63)*
              (All_India_Index_Upto_April23__1___1[Sector]="Rural+Urban"),0)),
    INDEX(All_India_Index_Upto_April23__1___1[Spices],
      MATCH(1,(All_India_Index_Upto_April23__1___1[Date]=$A63)*
              (All_India_Index_Upto_April23__1___1[Sector]="Rural+Urban"),0)),
    INDEX(All_India_Index_Upto_April23__1___1[Non-alcoholic beverages],
      MATCH(1,(All_India_Index_Upto_April23__1___1[Date]=$A63)*
              (All_India_Index_Upto_April23__1___1[Sector]="Rural+Urban"),0)),
    INDEX(All_India_Index_Upto_April23__1___1[Prepared meals, snacks, sweets etc.],
      MATCH(1,(All_India_Index_Upto_April23__1___1[Date]=$A63)*
              (All_India_Index_Upto_April23__1___1[Sector]="Rural+Urban"),0))
  ),
"")</f>
        <v>167.98333333333335</v>
      </c>
      <c r="P63" s="2" cm="1">
        <f t="array" ref="P63">IFERROR(
  AVERAGE(
    INDEX(All_India_Index_Upto_April23__1___1[Cereals and products],
      MATCH(1,(All_India_Index_Upto_April23__1___1[Date]=EDATE($A63,-12))*
              (All_India_Index_Upto_April23__1___1[Sector]="Rural+Urban"),0)),
    INDEX(All_India_Index_Upto_April23__1___1[Meat and fish],
      MATCH(1,(All_India_Index_Upto_April23__1___1[Date]=EDATE($A63,-12))*
              (All_India_Index_Upto_April23__1___1[Sector]="Rural+Urban"),0)),
    INDEX(All_India_Index_Upto_April23__1___1[Egg],
      MATCH(1,(All_India_Index_Upto_April23__1___1[Date]=EDATE($A63,-12))*
              (All_India_Index_Upto_April23__1___1[Sector]="Rural+Urban"),0)),
    INDEX(All_India_Index_Upto_April23__1___1[Milk and products],
      MATCH(1,(All_India_Index_Upto_April23__1___1[Date]=EDATE($A63,-12))*
              (All_India_Index_Upto_April23__1___1[Sector]="Rural+Urban"),0)),
    INDEX(All_India_Index_Upto_April23__1___1[Oils and fats],
      MATCH(1,(All_India_Index_Upto_April23__1___1[Date]=EDATE($A63,-12))*
              (All_India_Index_Upto_April23__1___1[Sector]="Rural+Urban"),0)),
    INDEX(All_India_Index_Upto_April23__1___1[Fruits],
      MATCH(1,(All_India_Index_Upto_April23__1___1[Date]=EDATE($A63,-12))*
              (All_India_Index_Upto_April23__1___1[Sector]="Rural+Urban"),0)),
    INDEX(All_India_Index_Upto_April23__1___1[Vegetables],
      MATCH(1,(All_India_Index_Upto_April23__1___1[Date]=EDATE($A63,-12))*
              (All_India_Index_Upto_April23__1___1[Sector]="Rural+Urban"),0)),
    INDEX(All_India_Index_Upto_April23__1___1[Pulses and products],
      MATCH(1,(All_India_Index_Upto_April23__1___1[Date]=EDATE($A63,-12))*
              (All_India_Index_Upto_April23__1___1[Sector]="Rural+Urban"),0)),
    INDEX(All_India_Index_Upto_April23__1___1[Sugar and Confectionery],
      MATCH(1,(All_India_Index_Upto_April23__1___1[Date]=EDATE($A63,-12))*
              (All_India_Index_Upto_April23__1___1[Sector]="Rural+Urban"),0)),
    INDEX(All_India_Index_Upto_April23__1___1[Spices],
      MATCH(1,(All_India_Index_Upto_April23__1___1[Date]=EDATE($A63,-12))*
              (All_India_Index_Upto_April23__1___1[Sector]="Rural+Urban"),0)),
    INDEX(All_India_Index_Upto_April23__1___1[Non-alcoholic beverages],
      MATCH(1,(All_India_Index_Upto_April23__1___1[Date]=EDATE($A63,-12))*
              (All_India_Index_Upto_April23__1___1[Sector]="Rural+Urban"),0)),
    INDEX(All_India_Index_Upto_April23__1___1[Prepared meals, snacks, sweets etc.],
      MATCH(1,(All_India_Index_Upto_April23__1___1[Date]=EDATE($A63,-12))*
              (All_India_Index_Upto_April23__1___1[Sector]="Rural+Urban"),0))
  ),
"")</f>
        <v>156.89166666666665</v>
      </c>
      <c r="Q63" s="8">
        <f t="shared" si="2"/>
        <v>7.069634036224591E-2</v>
      </c>
      <c r="R63" t="str">
        <f t="shared" si="3"/>
        <v>COVID</v>
      </c>
      <c r="T63" s="2" cm="1">
        <f t="array" ref="T63">IFERROR(
  INDEX(
    All_India_Index_Upto_April23__1___1[Health],
    MATCH(
      1,
      (All_India_Index_Upto_April23__1___1[Date]=$A63) *
      (All_India_Index_Upto_April23__1___1[Sector]="Rural+Urban"),
      0
    )
  ),
"")</f>
        <v>173</v>
      </c>
      <c r="U63" s="2" cm="1">
        <f t="array" ref="U63">IFERROR(
  INDEX(
    All_India_Index_Upto_April23__1___1[Health],
    MATCH(
      1,
      (All_India_Index_Upto_April23__1___1[Date]=EDATE($A63,-12)) *
      (All_India_Index_Upto_April23__1___1[Sector]="Rural+Urban"),
      0
    )
  ),
"")</f>
        <v>161.69999999999999</v>
      </c>
      <c r="V63" s="8">
        <f t="shared" si="4"/>
        <v>6.9882498453927105E-2</v>
      </c>
      <c r="W63" t="str">
        <f t="shared" si="5"/>
        <v>COVID</v>
      </c>
      <c r="Y63" s="2" cm="1">
        <f t="array" ref="Y63">IFERROR(
  AVERAGE(
    INDEX(All_India_Index_Upto_April23__1___1[Pan, tobacco and intoxicants],
      MATCH(1,(All_India_Index_Upto_April23__1___1[Date]=$A63)*
              (All_India_Index_Upto_April23__1___1[Sector]="Rural+Urban"),0)),
    INDEX(All_India_Index_Upto_April23__1___1[Clothing],
      MATCH(1,(All_India_Index_Upto_April23__1___1[Date]=$A63)*
              (All_India_Index_Upto_April23__1___1[Sector]="Rural+Urban"),0)),
    INDEX(All_India_Index_Upto_April23__1___1[Footwear],
      MATCH(1,(All_India_Index_Upto_April23__1___1[Date]=$A63)*
              (All_India_Index_Upto_April23__1___1[Sector]="Rural+Urban"),0)),
    INDEX(All_India_Index_Upto_April23__1___1[Clothing and footwear],
      MATCH(1,(All_India_Index_Upto_April23__1___1[Date]=$A63)*
              (All_India_Index_Upto_April23__1___1[Sector]="Rural+Urban"),0)),
    INDEX(All_India_Index_Upto_April23__1___1[Housing],
      MATCH(1,(All_India_Index_Upto_April23__1___1[Date]=$A63)*
              (All_India_Index_Upto_April23__1___1[Sector]="Rural+Urban"),0)),
    INDEX(All_India_Index_Upto_April23__1___1[Fuel and light],
      MATCH(1,(All_India_Index_Upto_April23__1___1[Date]=$A63)*
              (All_India_Index_Upto_April23__1___1[Sector]="Rural+Urban"),0)),
    INDEX(All_India_Index_Upto_April23__1___1[Household goods and services],
      MATCH(1,(All_India_Index_Upto_April23__1___1[Date]=$A63)*
              (All_India_Index_Upto_April23__1___1[Sector]="Rural+Urban"),0)),
    INDEX(All_India_Index_Upto_April23__1___1[Health],
      MATCH(1,(All_India_Index_Upto_April23__1___1[Date]=$A63)*
              (All_India_Index_Upto_April23__1___1[Sector]="Rural+Urban"),0)),
    INDEX(All_India_Index_Upto_April23__1___1[Transport and communication],
      MATCH(1,(All_India_Index_Upto_April23__1___1[Date]=$A63)*
              (All_India_Index_Upto_April23__1___1[Sector]="Rural+Urban"),0)),
    INDEX(All_India_Index_Upto_April23__1___1[Recreation and amusement],
      MATCH(1,(All_India_Index_Upto_April23__1___1[Date]=$A63)*
              (All_India_Index_Upto_April23__1___1[Sector]="Rural+Urban"),0)),
    INDEX(All_India_Index_Upto_April23__1___1[Education],
      MATCH(1,(All_India_Index_Upto_April23__1___1[Date]=$A63)*
              (All_India_Index_Upto_April23__1___1[Sector]="Rural+Urban"),0)),
    INDEX(All_India_Index_Upto_April23__1___1[Personal care and effects],
      MATCH(1,(All_India_Index_Upto_April23__1___1[Date]=$A63)*
              (All_India_Index_Upto_April23__1___1[Sector]="Rural+Urban"),0)),
    INDEX(All_India_Index_Upto_April23__1___1[Miscellaneous],
      MATCH(1,(All_India_Index_Upto_April23__1___1[Date]=$A63)*
              (All_India_Index_Upto_April23__1___1[Sector]="Rural+Urban"),0))
  ),
"")</f>
        <v>168.625</v>
      </c>
      <c r="Z63" s="2" cm="1">
        <f t="array" ref="Z63">IFERROR(
  AVERAGE(
    INDEX(All_India_Index_Upto_April23__1___1[Pan, tobacco and intoxicants],
      MATCH(1,(All_India_Index_Upto_April23__1___1[Date]=EDATE($A63,-12))*
              (All_India_Index_Upto_April23__1___1[Sector]="Rural+Urban"),0)),
    INDEX(All_India_Index_Upto_April23__1___1[Clothing],
      MATCH(1,(All_India_Index_Upto_April23__1___1[Date]=EDATE($A63,-12))*
              (All_India_Index_Upto_April23__1___1[Sector]="Rural+Urban"),0)),
    INDEX(All_India_Index_Upto_April23__1___1[Footwear],
      MATCH(1,(All_India_Index_Upto_April23__1___1[Date]=EDATE($A63,-12))*
              (All_India_Index_Upto_April23__1___1[Sector]="Rural+Urban"),0)),
    INDEX(All_India_Index_Upto_April23__1___1[Clothing and footwear],
      MATCH(1,(All_India_Index_Upto_April23__1___1[Date]=EDATE($A63,-12))*
              (All_India_Index_Upto_April23__1___1[Sector]="Rural+Urban"),0)),
    INDEX(All_India_Index_Upto_April23__1___1[Housing],
      MATCH(1,(All_India_Index_Upto_April23__1___1[Date]=EDATE($A63,-12))*
              (All_India_Index_Upto_April23__1___1[Sector]="Rural+Urban"),0)),
    INDEX(All_India_Index_Upto_April23__1___1[Fuel and light],
      MATCH(1,(All_India_Index_Upto_April23__1___1[Date]=EDATE($A63,-12))*
              (All_India_Index_Upto_April23__1___1[Sector]="Rural+Urban"),0)),
    INDEX(All_India_Index_Upto_April23__1___1[Household goods and services],
      MATCH(1,(All_India_Index_Upto_April23__1___1[Date]=EDATE($A63,-12))*
              (All_India_Index_Upto_April23__1___1[Sector]="Rural+Urban"),0)),
    INDEX(All_India_Index_Upto_April23__1___1[Health],
      MATCH(1,(All_India_Index_Upto_April23__1___1[Date]=EDATE($A63,-12))*
              (All_India_Index_Upto_April23__1___1[Sector]="Rural+Urban"),0)),
    INDEX(All_India_Index_Upto_April23__1___1[Transport and communication],
      MATCH(1,(All_India_Index_Upto_April23__1___1[Date]=EDATE($A63,-12))*
              (All_India_Index_Upto_April23__1___1[Sector]="Rural+Urban"),0)),
    INDEX(All_India_Index_Upto_April23__1___1[Recreation and amusement],
      MATCH(1,(All_India_Index_Upto_April23__1___1[Date]=EDATE($A63,-12))*
              (All_India_Index_Upto_April23__1___1[Sector]="Rural+Urban"),0)),
    INDEX(All_India_Index_Upto_April23__1___1[Education],
      MATCH(1,(All_India_Index_Upto_April23__1___1[Date]=EDATE($A63,-12))*
              (All_India_Index_Upto_April23__1___1[Sector]="Rural+Urban"),0)),
    INDEX(All_India_Index_Upto_April23__1___1[Personal care and effects],
      MATCH(1,(All_India_Index_Upto_April23__1___1[Date]=EDATE($A63,-12))*
              (All_India_Index_Upto_April23__1___1[Sector]="Rural+Urban"),0)),
    INDEX(All_India_Index_Upto_April23__1___1[Miscellaneous],
      MATCH(1,(All_India_Index_Upto_April23__1___1[Date]=EDATE($A63,-12))*
              (All_India_Index_Upto_April23__1___1[Sector]="Rural+Urban"),0))
  ),
"")</f>
        <v>157.1</v>
      </c>
      <c r="AA63" s="8">
        <f t="shared" si="6"/>
        <v>7.3360916613621929E-2</v>
      </c>
      <c r="AB63" t="str">
        <f t="shared" si="7"/>
        <v>COVID</v>
      </c>
    </row>
    <row r="64" spans="1:28" x14ac:dyDescent="0.2">
      <c r="A64" s="22">
        <v>44652</v>
      </c>
      <c r="B64">
        <v>2022</v>
      </c>
      <c r="C64" t="s">
        <v>38</v>
      </c>
      <c r="D64" s="2" cm="1">
        <f t="array" ref="D64">IFERROR(
  INDEX(
    All_India_Index_Upto_April23__1___1[General index],
    MATCH(
      1,
      (All_India_Index_Upto_April23__1___1[Sector]="Rural+Urban") *
      (All_India_Index_Upto_April23__1___1[Date]=A64),
      0
    )
  ),
"")</f>
        <v>170.1</v>
      </c>
      <c r="E64" s="2" cm="1">
        <f t="array" ref="E64">IFERROR(
  INDEX(
    All_India_Index_Upto_April23__1___1[General index],
    MATCH(
      1,
      (All_India_Index_Upto_April23__1___1[Sector]="Rural+Urban") *
      (All_India_Index_Upto_April23__1___1[Date]=EDATE(A64,-12)),
      0
    )
  ),
"")</f>
        <v>157.80000000000001</v>
      </c>
      <c r="F64" s="8">
        <f t="shared" si="0"/>
        <v>7.7946768060836336E-2</v>
      </c>
      <c r="G64" t="str">
        <f t="shared" si="1"/>
        <v>Post-COVID</v>
      </c>
      <c r="O64" s="2" cm="1">
        <f t="array" ref="O64">IFERROR(
  AVERAGE(
    INDEX(All_India_Index_Upto_April23__1___1[Cereals and products],
      MATCH(1,(All_India_Index_Upto_April23__1___1[Date]=$A64)*
              (All_India_Index_Upto_April23__1___1[Sector]="Rural+Urban"),0)),
    INDEX(All_India_Index_Upto_April23__1___1[Meat and fish],
      MATCH(1,(All_India_Index_Upto_April23__1___1[Date]=$A64)*
              (All_India_Index_Upto_April23__1___1[Sector]="Rural+Urban"),0)),
    INDEX(All_India_Index_Upto_April23__1___1[Egg],
      MATCH(1,(All_India_Index_Upto_April23__1___1[Date]=$A64)*
              (All_India_Index_Upto_April23__1___1[Sector]="Rural+Urban"),0)),
    INDEX(All_India_Index_Upto_April23__1___1[Milk and products],
      MATCH(1,(All_India_Index_Upto_April23__1___1[Date]=$A64)*
              (All_India_Index_Upto_April23__1___1[Sector]="Rural+Urban"),0)),
    INDEX(All_India_Index_Upto_April23__1___1[Oils and fats],
      MATCH(1,(All_India_Index_Upto_April23__1___1[Date]=$A64)*
              (All_India_Index_Upto_April23__1___1[Sector]="Rural+Urban"),0)),
    INDEX(All_India_Index_Upto_April23__1___1[Fruits],
      MATCH(1,(All_India_Index_Upto_April23__1___1[Date]=$A64)*
              (All_India_Index_Upto_April23__1___1[Sector]="Rural+Urban"),0)),
    INDEX(All_India_Index_Upto_April23__1___1[Vegetables],
      MATCH(1,(All_India_Index_Upto_April23__1___1[Date]=$A64)*
              (All_India_Index_Upto_April23__1___1[Sector]="Rural+Urban"),0)),
    INDEX(All_India_Index_Upto_April23__1___1[Pulses and products],
      MATCH(1,(All_India_Index_Upto_April23__1___1[Date]=$A64)*
              (All_India_Index_Upto_April23__1___1[Sector]="Rural+Urban"),0)),
    INDEX(All_India_Index_Upto_April23__1___1[Sugar and Confectionery],
      MATCH(1,(All_India_Index_Upto_April23__1___1[Date]=$A64)*
              (All_India_Index_Upto_April23__1___1[Sector]="Rural+Urban"),0)),
    INDEX(All_India_Index_Upto_April23__1___1[Spices],
      MATCH(1,(All_India_Index_Upto_April23__1___1[Date]=$A64)*
              (All_India_Index_Upto_April23__1___1[Sector]="Rural+Urban"),0)),
    INDEX(All_India_Index_Upto_April23__1___1[Non-alcoholic beverages],
      MATCH(1,(All_India_Index_Upto_April23__1___1[Date]=$A64)*
              (All_India_Index_Upto_April23__1___1[Sector]="Rural+Urban"),0)),
    INDEX(All_India_Index_Upto_April23__1___1[Prepared meals, snacks, sweets etc.],
      MATCH(1,(All_India_Index_Upto_April23__1___1[Date]=$A64)*
              (All_India_Index_Upto_April23__1___1[Sector]="Rural+Urban"),0))
  ),
"")</f>
        <v>170.29166666666669</v>
      </c>
      <c r="P64" s="2" cm="1">
        <f t="array" ref="P64">IFERROR(
  AVERAGE(
    INDEX(All_India_Index_Upto_April23__1___1[Cereals and products],
      MATCH(1,(All_India_Index_Upto_April23__1___1[Date]=EDATE($A64,-12))*
              (All_India_Index_Upto_April23__1___1[Sector]="Rural+Urban"),0)),
    INDEX(All_India_Index_Upto_April23__1___1[Meat and fish],
      MATCH(1,(All_India_Index_Upto_April23__1___1[Date]=EDATE($A64,-12))*
              (All_India_Index_Upto_April23__1___1[Sector]="Rural+Urban"),0)),
    INDEX(All_India_Index_Upto_April23__1___1[Egg],
      MATCH(1,(All_India_Index_Upto_April23__1___1[Date]=EDATE($A64,-12))*
              (All_India_Index_Upto_April23__1___1[Sector]="Rural+Urban"),0)),
    INDEX(All_India_Index_Upto_April23__1___1[Milk and products],
      MATCH(1,(All_India_Index_Upto_April23__1___1[Date]=EDATE($A64,-12))*
              (All_India_Index_Upto_April23__1___1[Sector]="Rural+Urban"),0)),
    INDEX(All_India_Index_Upto_April23__1___1[Oils and fats],
      MATCH(1,(All_India_Index_Upto_April23__1___1[Date]=EDATE($A64,-12))*
              (All_India_Index_Upto_April23__1___1[Sector]="Rural+Urban"),0)),
    INDEX(All_India_Index_Upto_April23__1___1[Fruits],
      MATCH(1,(All_India_Index_Upto_April23__1___1[Date]=EDATE($A64,-12))*
              (All_India_Index_Upto_April23__1___1[Sector]="Rural+Urban"),0)),
    INDEX(All_India_Index_Upto_April23__1___1[Vegetables],
      MATCH(1,(All_India_Index_Upto_April23__1___1[Date]=EDATE($A64,-12))*
              (All_India_Index_Upto_April23__1___1[Sector]="Rural+Urban"),0)),
    INDEX(All_India_Index_Upto_April23__1___1[Pulses and products],
      MATCH(1,(All_India_Index_Upto_April23__1___1[Date]=EDATE($A64,-12))*
              (All_India_Index_Upto_April23__1___1[Sector]="Rural+Urban"),0)),
    INDEX(All_India_Index_Upto_April23__1___1[Sugar and Confectionery],
      MATCH(1,(All_India_Index_Upto_April23__1___1[Date]=EDATE($A64,-12))*
              (All_India_Index_Upto_April23__1___1[Sector]="Rural+Urban"),0)),
    INDEX(All_India_Index_Upto_April23__1___1[Spices],
      MATCH(1,(All_India_Index_Upto_April23__1___1[Date]=EDATE($A64,-12))*
              (All_India_Index_Upto_April23__1___1[Sector]="Rural+Urban"),0)),
    INDEX(All_India_Index_Upto_April23__1___1[Non-alcoholic beverages],
      MATCH(1,(All_India_Index_Upto_April23__1___1[Date]=EDATE($A64,-12))*
              (All_India_Index_Upto_April23__1___1[Sector]="Rural+Urban"),0)),
    INDEX(All_India_Index_Upto_April23__1___1[Prepared meals, snacks, sweets etc.],
      MATCH(1,(All_India_Index_Upto_April23__1___1[Date]=EDATE($A64,-12))*
              (All_India_Index_Upto_April23__1___1[Sector]="Rural+Urban"),0))
  ),
"")</f>
        <v>158.84166666666667</v>
      </c>
      <c r="Q64" s="8">
        <f t="shared" si="2"/>
        <v>7.2084360736582656E-2</v>
      </c>
      <c r="R64" t="str">
        <f t="shared" si="3"/>
        <v>Post-COVID</v>
      </c>
      <c r="T64" s="2" cm="1">
        <f t="array" ref="T64">IFERROR(
  INDEX(
    All_India_Index_Upto_April23__1___1[Health],
    MATCH(
      1,
      (All_India_Index_Upto_April23__1___1[Date]=$A64) *
      (All_India_Index_Upto_April23__1___1[Sector]="Rural+Urban"),
      0
    )
  ),
"")</f>
        <v>174</v>
      </c>
      <c r="U64" s="2" cm="1">
        <f t="array" ref="U64">IFERROR(
  INDEX(
    All_India_Index_Upto_April23__1___1[Health],
    MATCH(
      1,
      (All_India_Index_Upto_April23__1___1[Date]=EDATE($A64,-12)) *
      (All_India_Index_Upto_April23__1___1[Sector]="Rural+Urban"),
      0
    )
  ),
"")</f>
        <v>162.30000000000001</v>
      </c>
      <c r="V64" s="8">
        <f t="shared" si="4"/>
        <v>7.2088724584103439E-2</v>
      </c>
      <c r="W64" t="str">
        <f t="shared" si="5"/>
        <v>Post-COVID</v>
      </c>
      <c r="Y64" s="2" cm="1">
        <f t="array" ref="Y64">IFERROR(
  AVERAGE(
    INDEX(All_India_Index_Upto_April23__1___1[Pan, tobacco and intoxicants],
      MATCH(1,(All_India_Index_Upto_April23__1___1[Date]=$A64)*
              (All_India_Index_Upto_April23__1___1[Sector]="Rural+Urban"),0)),
    INDEX(All_India_Index_Upto_April23__1___1[Clothing],
      MATCH(1,(All_India_Index_Upto_April23__1___1[Date]=$A64)*
              (All_India_Index_Upto_April23__1___1[Sector]="Rural+Urban"),0)),
    INDEX(All_India_Index_Upto_April23__1___1[Footwear],
      MATCH(1,(All_India_Index_Upto_April23__1___1[Date]=$A64)*
              (All_India_Index_Upto_April23__1___1[Sector]="Rural+Urban"),0)),
    INDEX(All_India_Index_Upto_April23__1___1[Clothing and footwear],
      MATCH(1,(All_India_Index_Upto_April23__1___1[Date]=$A64)*
              (All_India_Index_Upto_April23__1___1[Sector]="Rural+Urban"),0)),
    INDEX(All_India_Index_Upto_April23__1___1[Housing],
      MATCH(1,(All_India_Index_Upto_April23__1___1[Date]=$A64)*
              (All_India_Index_Upto_April23__1___1[Sector]="Rural+Urban"),0)),
    INDEX(All_India_Index_Upto_April23__1___1[Fuel and light],
      MATCH(1,(All_India_Index_Upto_April23__1___1[Date]=$A64)*
              (All_India_Index_Upto_April23__1___1[Sector]="Rural+Urban"),0)),
    INDEX(All_India_Index_Upto_April23__1___1[Household goods and services],
      MATCH(1,(All_India_Index_Upto_April23__1___1[Date]=$A64)*
              (All_India_Index_Upto_April23__1___1[Sector]="Rural+Urban"),0)),
    INDEX(All_India_Index_Upto_April23__1___1[Health],
      MATCH(1,(All_India_Index_Upto_April23__1___1[Date]=$A64)*
              (All_India_Index_Upto_April23__1___1[Sector]="Rural+Urban"),0)),
    INDEX(All_India_Index_Upto_April23__1___1[Transport and communication],
      MATCH(1,(All_India_Index_Upto_April23__1___1[Date]=$A64)*
              (All_India_Index_Upto_April23__1___1[Sector]="Rural+Urban"),0)),
    INDEX(All_India_Index_Upto_April23__1___1[Recreation and amusement],
      MATCH(1,(All_India_Index_Upto_April23__1___1[Date]=$A64)*
              (All_India_Index_Upto_April23__1___1[Sector]="Rural+Urban"),0)),
    INDEX(All_India_Index_Upto_April23__1___1[Education],
      MATCH(1,(All_India_Index_Upto_April23__1___1[Date]=$A64)*
              (All_India_Index_Upto_April23__1___1[Sector]="Rural+Urban"),0)),
    INDEX(All_India_Index_Upto_April23__1___1[Personal care and effects],
      MATCH(1,(All_India_Index_Upto_April23__1___1[Date]=$A64)*
              (All_India_Index_Upto_April23__1___1[Sector]="Rural+Urban"),0)),
    INDEX(All_India_Index_Upto_April23__1___1[Miscellaneous],
      MATCH(1,(All_India_Index_Upto_April23__1___1[Date]=$A64)*
              (All_India_Index_Upto_April23__1___1[Sector]="Rural+Urban"),0))
  ),
"")</f>
        <v>170.56666666666666</v>
      </c>
      <c r="Z64" s="2" cm="1">
        <f t="array" ref="Z64">IFERROR(
  AVERAGE(
    INDEX(All_India_Index_Upto_April23__1___1[Pan, tobacco and intoxicants],
      MATCH(1,(All_India_Index_Upto_April23__1___1[Date]=EDATE($A64,-12))*
              (All_India_Index_Upto_April23__1___1[Sector]="Rural+Urban"),0)),
    INDEX(All_India_Index_Upto_April23__1___1[Clothing],
      MATCH(1,(All_India_Index_Upto_April23__1___1[Date]=EDATE($A64,-12))*
              (All_India_Index_Upto_April23__1___1[Sector]="Rural+Urban"),0)),
    INDEX(All_India_Index_Upto_April23__1___1[Footwear],
      MATCH(1,(All_India_Index_Upto_April23__1___1[Date]=EDATE($A64,-12))*
              (All_India_Index_Upto_April23__1___1[Sector]="Rural+Urban"),0)),
    INDEX(All_India_Index_Upto_April23__1___1[Clothing and footwear],
      MATCH(1,(All_India_Index_Upto_April23__1___1[Date]=EDATE($A64,-12))*
              (All_India_Index_Upto_April23__1___1[Sector]="Rural+Urban"),0)),
    INDEX(All_India_Index_Upto_April23__1___1[Housing],
      MATCH(1,(All_India_Index_Upto_April23__1___1[Date]=EDATE($A64,-12))*
              (All_India_Index_Upto_April23__1___1[Sector]="Rural+Urban"),0)),
    INDEX(All_India_Index_Upto_April23__1___1[Fuel and light],
      MATCH(1,(All_India_Index_Upto_April23__1___1[Date]=EDATE($A64,-12))*
              (All_India_Index_Upto_April23__1___1[Sector]="Rural+Urban"),0)),
    INDEX(All_India_Index_Upto_April23__1___1[Household goods and services],
      MATCH(1,(All_India_Index_Upto_April23__1___1[Date]=EDATE($A64,-12))*
              (All_India_Index_Upto_April23__1___1[Sector]="Rural+Urban"),0)),
    INDEX(All_India_Index_Upto_April23__1___1[Health],
      MATCH(1,(All_India_Index_Upto_April23__1___1[Date]=EDATE($A64,-12))*
              (All_India_Index_Upto_April23__1___1[Sector]="Rural+Urban"),0)),
    INDEX(All_India_Index_Upto_April23__1___1[Transport and communication],
      MATCH(1,(All_India_Index_Upto_April23__1___1[Date]=EDATE($A64,-12))*
              (All_India_Index_Upto_April23__1___1[Sector]="Rural+Urban"),0)),
    INDEX(All_India_Index_Upto_April23__1___1[Recreation and amusement],
      MATCH(1,(All_India_Index_Upto_April23__1___1[Date]=EDATE($A64,-12))*
              (All_India_Index_Upto_April23__1___1[Sector]="Rural+Urban"),0)),
    INDEX(All_India_Index_Upto_April23__1___1[Education],
      MATCH(1,(All_India_Index_Upto_April23__1___1[Date]=EDATE($A64,-12))*
              (All_India_Index_Upto_April23__1___1[Sector]="Rural+Urban"),0)),
    INDEX(All_India_Index_Upto_April23__1___1[Personal care and effects],
      MATCH(1,(All_India_Index_Upto_April23__1___1[Date]=EDATE($A64,-12))*
              (All_India_Index_Upto_April23__1___1[Sector]="Rural+Urban"),0)),
    INDEX(All_India_Index_Upto_April23__1___1[Miscellaneous],
      MATCH(1,(All_India_Index_Upto_April23__1___1[Date]=EDATE($A64,-12))*
              (All_India_Index_Upto_April23__1___1[Sector]="Rural+Urban"),0))
  ),
"")</f>
        <v>157.75000000000003</v>
      </c>
      <c r="AA64" s="8">
        <f t="shared" si="6"/>
        <v>8.1246698362387529E-2</v>
      </c>
      <c r="AB64" t="str">
        <f t="shared" si="7"/>
        <v>Post-COVID</v>
      </c>
    </row>
    <row r="65" spans="1:28" x14ac:dyDescent="0.2">
      <c r="A65" s="22">
        <v>44682</v>
      </c>
      <c r="B65">
        <v>2022</v>
      </c>
      <c r="C65" t="s">
        <v>40</v>
      </c>
      <c r="D65" s="2" cm="1">
        <f t="array" ref="D65">IFERROR(
  INDEX(
    All_India_Index_Upto_April23__1___1[General index],
    MATCH(
      1,
      (All_India_Index_Upto_April23__1___1[Sector]="Rural+Urban") *
      (All_India_Index_Upto_April23__1___1[Date]=A65),
      0
    )
  ),
"")</f>
        <v>171.7</v>
      </c>
      <c r="E65" s="2" cm="1">
        <f t="array" ref="E65">IFERROR(
  INDEX(
    All_India_Index_Upto_April23__1___1[General index],
    MATCH(
      1,
      (All_India_Index_Upto_April23__1___1[Sector]="Rural+Urban") *
      (All_India_Index_Upto_April23__1___1[Date]=EDATE(A65,-12)),
      0
    )
  ),
"")</f>
        <v>160.4</v>
      </c>
      <c r="F65" s="8">
        <f t="shared" si="0"/>
        <v>7.0448877805486143E-2</v>
      </c>
      <c r="G65" t="str">
        <f t="shared" si="1"/>
        <v>Post-COVID</v>
      </c>
      <c r="O65" s="2" cm="1">
        <f t="array" ref="O65">IFERROR(
  AVERAGE(
    INDEX(All_India_Index_Upto_April23__1___1[Cereals and products],
      MATCH(1,(All_India_Index_Upto_April23__1___1[Date]=$A65)*
              (All_India_Index_Upto_April23__1___1[Sector]="Rural+Urban"),0)),
    INDEX(All_India_Index_Upto_April23__1___1[Meat and fish],
      MATCH(1,(All_India_Index_Upto_April23__1___1[Date]=$A65)*
              (All_India_Index_Upto_April23__1___1[Sector]="Rural+Urban"),0)),
    INDEX(All_India_Index_Upto_April23__1___1[Egg],
      MATCH(1,(All_India_Index_Upto_April23__1___1[Date]=$A65)*
              (All_India_Index_Upto_April23__1___1[Sector]="Rural+Urban"),0)),
    INDEX(All_India_Index_Upto_April23__1___1[Milk and products],
      MATCH(1,(All_India_Index_Upto_April23__1___1[Date]=$A65)*
              (All_India_Index_Upto_April23__1___1[Sector]="Rural+Urban"),0)),
    INDEX(All_India_Index_Upto_April23__1___1[Oils and fats],
      MATCH(1,(All_India_Index_Upto_April23__1___1[Date]=$A65)*
              (All_India_Index_Upto_April23__1___1[Sector]="Rural+Urban"),0)),
    INDEX(All_India_Index_Upto_April23__1___1[Fruits],
      MATCH(1,(All_India_Index_Upto_April23__1___1[Date]=$A65)*
              (All_India_Index_Upto_April23__1___1[Sector]="Rural+Urban"),0)),
    INDEX(All_India_Index_Upto_April23__1___1[Vegetables],
      MATCH(1,(All_India_Index_Upto_April23__1___1[Date]=$A65)*
              (All_India_Index_Upto_April23__1___1[Sector]="Rural+Urban"),0)),
    INDEX(All_India_Index_Upto_April23__1___1[Pulses and products],
      MATCH(1,(All_India_Index_Upto_April23__1___1[Date]=$A65)*
              (All_India_Index_Upto_April23__1___1[Sector]="Rural+Urban"),0)),
    INDEX(All_India_Index_Upto_April23__1___1[Sugar and Confectionery],
      MATCH(1,(All_India_Index_Upto_April23__1___1[Date]=$A65)*
              (All_India_Index_Upto_April23__1___1[Sector]="Rural+Urban"),0)),
    INDEX(All_India_Index_Upto_April23__1___1[Spices],
      MATCH(1,(All_India_Index_Upto_April23__1___1[Date]=$A65)*
              (All_India_Index_Upto_April23__1___1[Sector]="Rural+Urban"),0)),
    INDEX(All_India_Index_Upto_April23__1___1[Non-alcoholic beverages],
      MATCH(1,(All_India_Index_Upto_April23__1___1[Date]=$A65)*
              (All_India_Index_Upto_April23__1___1[Sector]="Rural+Urban"),0)),
    INDEX(All_India_Index_Upto_April23__1___1[Prepared meals, snacks, sweets etc.],
      MATCH(1,(All_India_Index_Upto_April23__1___1[Date]=$A65)*
              (All_India_Index_Upto_April23__1___1[Sector]="Rural+Urban"),0))
  ),
"")</f>
        <v>172.13333333333335</v>
      </c>
      <c r="P65" s="2" cm="1">
        <f t="array" ref="P65">IFERROR(
  AVERAGE(
    INDEX(All_India_Index_Upto_April23__1___1[Cereals and products],
      MATCH(1,(All_India_Index_Upto_April23__1___1[Date]=EDATE($A65,-12))*
              (All_India_Index_Upto_April23__1___1[Sector]="Rural+Urban"),0)),
    INDEX(All_India_Index_Upto_April23__1___1[Meat and fish],
      MATCH(1,(All_India_Index_Upto_April23__1___1[Date]=EDATE($A65,-12))*
              (All_India_Index_Upto_April23__1___1[Sector]="Rural+Urban"),0)),
    INDEX(All_India_Index_Upto_April23__1___1[Egg],
      MATCH(1,(All_India_Index_Upto_April23__1___1[Date]=EDATE($A65,-12))*
              (All_India_Index_Upto_April23__1___1[Sector]="Rural+Urban"),0)),
    INDEX(All_India_Index_Upto_April23__1___1[Milk and products],
      MATCH(1,(All_India_Index_Upto_April23__1___1[Date]=EDATE($A65,-12))*
              (All_India_Index_Upto_April23__1___1[Sector]="Rural+Urban"),0)),
    INDEX(All_India_Index_Upto_April23__1___1[Oils and fats],
      MATCH(1,(All_India_Index_Upto_April23__1___1[Date]=EDATE($A65,-12))*
              (All_India_Index_Upto_April23__1___1[Sector]="Rural+Urban"),0)),
    INDEX(All_India_Index_Upto_April23__1___1[Fruits],
      MATCH(1,(All_India_Index_Upto_April23__1___1[Date]=EDATE($A65,-12))*
              (All_India_Index_Upto_April23__1___1[Sector]="Rural+Urban"),0)),
    INDEX(All_India_Index_Upto_April23__1___1[Vegetables],
      MATCH(1,(All_India_Index_Upto_April23__1___1[Date]=EDATE($A65,-12))*
              (All_India_Index_Upto_April23__1___1[Sector]="Rural+Urban"),0)),
    INDEX(All_India_Index_Upto_April23__1___1[Pulses and products],
      MATCH(1,(All_India_Index_Upto_April23__1___1[Date]=EDATE($A65,-12))*
              (All_India_Index_Upto_April23__1___1[Sector]="Rural+Urban"),0)),
    INDEX(All_India_Index_Upto_April23__1___1[Sugar and Confectionery],
      MATCH(1,(All_India_Index_Upto_April23__1___1[Date]=EDATE($A65,-12))*
              (All_India_Index_Upto_April23__1___1[Sector]="Rural+Urban"),0)),
    INDEX(All_India_Index_Upto_April23__1___1[Spices],
      MATCH(1,(All_India_Index_Upto_April23__1___1[Date]=EDATE($A65,-12))*
              (All_India_Index_Upto_April23__1___1[Sector]="Rural+Urban"),0)),
    INDEX(All_India_Index_Upto_April23__1___1[Non-alcoholic beverages],
      MATCH(1,(All_India_Index_Upto_April23__1___1[Date]=EDATE($A65,-12))*
              (All_India_Index_Upto_April23__1___1[Sector]="Rural+Urban"),0)),
    INDEX(All_India_Index_Upto_April23__1___1[Prepared meals, snacks, sweets etc.],
      MATCH(1,(All_India_Index_Upto_April23__1___1[Date]=EDATE($A65,-12))*
              (All_India_Index_Upto_April23__1___1[Sector]="Rural+Urban"),0))
  ),
"")</f>
        <v>162.08333333333334</v>
      </c>
      <c r="Q65" s="8">
        <f t="shared" si="2"/>
        <v>6.2005141388174874E-2</v>
      </c>
      <c r="R65" t="str">
        <f t="shared" si="3"/>
        <v>Post-COVID</v>
      </c>
      <c r="T65" s="2" cm="1">
        <f t="array" ref="T65">IFERROR(
  INDEX(
    All_India_Index_Upto_April23__1___1[Health],
    MATCH(
      1,
      (All_India_Index_Upto_April23__1___1[Date]=$A65) *
      (All_India_Index_Upto_April23__1___1[Sector]="Rural+Urban"),
      0
    )
  ),
"")</f>
        <v>174.8</v>
      </c>
      <c r="U65" s="2" cm="1">
        <f t="array" ref="U65">IFERROR(
  INDEX(
    All_India_Index_Upto_April23__1___1[Health],
    MATCH(
      1,
      (All_India_Index_Upto_April23__1___1[Date]=EDATE($A65,-12)) *
      (All_India_Index_Upto_April23__1___1[Sector]="Rural+Urban"),
      0
    )
  ),
"")</f>
        <v>165.8</v>
      </c>
      <c r="V65" s="8">
        <f t="shared" si="4"/>
        <v>5.4282267792521106E-2</v>
      </c>
      <c r="W65" t="str">
        <f t="shared" si="5"/>
        <v>Post-COVID</v>
      </c>
      <c r="Y65" s="2" cm="1">
        <f t="array" ref="Y65">IFERROR(
  AVERAGE(
    INDEX(All_India_Index_Upto_April23__1___1[Pan, tobacco and intoxicants],
      MATCH(1,(All_India_Index_Upto_April23__1___1[Date]=$A65)*
              (All_India_Index_Upto_April23__1___1[Sector]="Rural+Urban"),0)),
    INDEX(All_India_Index_Upto_April23__1___1[Clothing],
      MATCH(1,(All_India_Index_Upto_April23__1___1[Date]=$A65)*
              (All_India_Index_Upto_April23__1___1[Sector]="Rural+Urban"),0)),
    INDEX(All_India_Index_Upto_April23__1___1[Footwear],
      MATCH(1,(All_India_Index_Upto_April23__1___1[Date]=$A65)*
              (All_India_Index_Upto_April23__1___1[Sector]="Rural+Urban"),0)),
    INDEX(All_India_Index_Upto_April23__1___1[Clothing and footwear],
      MATCH(1,(All_India_Index_Upto_April23__1___1[Date]=$A65)*
              (All_India_Index_Upto_April23__1___1[Sector]="Rural+Urban"),0)),
    INDEX(All_India_Index_Upto_April23__1___1[Housing],
      MATCH(1,(All_India_Index_Upto_April23__1___1[Date]=$A65)*
              (All_India_Index_Upto_April23__1___1[Sector]="Rural+Urban"),0)),
    INDEX(All_India_Index_Upto_April23__1___1[Fuel and light],
      MATCH(1,(All_India_Index_Upto_April23__1___1[Date]=$A65)*
              (All_India_Index_Upto_April23__1___1[Sector]="Rural+Urban"),0)),
    INDEX(All_India_Index_Upto_April23__1___1[Household goods and services],
      MATCH(1,(All_India_Index_Upto_April23__1___1[Date]=$A65)*
              (All_India_Index_Upto_April23__1___1[Sector]="Rural+Urban"),0)),
    INDEX(All_India_Index_Upto_April23__1___1[Health],
      MATCH(1,(All_India_Index_Upto_April23__1___1[Date]=$A65)*
              (All_India_Index_Upto_April23__1___1[Sector]="Rural+Urban"),0)),
    INDEX(All_India_Index_Upto_April23__1___1[Transport and communication],
      MATCH(1,(All_India_Index_Upto_April23__1___1[Date]=$A65)*
              (All_India_Index_Upto_April23__1___1[Sector]="Rural+Urban"),0)),
    INDEX(All_India_Index_Upto_April23__1___1[Recreation and amusement],
      MATCH(1,(All_India_Index_Upto_April23__1___1[Date]=$A65)*
              (All_India_Index_Upto_April23__1___1[Sector]="Rural+Urban"),0)),
    INDEX(All_India_Index_Upto_April23__1___1[Education],
      MATCH(1,(All_India_Index_Upto_April23__1___1[Date]=$A65)*
              (All_India_Index_Upto_April23__1___1[Sector]="Rural+Urban"),0)),
    INDEX(All_India_Index_Upto_April23__1___1[Personal care and effects],
      MATCH(1,(All_India_Index_Upto_April23__1___1[Date]=$A65)*
              (All_India_Index_Upto_April23__1___1[Sector]="Rural+Urban"),0)),
    INDEX(All_India_Index_Upto_April23__1___1[Miscellaneous],
      MATCH(1,(All_India_Index_Upto_April23__1___1[Date]=$A65)*
              (All_India_Index_Upto_April23__1___1[Sector]="Rural+Urban"),0))
  ),
"")</f>
        <v>171.6</v>
      </c>
      <c r="Z65" s="2" cm="1">
        <f t="array" ref="Z65">IFERROR(
  AVERAGE(
    INDEX(All_India_Index_Upto_April23__1___1[Pan, tobacco and intoxicants],
      MATCH(1,(All_India_Index_Upto_April23__1___1[Date]=EDATE($A65,-12))*
              (All_India_Index_Upto_April23__1___1[Sector]="Rural+Urban"),0)),
    INDEX(All_India_Index_Upto_April23__1___1[Clothing],
      MATCH(1,(All_India_Index_Upto_April23__1___1[Date]=EDATE($A65,-12))*
              (All_India_Index_Upto_April23__1___1[Sector]="Rural+Urban"),0)),
    INDEX(All_India_Index_Upto_April23__1___1[Footwear],
      MATCH(1,(All_India_Index_Upto_April23__1___1[Date]=EDATE($A65,-12))*
              (All_India_Index_Upto_April23__1___1[Sector]="Rural+Urban"),0)),
    INDEX(All_India_Index_Upto_April23__1___1[Clothing and footwear],
      MATCH(1,(All_India_Index_Upto_April23__1___1[Date]=EDATE($A65,-12))*
              (All_India_Index_Upto_April23__1___1[Sector]="Rural+Urban"),0)),
    INDEX(All_India_Index_Upto_April23__1___1[Housing],
      MATCH(1,(All_India_Index_Upto_April23__1___1[Date]=EDATE($A65,-12))*
              (All_India_Index_Upto_April23__1___1[Sector]="Rural+Urban"),0)),
    INDEX(All_India_Index_Upto_April23__1___1[Fuel and light],
      MATCH(1,(All_India_Index_Upto_April23__1___1[Date]=EDATE($A65,-12))*
              (All_India_Index_Upto_April23__1___1[Sector]="Rural+Urban"),0)),
    INDEX(All_India_Index_Upto_April23__1___1[Household goods and services],
      MATCH(1,(All_India_Index_Upto_April23__1___1[Date]=EDATE($A65,-12))*
              (All_India_Index_Upto_April23__1___1[Sector]="Rural+Urban"),0)),
    INDEX(All_India_Index_Upto_April23__1___1[Health],
      MATCH(1,(All_India_Index_Upto_April23__1___1[Date]=EDATE($A65,-12))*
              (All_India_Index_Upto_April23__1___1[Sector]="Rural+Urban"),0)),
    INDEX(All_India_Index_Upto_April23__1___1[Transport and communication],
      MATCH(1,(All_India_Index_Upto_April23__1___1[Date]=EDATE($A65,-12))*
              (All_India_Index_Upto_April23__1___1[Sector]="Rural+Urban"),0)),
    INDEX(All_India_Index_Upto_April23__1___1[Recreation and amusement],
      MATCH(1,(All_India_Index_Upto_April23__1___1[Date]=EDATE($A65,-12))*
              (All_India_Index_Upto_April23__1___1[Sector]="Rural+Urban"),0)),
    INDEX(All_India_Index_Upto_April23__1___1[Education],
      MATCH(1,(All_India_Index_Upto_April23__1___1[Date]=EDATE($A65,-12))*
              (All_India_Index_Upto_April23__1___1[Sector]="Rural+Urban"),0)),
    INDEX(All_India_Index_Upto_April23__1___1[Personal care and effects],
      MATCH(1,(All_India_Index_Upto_April23__1___1[Date]=EDATE($A65,-12))*
              (All_India_Index_Upto_April23__1___1[Sector]="Rural+Urban"),0)),
    INDEX(All_India_Index_Upto_April23__1___1[Miscellaneous],
      MATCH(1,(All_India_Index_Upto_April23__1___1[Date]=EDATE($A65,-12))*
              (All_India_Index_Upto_April23__1___1[Sector]="Rural+Urban"),0))
  ),
"")</f>
        <v>160.61666666666665</v>
      </c>
      <c r="AA65" s="8">
        <f t="shared" si="6"/>
        <v>6.838227664210865E-2</v>
      </c>
      <c r="AB65" t="str">
        <f t="shared" si="7"/>
        <v>Post-COVID</v>
      </c>
    </row>
    <row r="66" spans="1:28" x14ac:dyDescent="0.2">
      <c r="A66" s="22">
        <v>44713</v>
      </c>
      <c r="B66">
        <v>2022</v>
      </c>
      <c r="C66" t="s">
        <v>41</v>
      </c>
      <c r="D66" s="2" cm="1">
        <f t="array" ref="D66">IFERROR(
  INDEX(
    All_India_Index_Upto_April23__1___1[General index],
    MATCH(
      1,
      (All_India_Index_Upto_April23__1___1[Sector]="Rural+Urban") *
      (All_India_Index_Upto_April23__1___1[Date]=A66),
      0
    )
  ),
"")</f>
        <v>172.6</v>
      </c>
      <c r="E66" s="2" cm="1">
        <f t="array" ref="E66">IFERROR(
  INDEX(
    All_India_Index_Upto_April23__1___1[General index],
    MATCH(
      1,
      (All_India_Index_Upto_April23__1___1[Sector]="Rural+Urban") *
      (All_India_Index_Upto_April23__1___1[Date]=EDATE(A66,-12)),
      0
    )
  ),
"")</f>
        <v>161.30000000000001</v>
      </c>
      <c r="F66" s="8">
        <f t="shared" si="0"/>
        <v>7.0055796652200852E-2</v>
      </c>
      <c r="G66" t="str">
        <f t="shared" si="1"/>
        <v>Post-COVID</v>
      </c>
      <c r="O66" s="2" cm="1">
        <f t="array" ref="O66">IFERROR(
  AVERAGE(
    INDEX(All_India_Index_Upto_April23__1___1[Cereals and products],
      MATCH(1,(All_India_Index_Upto_April23__1___1[Date]=$A66)*
              (All_India_Index_Upto_April23__1___1[Sector]="Rural+Urban"),0)),
    INDEX(All_India_Index_Upto_April23__1___1[Meat and fish],
      MATCH(1,(All_India_Index_Upto_April23__1___1[Date]=$A66)*
              (All_India_Index_Upto_April23__1___1[Sector]="Rural+Urban"),0)),
    INDEX(All_India_Index_Upto_April23__1___1[Egg],
      MATCH(1,(All_India_Index_Upto_April23__1___1[Date]=$A66)*
              (All_India_Index_Upto_April23__1___1[Sector]="Rural+Urban"),0)),
    INDEX(All_India_Index_Upto_April23__1___1[Milk and products],
      MATCH(1,(All_India_Index_Upto_April23__1___1[Date]=$A66)*
              (All_India_Index_Upto_April23__1___1[Sector]="Rural+Urban"),0)),
    INDEX(All_India_Index_Upto_April23__1___1[Oils and fats],
      MATCH(1,(All_India_Index_Upto_April23__1___1[Date]=$A66)*
              (All_India_Index_Upto_April23__1___1[Sector]="Rural+Urban"),0)),
    INDEX(All_India_Index_Upto_April23__1___1[Fruits],
      MATCH(1,(All_India_Index_Upto_April23__1___1[Date]=$A66)*
              (All_India_Index_Upto_April23__1___1[Sector]="Rural+Urban"),0)),
    INDEX(All_India_Index_Upto_April23__1___1[Vegetables],
      MATCH(1,(All_India_Index_Upto_April23__1___1[Date]=$A66)*
              (All_India_Index_Upto_April23__1___1[Sector]="Rural+Urban"),0)),
    INDEX(All_India_Index_Upto_April23__1___1[Pulses and products],
      MATCH(1,(All_India_Index_Upto_April23__1___1[Date]=$A66)*
              (All_India_Index_Upto_April23__1___1[Sector]="Rural+Urban"),0)),
    INDEX(All_India_Index_Upto_April23__1___1[Sugar and Confectionery],
      MATCH(1,(All_India_Index_Upto_April23__1___1[Date]=$A66)*
              (All_India_Index_Upto_April23__1___1[Sector]="Rural+Urban"),0)),
    INDEX(All_India_Index_Upto_April23__1___1[Spices],
      MATCH(1,(All_India_Index_Upto_April23__1___1[Date]=$A66)*
              (All_India_Index_Upto_April23__1___1[Sector]="Rural+Urban"),0)),
    INDEX(All_India_Index_Upto_April23__1___1[Non-alcoholic beverages],
      MATCH(1,(All_India_Index_Upto_April23__1___1[Date]=$A66)*
              (All_India_Index_Upto_April23__1___1[Sector]="Rural+Urban"),0)),
    INDEX(All_India_Index_Upto_April23__1___1[Prepared meals, snacks, sweets etc.],
      MATCH(1,(All_India_Index_Upto_April23__1___1[Date]=$A66)*
              (All_India_Index_Upto_April23__1___1[Sector]="Rural+Urban"),0))
  ),
"")</f>
        <v>173.91666666666666</v>
      </c>
      <c r="P66" s="2" cm="1">
        <f t="array" ref="P66">IFERROR(
  AVERAGE(
    INDEX(All_India_Index_Upto_April23__1___1[Cereals and products],
      MATCH(1,(All_India_Index_Upto_April23__1___1[Date]=EDATE($A66,-12))*
              (All_India_Index_Upto_April23__1___1[Sector]="Rural+Urban"),0)),
    INDEX(All_India_Index_Upto_April23__1___1[Meat and fish],
      MATCH(1,(All_India_Index_Upto_April23__1___1[Date]=EDATE($A66,-12))*
              (All_India_Index_Upto_April23__1___1[Sector]="Rural+Urban"),0)),
    INDEX(All_India_Index_Upto_April23__1___1[Egg],
      MATCH(1,(All_India_Index_Upto_April23__1___1[Date]=EDATE($A66,-12))*
              (All_India_Index_Upto_April23__1___1[Sector]="Rural+Urban"),0)),
    INDEX(All_India_Index_Upto_April23__1___1[Milk and products],
      MATCH(1,(All_India_Index_Upto_April23__1___1[Date]=EDATE($A66,-12))*
              (All_India_Index_Upto_April23__1___1[Sector]="Rural+Urban"),0)),
    INDEX(All_India_Index_Upto_April23__1___1[Oils and fats],
      MATCH(1,(All_India_Index_Upto_April23__1___1[Date]=EDATE($A66,-12))*
              (All_India_Index_Upto_April23__1___1[Sector]="Rural+Urban"),0)),
    INDEX(All_India_Index_Upto_April23__1___1[Fruits],
      MATCH(1,(All_India_Index_Upto_April23__1___1[Date]=EDATE($A66,-12))*
              (All_India_Index_Upto_April23__1___1[Sector]="Rural+Urban"),0)),
    INDEX(All_India_Index_Upto_April23__1___1[Vegetables],
      MATCH(1,(All_India_Index_Upto_April23__1___1[Date]=EDATE($A66,-12))*
              (All_India_Index_Upto_April23__1___1[Sector]="Rural+Urban"),0)),
    INDEX(All_India_Index_Upto_April23__1___1[Pulses and products],
      MATCH(1,(All_India_Index_Upto_April23__1___1[Date]=EDATE($A66,-12))*
              (All_India_Index_Upto_April23__1___1[Sector]="Rural+Urban"),0)),
    INDEX(All_India_Index_Upto_April23__1___1[Sugar and Confectionery],
      MATCH(1,(All_India_Index_Upto_April23__1___1[Date]=EDATE($A66,-12))*
              (All_India_Index_Upto_April23__1___1[Sector]="Rural+Urban"),0)),
    INDEX(All_India_Index_Upto_April23__1___1[Spices],
      MATCH(1,(All_India_Index_Upto_April23__1___1[Date]=EDATE($A66,-12))*
              (All_India_Index_Upto_April23__1___1[Sector]="Rural+Urban"),0)),
    INDEX(All_India_Index_Upto_April23__1___1[Non-alcoholic beverages],
      MATCH(1,(All_India_Index_Upto_April23__1___1[Date]=EDATE($A66,-12))*
              (All_India_Index_Upto_April23__1___1[Sector]="Rural+Urban"),0)),
    INDEX(All_India_Index_Upto_April23__1___1[Prepared meals, snacks, sweets etc.],
      MATCH(1,(All_India_Index_Upto_April23__1___1[Date]=EDATE($A66,-12))*
              (All_India_Index_Upto_April23__1___1[Sector]="Rural+Urban"),0))
  ),
"")</f>
        <v>164.27500000000001</v>
      </c>
      <c r="Q66" s="8">
        <f t="shared" si="2"/>
        <v>5.8692233551463406E-2</v>
      </c>
      <c r="R66" t="str">
        <f t="shared" si="3"/>
        <v>Post-COVID</v>
      </c>
      <c r="T66" s="2" cm="1">
        <f t="array" ref="T66">IFERROR(
  INDEX(
    All_India_Index_Upto_April23__1___1[Health],
    MATCH(
      1,
      (All_India_Index_Upto_April23__1___1[Date]=$A66) *
      (All_India_Index_Upto_April23__1___1[Sector]="Rural+Urban"),
      0
    )
  ),
"")</f>
        <v>175.4</v>
      </c>
      <c r="U66" s="2" cm="1">
        <f t="array" ref="U66">IFERROR(
  INDEX(
    All_India_Index_Upto_April23__1___1[Health],
    MATCH(
      1,
      (All_India_Index_Upto_April23__1___1[Date]=EDATE($A66,-12)) *
      (All_India_Index_Upto_April23__1___1[Sector]="Rural+Urban"),
      0
    )
  ),
"")</f>
        <v>166.3</v>
      </c>
      <c r="V66" s="8">
        <f t="shared" si="4"/>
        <v>5.4720384846662619E-2</v>
      </c>
      <c r="W66" t="str">
        <f t="shared" si="5"/>
        <v>Post-COVID</v>
      </c>
      <c r="Y66" s="2" cm="1">
        <f t="array" ref="Y66">IFERROR(
  AVERAGE(
    INDEX(All_India_Index_Upto_April23__1___1[Pan, tobacco and intoxicants],
      MATCH(1,(All_India_Index_Upto_April23__1___1[Date]=$A66)*
              (All_India_Index_Upto_April23__1___1[Sector]="Rural+Urban"),0)),
    INDEX(All_India_Index_Upto_April23__1___1[Clothing],
      MATCH(1,(All_India_Index_Upto_April23__1___1[Date]=$A66)*
              (All_India_Index_Upto_April23__1___1[Sector]="Rural+Urban"),0)),
    INDEX(All_India_Index_Upto_April23__1___1[Footwear],
      MATCH(1,(All_India_Index_Upto_April23__1___1[Date]=$A66)*
              (All_India_Index_Upto_April23__1___1[Sector]="Rural+Urban"),0)),
    INDEX(All_India_Index_Upto_April23__1___1[Clothing and footwear],
      MATCH(1,(All_India_Index_Upto_April23__1___1[Date]=$A66)*
              (All_India_Index_Upto_April23__1___1[Sector]="Rural+Urban"),0)),
    INDEX(All_India_Index_Upto_April23__1___1[Housing],
      MATCH(1,(All_India_Index_Upto_April23__1___1[Date]=$A66)*
              (All_India_Index_Upto_April23__1___1[Sector]="Rural+Urban"),0)),
    INDEX(All_India_Index_Upto_April23__1___1[Fuel and light],
      MATCH(1,(All_India_Index_Upto_April23__1___1[Date]=$A66)*
              (All_India_Index_Upto_April23__1___1[Sector]="Rural+Urban"),0)),
    INDEX(All_India_Index_Upto_April23__1___1[Household goods and services],
      MATCH(1,(All_India_Index_Upto_April23__1___1[Date]=$A66)*
              (All_India_Index_Upto_April23__1___1[Sector]="Rural+Urban"),0)),
    INDEX(All_India_Index_Upto_April23__1___1[Health],
      MATCH(1,(All_India_Index_Upto_April23__1___1[Date]=$A66)*
              (All_India_Index_Upto_April23__1___1[Sector]="Rural+Urban"),0)),
    INDEX(All_India_Index_Upto_April23__1___1[Transport and communication],
      MATCH(1,(All_India_Index_Upto_April23__1___1[Date]=$A66)*
              (All_India_Index_Upto_April23__1___1[Sector]="Rural+Urban"),0)),
    INDEX(All_India_Index_Upto_April23__1___1[Recreation and amusement],
      MATCH(1,(All_India_Index_Upto_April23__1___1[Date]=$A66)*
              (All_India_Index_Upto_April23__1___1[Sector]="Rural+Urban"),0)),
    INDEX(All_India_Index_Upto_April23__1___1[Education],
      MATCH(1,(All_India_Index_Upto_April23__1___1[Date]=$A66)*
              (All_India_Index_Upto_April23__1___1[Sector]="Rural+Urban"),0)),
    INDEX(All_India_Index_Upto_April23__1___1[Personal care and effects],
      MATCH(1,(All_India_Index_Upto_April23__1___1[Date]=$A66)*
              (All_India_Index_Upto_April23__1___1[Sector]="Rural+Urban"),0)),
    INDEX(All_India_Index_Upto_April23__1___1[Miscellaneous],
      MATCH(1,(All_India_Index_Upto_April23__1___1[Date]=$A66)*
              (All_India_Index_Upto_April23__1___1[Sector]="Rural+Urban"),0))
  ),
"")</f>
        <v>172.32500000000002</v>
      </c>
      <c r="Z66" s="2" cm="1">
        <f t="array" ref="Z66">IFERROR(
  AVERAGE(
    INDEX(All_India_Index_Upto_April23__1___1[Pan, tobacco and intoxicants],
      MATCH(1,(All_India_Index_Upto_April23__1___1[Date]=EDATE($A66,-12))*
              (All_India_Index_Upto_April23__1___1[Sector]="Rural+Urban"),0)),
    INDEX(All_India_Index_Upto_April23__1___1[Clothing],
      MATCH(1,(All_India_Index_Upto_April23__1___1[Date]=EDATE($A66,-12))*
              (All_India_Index_Upto_April23__1___1[Sector]="Rural+Urban"),0)),
    INDEX(All_India_Index_Upto_April23__1___1[Footwear],
      MATCH(1,(All_India_Index_Upto_April23__1___1[Date]=EDATE($A66,-12))*
              (All_India_Index_Upto_April23__1___1[Sector]="Rural+Urban"),0)),
    INDEX(All_India_Index_Upto_April23__1___1[Clothing and footwear],
      MATCH(1,(All_India_Index_Upto_April23__1___1[Date]=EDATE($A66,-12))*
              (All_India_Index_Upto_April23__1___1[Sector]="Rural+Urban"),0)),
    INDEX(All_India_Index_Upto_April23__1___1[Housing],
      MATCH(1,(All_India_Index_Upto_April23__1___1[Date]=EDATE($A66,-12))*
              (All_India_Index_Upto_April23__1___1[Sector]="Rural+Urban"),0)),
    INDEX(All_India_Index_Upto_April23__1___1[Fuel and light],
      MATCH(1,(All_India_Index_Upto_April23__1___1[Date]=EDATE($A66,-12))*
              (All_India_Index_Upto_April23__1___1[Sector]="Rural+Urban"),0)),
    INDEX(All_India_Index_Upto_April23__1___1[Household goods and services],
      MATCH(1,(All_India_Index_Upto_April23__1___1[Date]=EDATE($A66,-12))*
              (All_India_Index_Upto_April23__1___1[Sector]="Rural+Urban"),0)),
    INDEX(All_India_Index_Upto_April23__1___1[Health],
      MATCH(1,(All_India_Index_Upto_April23__1___1[Date]=EDATE($A66,-12))*
              (All_India_Index_Upto_April23__1___1[Sector]="Rural+Urban"),0)),
    INDEX(All_India_Index_Upto_April23__1___1[Transport and communication],
      MATCH(1,(All_India_Index_Upto_April23__1___1[Date]=EDATE($A66,-12))*
              (All_India_Index_Upto_April23__1___1[Sector]="Rural+Urban"),0)),
    INDEX(All_India_Index_Upto_April23__1___1[Recreation and amusement],
      MATCH(1,(All_India_Index_Upto_April23__1___1[Date]=EDATE($A66,-12))*
              (All_India_Index_Upto_April23__1___1[Sector]="Rural+Urban"),0)),
    INDEX(All_India_Index_Upto_April23__1___1[Education],
      MATCH(1,(All_India_Index_Upto_April23__1___1[Date]=EDATE($A66,-12))*
              (All_India_Index_Upto_April23__1___1[Sector]="Rural+Urban"),0)),
    INDEX(All_India_Index_Upto_April23__1___1[Personal care and effects],
      MATCH(1,(All_India_Index_Upto_April23__1___1[Date]=EDATE($A66,-12))*
              (All_India_Index_Upto_April23__1___1[Sector]="Rural+Urban"),0)),
    INDEX(All_India_Index_Upto_April23__1___1[Miscellaneous],
      MATCH(1,(All_India_Index_Upto_April23__1___1[Date]=EDATE($A66,-12))*
              (All_India_Index_Upto_April23__1___1[Sector]="Rural+Urban"),0))
  ),
"")</f>
        <v>160.84166666666667</v>
      </c>
      <c r="AA66" s="8">
        <f t="shared" si="6"/>
        <v>7.1395264494067759E-2</v>
      </c>
      <c r="AB66" t="str">
        <f t="shared" si="7"/>
        <v>Post-COVID</v>
      </c>
    </row>
    <row r="67" spans="1:28" x14ac:dyDescent="0.2">
      <c r="A67" s="22">
        <v>44743</v>
      </c>
      <c r="B67">
        <v>2022</v>
      </c>
      <c r="C67" t="s">
        <v>43</v>
      </c>
      <c r="D67" s="2" cm="1">
        <f t="array" ref="D67">IFERROR(
  INDEX(
    All_India_Index_Upto_April23__1___1[General index],
    MATCH(
      1,
      (All_India_Index_Upto_April23__1___1[Sector]="Rural+Urban") *
      (All_India_Index_Upto_April23__1___1[Date]=A67),
      0
    )
  ),
"")</f>
        <v>173.4</v>
      </c>
      <c r="E67" s="2" cm="1">
        <f t="array" ref="E67">IFERROR(
  INDEX(
    All_India_Index_Upto_April23__1___1[General index],
    MATCH(
      1,
      (All_India_Index_Upto_April23__1___1[Sector]="Rural+Urban") *
      (All_India_Index_Upto_April23__1___1[Date]=EDATE(A67,-12)),
      0
    )
  ),
"")</f>
        <v>162.5</v>
      </c>
      <c r="F67" s="8">
        <f t="shared" ref="F67:F77" si="8">IF(OR(E67="",D67=""),NA(),(D67/E67)-1)</f>
        <v>6.7076923076923034E-2</v>
      </c>
      <c r="G67" t="str">
        <f t="shared" ref="G67:G77" si="9">IF(A67&lt;DATE(2020,3,1),
   "Pre-COVID",
   IF(A67&lt;DATE(2022,4,1),
      "COVID",
      "Post-COVID"
   )
)</f>
        <v>Post-COVID</v>
      </c>
      <c r="O67" s="2" cm="1">
        <f t="array" ref="O67">IFERROR(
  AVERAGE(
    INDEX(All_India_Index_Upto_April23__1___1[Cereals and products],
      MATCH(1,(All_India_Index_Upto_April23__1___1[Date]=$A67)*
              (All_India_Index_Upto_April23__1___1[Sector]="Rural+Urban"),0)),
    INDEX(All_India_Index_Upto_April23__1___1[Meat and fish],
      MATCH(1,(All_India_Index_Upto_April23__1___1[Date]=$A67)*
              (All_India_Index_Upto_April23__1___1[Sector]="Rural+Urban"),0)),
    INDEX(All_India_Index_Upto_April23__1___1[Egg],
      MATCH(1,(All_India_Index_Upto_April23__1___1[Date]=$A67)*
              (All_India_Index_Upto_April23__1___1[Sector]="Rural+Urban"),0)),
    INDEX(All_India_Index_Upto_April23__1___1[Milk and products],
      MATCH(1,(All_India_Index_Upto_April23__1___1[Date]=$A67)*
              (All_India_Index_Upto_April23__1___1[Sector]="Rural+Urban"),0)),
    INDEX(All_India_Index_Upto_April23__1___1[Oils and fats],
      MATCH(1,(All_India_Index_Upto_April23__1___1[Date]=$A67)*
              (All_India_Index_Upto_April23__1___1[Sector]="Rural+Urban"),0)),
    INDEX(All_India_Index_Upto_April23__1___1[Fruits],
      MATCH(1,(All_India_Index_Upto_April23__1___1[Date]=$A67)*
              (All_India_Index_Upto_April23__1___1[Sector]="Rural+Urban"),0)),
    INDEX(All_India_Index_Upto_April23__1___1[Vegetables],
      MATCH(1,(All_India_Index_Upto_April23__1___1[Date]=$A67)*
              (All_India_Index_Upto_April23__1___1[Sector]="Rural+Urban"),0)),
    INDEX(All_India_Index_Upto_April23__1___1[Pulses and products],
      MATCH(1,(All_India_Index_Upto_April23__1___1[Date]=$A67)*
              (All_India_Index_Upto_April23__1___1[Sector]="Rural+Urban"),0)),
    INDEX(All_India_Index_Upto_April23__1___1[Sugar and Confectionery],
      MATCH(1,(All_India_Index_Upto_April23__1___1[Date]=$A67)*
              (All_India_Index_Upto_April23__1___1[Sector]="Rural+Urban"),0)),
    INDEX(All_India_Index_Upto_April23__1___1[Spices],
      MATCH(1,(All_India_Index_Upto_April23__1___1[Date]=$A67)*
              (All_India_Index_Upto_April23__1___1[Sector]="Rural+Urban"),0)),
    INDEX(All_India_Index_Upto_April23__1___1[Non-alcoholic beverages],
      MATCH(1,(All_India_Index_Upto_April23__1___1[Date]=$A67)*
              (All_India_Index_Upto_April23__1___1[Sector]="Rural+Urban"),0)),
    INDEX(All_India_Index_Upto_April23__1___1[Prepared meals, snacks, sweets etc.],
      MATCH(1,(All_India_Index_Upto_April23__1___1[Date]=$A67)*
              (All_India_Index_Upto_April23__1___1[Sector]="Rural+Urban"),0))
  ),
"")</f>
        <v>174.27500000000001</v>
      </c>
      <c r="P67" s="2" cm="1">
        <f t="array" ref="P67">IFERROR(
  AVERAGE(
    INDEX(All_India_Index_Upto_April23__1___1[Cereals and products],
      MATCH(1,(All_India_Index_Upto_April23__1___1[Date]=EDATE($A67,-12))*
              (All_India_Index_Upto_April23__1___1[Sector]="Rural+Urban"),0)),
    INDEX(All_India_Index_Upto_April23__1___1[Meat and fish],
      MATCH(1,(All_India_Index_Upto_April23__1___1[Date]=EDATE($A67,-12))*
              (All_India_Index_Upto_April23__1___1[Sector]="Rural+Urban"),0)),
    INDEX(All_India_Index_Upto_April23__1___1[Egg],
      MATCH(1,(All_India_Index_Upto_April23__1___1[Date]=EDATE($A67,-12))*
              (All_India_Index_Upto_April23__1___1[Sector]="Rural+Urban"),0)),
    INDEX(All_India_Index_Upto_April23__1___1[Milk and products],
      MATCH(1,(All_India_Index_Upto_April23__1___1[Date]=EDATE($A67,-12))*
              (All_India_Index_Upto_April23__1___1[Sector]="Rural+Urban"),0)),
    INDEX(All_India_Index_Upto_April23__1___1[Oils and fats],
      MATCH(1,(All_India_Index_Upto_April23__1___1[Date]=EDATE($A67,-12))*
              (All_India_Index_Upto_April23__1___1[Sector]="Rural+Urban"),0)),
    INDEX(All_India_Index_Upto_April23__1___1[Fruits],
      MATCH(1,(All_India_Index_Upto_April23__1___1[Date]=EDATE($A67,-12))*
              (All_India_Index_Upto_April23__1___1[Sector]="Rural+Urban"),0)),
    INDEX(All_India_Index_Upto_April23__1___1[Vegetables],
      MATCH(1,(All_India_Index_Upto_April23__1___1[Date]=EDATE($A67,-12))*
              (All_India_Index_Upto_April23__1___1[Sector]="Rural+Urban"),0)),
    INDEX(All_India_Index_Upto_April23__1___1[Pulses and products],
      MATCH(1,(All_India_Index_Upto_April23__1___1[Date]=EDATE($A67,-12))*
              (All_India_Index_Upto_April23__1___1[Sector]="Rural+Urban"),0)),
    INDEX(All_India_Index_Upto_April23__1___1[Sugar and Confectionery],
      MATCH(1,(All_India_Index_Upto_April23__1___1[Date]=EDATE($A67,-12))*
              (All_India_Index_Upto_April23__1___1[Sector]="Rural+Urban"),0)),
    INDEX(All_India_Index_Upto_April23__1___1[Spices],
      MATCH(1,(All_India_Index_Upto_April23__1___1[Date]=EDATE($A67,-12))*
              (All_India_Index_Upto_April23__1___1[Sector]="Rural+Urban"),0)),
    INDEX(All_India_Index_Upto_April23__1___1[Non-alcoholic beverages],
      MATCH(1,(All_India_Index_Upto_April23__1___1[Date]=EDATE($A67,-12))*
              (All_India_Index_Upto_April23__1___1[Sector]="Rural+Urban"),0)),
    INDEX(All_India_Index_Upto_April23__1___1[Prepared meals, snacks, sweets etc.],
      MATCH(1,(All_India_Index_Upto_April23__1___1[Date]=EDATE($A67,-12))*
              (All_India_Index_Upto_April23__1___1[Sector]="Rural+Urban"),0))
  ),
"")</f>
        <v>165.25000000000003</v>
      </c>
      <c r="Q67" s="8">
        <f t="shared" ref="Q67:Q77" si="10">IFERROR((O67-P67)/P67,"")</f>
        <v>5.461422087745825E-2</v>
      </c>
      <c r="R67" t="str">
        <f t="shared" ref="R67:R77" si="11">IF(A67&lt;DATE(2020,3,1),
   "Pre-COVID",
   IF(A67&lt;DATE(2022,4,1),
      "COVID",
      "Post-COVID"
   )
)</f>
        <v>Post-COVID</v>
      </c>
      <c r="T67" s="2" cm="1">
        <f t="array" ref="T67">IFERROR(
  INDEX(
    All_India_Index_Upto_April23__1___1[Health],
    MATCH(
      1,
      (All_India_Index_Upto_April23__1___1[Date]=$A67) *
      (All_India_Index_Upto_April23__1___1[Sector]="Rural+Urban"),
      0
    )
  ),
"")</f>
        <v>176.1</v>
      </c>
      <c r="U67" s="2" cm="1">
        <f t="array" ref="U67">IFERROR(
  INDEX(
    All_India_Index_Upto_April23__1___1[Health],
    MATCH(
      1,
      (All_India_Index_Upto_April23__1___1[Date]=EDATE($A67,-12)) *
      (All_India_Index_Upto_April23__1___1[Sector]="Rural+Urban"),
      0
    )
  ),
"")</f>
        <v>167</v>
      </c>
      <c r="V67" s="8">
        <f t="shared" ref="V67:V77" si="12">IFERROR((T67-U67)/U67,"")</f>
        <v>5.4491017964071825E-2</v>
      </c>
      <c r="W67" t="str">
        <f t="shared" ref="W67:W77" si="13">IF(A67&lt;DATE(2020,3,1),
   "Pre-COVID",
   IF(A67&lt;DATE(2022,4,1),
      "COVID",
      "Post-COVID"
   )
)</f>
        <v>Post-COVID</v>
      </c>
      <c r="Y67" s="2" cm="1">
        <f t="array" ref="Y67">IFERROR(
  AVERAGE(
    INDEX(All_India_Index_Upto_April23__1___1[Pan, tobacco and intoxicants],
      MATCH(1,(All_India_Index_Upto_April23__1___1[Date]=$A67)*
              (All_India_Index_Upto_April23__1___1[Sector]="Rural+Urban"),0)),
    INDEX(All_India_Index_Upto_April23__1___1[Clothing],
      MATCH(1,(All_India_Index_Upto_April23__1___1[Date]=$A67)*
              (All_India_Index_Upto_April23__1___1[Sector]="Rural+Urban"),0)),
    INDEX(All_India_Index_Upto_April23__1___1[Footwear],
      MATCH(1,(All_India_Index_Upto_April23__1___1[Date]=$A67)*
              (All_India_Index_Upto_April23__1___1[Sector]="Rural+Urban"),0)),
    INDEX(All_India_Index_Upto_April23__1___1[Clothing and footwear],
      MATCH(1,(All_India_Index_Upto_April23__1___1[Date]=$A67)*
              (All_India_Index_Upto_April23__1___1[Sector]="Rural+Urban"),0)),
    INDEX(All_India_Index_Upto_April23__1___1[Housing],
      MATCH(1,(All_India_Index_Upto_April23__1___1[Date]=$A67)*
              (All_India_Index_Upto_April23__1___1[Sector]="Rural+Urban"),0)),
    INDEX(All_India_Index_Upto_April23__1___1[Fuel and light],
      MATCH(1,(All_India_Index_Upto_April23__1___1[Date]=$A67)*
              (All_India_Index_Upto_April23__1___1[Sector]="Rural+Urban"),0)),
    INDEX(All_India_Index_Upto_April23__1___1[Household goods and services],
      MATCH(1,(All_India_Index_Upto_April23__1___1[Date]=$A67)*
              (All_India_Index_Upto_April23__1___1[Sector]="Rural+Urban"),0)),
    INDEX(All_India_Index_Upto_April23__1___1[Health],
      MATCH(1,(All_India_Index_Upto_April23__1___1[Date]=$A67)*
              (All_India_Index_Upto_April23__1___1[Sector]="Rural+Urban"),0)),
    INDEX(All_India_Index_Upto_April23__1___1[Transport and communication],
      MATCH(1,(All_India_Index_Upto_April23__1___1[Date]=$A67)*
              (All_India_Index_Upto_April23__1___1[Sector]="Rural+Urban"),0)),
    INDEX(All_India_Index_Upto_April23__1___1[Recreation and amusement],
      MATCH(1,(All_India_Index_Upto_April23__1___1[Date]=$A67)*
              (All_India_Index_Upto_April23__1___1[Sector]="Rural+Urban"),0)),
    INDEX(All_India_Index_Upto_April23__1___1[Education],
      MATCH(1,(All_India_Index_Upto_April23__1___1[Date]=$A67)*
              (All_India_Index_Upto_April23__1___1[Sector]="Rural+Urban"),0)),
    INDEX(All_India_Index_Upto_April23__1___1[Personal care and effects],
      MATCH(1,(All_India_Index_Upto_April23__1___1[Date]=$A67)*
              (All_India_Index_Upto_April23__1___1[Sector]="Rural+Urban"),0)),
    INDEX(All_India_Index_Upto_April23__1___1[Miscellaneous],
      MATCH(1,(All_India_Index_Upto_April23__1___1[Date]=$A67)*
              (All_India_Index_Upto_April23__1___1[Sector]="Rural+Urban"),0))
  ),
"")</f>
        <v>173.5</v>
      </c>
      <c r="Z67" s="2" cm="1">
        <f t="array" ref="Z67">IFERROR(
  AVERAGE(
    INDEX(All_India_Index_Upto_April23__1___1[Pan, tobacco and intoxicants],
      MATCH(1,(All_India_Index_Upto_April23__1___1[Date]=EDATE($A67,-12))*
              (All_India_Index_Upto_April23__1___1[Sector]="Rural+Urban"),0)),
    INDEX(All_India_Index_Upto_April23__1___1[Clothing],
      MATCH(1,(All_India_Index_Upto_April23__1___1[Date]=EDATE($A67,-12))*
              (All_India_Index_Upto_April23__1___1[Sector]="Rural+Urban"),0)),
    INDEX(All_India_Index_Upto_April23__1___1[Footwear],
      MATCH(1,(All_India_Index_Upto_April23__1___1[Date]=EDATE($A67,-12))*
              (All_India_Index_Upto_April23__1___1[Sector]="Rural+Urban"),0)),
    INDEX(All_India_Index_Upto_April23__1___1[Clothing and footwear],
      MATCH(1,(All_India_Index_Upto_April23__1___1[Date]=EDATE($A67,-12))*
              (All_India_Index_Upto_April23__1___1[Sector]="Rural+Urban"),0)),
    INDEX(All_India_Index_Upto_April23__1___1[Housing],
      MATCH(1,(All_India_Index_Upto_April23__1___1[Date]=EDATE($A67,-12))*
              (All_India_Index_Upto_April23__1___1[Sector]="Rural+Urban"),0)),
    INDEX(All_India_Index_Upto_April23__1___1[Fuel and light],
      MATCH(1,(All_India_Index_Upto_April23__1___1[Date]=EDATE($A67,-12))*
              (All_India_Index_Upto_April23__1___1[Sector]="Rural+Urban"),0)),
    INDEX(All_India_Index_Upto_April23__1___1[Household goods and services],
      MATCH(1,(All_India_Index_Upto_April23__1___1[Date]=EDATE($A67,-12))*
              (All_India_Index_Upto_April23__1___1[Sector]="Rural+Urban"),0)),
    INDEX(All_India_Index_Upto_April23__1___1[Health],
      MATCH(1,(All_India_Index_Upto_April23__1___1[Date]=EDATE($A67,-12))*
              (All_India_Index_Upto_April23__1___1[Sector]="Rural+Urban"),0)),
    INDEX(All_India_Index_Upto_April23__1___1[Transport and communication],
      MATCH(1,(All_India_Index_Upto_April23__1___1[Date]=EDATE($A67,-12))*
              (All_India_Index_Upto_April23__1___1[Sector]="Rural+Urban"),0)),
    INDEX(All_India_Index_Upto_April23__1___1[Recreation and amusement],
      MATCH(1,(All_India_Index_Upto_April23__1___1[Date]=EDATE($A67,-12))*
              (All_India_Index_Upto_April23__1___1[Sector]="Rural+Urban"),0)),
    INDEX(All_India_Index_Upto_April23__1___1[Education],
      MATCH(1,(All_India_Index_Upto_April23__1___1[Date]=EDATE($A67,-12))*
              (All_India_Index_Upto_April23__1___1[Sector]="Rural+Urban"),0)),
    INDEX(All_India_Index_Upto_April23__1___1[Personal care and effects],
      MATCH(1,(All_India_Index_Upto_April23__1___1[Date]=EDATE($A67,-12))*
              (All_India_Index_Upto_April23__1___1[Sector]="Rural+Urban"),0)),
    INDEX(All_India_Index_Upto_April23__1___1[Miscellaneous],
      MATCH(1,(All_India_Index_Upto_April23__1___1[Date]=EDATE($A67,-12))*
              (All_India_Index_Upto_April23__1___1[Sector]="Rural+Urban"),0))
  ),
"")</f>
        <v>161.89166666666665</v>
      </c>
      <c r="AA67" s="8">
        <f t="shared" ref="AA67:AA77" si="14">IFERROR((Y67-Z67)/Z67,"")</f>
        <v>7.1704329026612543E-2</v>
      </c>
      <c r="AB67" t="str">
        <f t="shared" ref="AB67:AB77" si="15">IF(A67&lt;DATE(2020,3,1),
   "Pre-COVID",
   IF(A67&lt;DATE(2022,4,1),
      "COVID",
      "Post-COVID"
   )
)</f>
        <v>Post-COVID</v>
      </c>
    </row>
    <row r="68" spans="1:28" x14ac:dyDescent="0.2">
      <c r="A68" s="22">
        <v>44774</v>
      </c>
      <c r="B68">
        <v>2022</v>
      </c>
      <c r="C68" t="s">
        <v>45</v>
      </c>
      <c r="D68" s="2" cm="1">
        <f t="array" ref="D68">IFERROR(
  INDEX(
    All_India_Index_Upto_April23__1___1[General index],
    MATCH(
      1,
      (All_India_Index_Upto_April23__1___1[Sector]="Rural+Urban") *
      (All_India_Index_Upto_April23__1___1[Date]=A68),
      0
    )
  ),
"")</f>
        <v>174.3</v>
      </c>
      <c r="E68" s="2" cm="1">
        <f t="array" ref="E68">IFERROR(
  INDEX(
    All_India_Index_Upto_April23__1___1[General index],
    MATCH(
      1,
      (All_India_Index_Upto_April23__1___1[Sector]="Rural+Urban") *
      (All_India_Index_Upto_April23__1___1[Date]=EDATE(A68,-12)),
      0
    )
  ),
"")</f>
        <v>163.19999999999999</v>
      </c>
      <c r="F68" s="8">
        <f t="shared" si="8"/>
        <v>6.8014705882353033E-2</v>
      </c>
      <c r="G68" t="str">
        <f t="shared" si="9"/>
        <v>Post-COVID</v>
      </c>
      <c r="O68" s="2" cm="1">
        <f t="array" ref="O68">IFERROR(
  AVERAGE(
    INDEX(All_India_Index_Upto_April23__1___1[Cereals and products],
      MATCH(1,(All_India_Index_Upto_April23__1___1[Date]=$A68)*
              (All_India_Index_Upto_April23__1___1[Sector]="Rural+Urban"),0)),
    INDEX(All_India_Index_Upto_April23__1___1[Meat and fish],
      MATCH(1,(All_India_Index_Upto_April23__1___1[Date]=$A68)*
              (All_India_Index_Upto_April23__1___1[Sector]="Rural+Urban"),0)),
    INDEX(All_India_Index_Upto_April23__1___1[Egg],
      MATCH(1,(All_India_Index_Upto_April23__1___1[Date]=$A68)*
              (All_India_Index_Upto_April23__1___1[Sector]="Rural+Urban"),0)),
    INDEX(All_India_Index_Upto_April23__1___1[Milk and products],
      MATCH(1,(All_India_Index_Upto_April23__1___1[Date]=$A68)*
              (All_India_Index_Upto_April23__1___1[Sector]="Rural+Urban"),0)),
    INDEX(All_India_Index_Upto_April23__1___1[Oils and fats],
      MATCH(1,(All_India_Index_Upto_April23__1___1[Date]=$A68)*
              (All_India_Index_Upto_April23__1___1[Sector]="Rural+Urban"),0)),
    INDEX(All_India_Index_Upto_April23__1___1[Fruits],
      MATCH(1,(All_India_Index_Upto_April23__1___1[Date]=$A68)*
              (All_India_Index_Upto_April23__1___1[Sector]="Rural+Urban"),0)),
    INDEX(All_India_Index_Upto_April23__1___1[Vegetables],
      MATCH(1,(All_India_Index_Upto_April23__1___1[Date]=$A68)*
              (All_India_Index_Upto_April23__1___1[Sector]="Rural+Urban"),0)),
    INDEX(All_India_Index_Upto_April23__1___1[Pulses and products],
      MATCH(1,(All_India_Index_Upto_April23__1___1[Date]=$A68)*
              (All_India_Index_Upto_April23__1___1[Sector]="Rural+Urban"),0)),
    INDEX(All_India_Index_Upto_April23__1___1[Sugar and Confectionery],
      MATCH(1,(All_India_Index_Upto_April23__1___1[Date]=$A68)*
              (All_India_Index_Upto_April23__1___1[Sector]="Rural+Urban"),0)),
    INDEX(All_India_Index_Upto_April23__1___1[Spices],
      MATCH(1,(All_India_Index_Upto_April23__1___1[Date]=$A68)*
              (All_India_Index_Upto_April23__1___1[Sector]="Rural+Urban"),0)),
    INDEX(All_India_Index_Upto_April23__1___1[Non-alcoholic beverages],
      MATCH(1,(All_India_Index_Upto_April23__1___1[Date]=$A68)*
              (All_India_Index_Upto_April23__1___1[Sector]="Rural+Urban"),0)),
    INDEX(All_India_Index_Upto_April23__1___1[Prepared meals, snacks, sweets etc.],
      MATCH(1,(All_India_Index_Upto_April23__1___1[Date]=$A68)*
              (All_India_Index_Upto_April23__1___1[Sector]="Rural+Urban"),0))
  ),
"")</f>
        <v>174.40833333333333</v>
      </c>
      <c r="P68" s="2" cm="1">
        <f t="array" ref="P68">IFERROR(
  AVERAGE(
    INDEX(All_India_Index_Upto_April23__1___1[Cereals and products],
      MATCH(1,(All_India_Index_Upto_April23__1___1[Date]=EDATE($A68,-12))*
              (All_India_Index_Upto_April23__1___1[Sector]="Rural+Urban"),0)),
    INDEX(All_India_Index_Upto_April23__1___1[Meat and fish],
      MATCH(1,(All_India_Index_Upto_April23__1___1[Date]=EDATE($A68,-12))*
              (All_India_Index_Upto_April23__1___1[Sector]="Rural+Urban"),0)),
    INDEX(All_India_Index_Upto_April23__1___1[Egg],
      MATCH(1,(All_India_Index_Upto_April23__1___1[Date]=EDATE($A68,-12))*
              (All_India_Index_Upto_April23__1___1[Sector]="Rural+Urban"),0)),
    INDEX(All_India_Index_Upto_April23__1___1[Milk and products],
      MATCH(1,(All_India_Index_Upto_April23__1___1[Date]=EDATE($A68,-12))*
              (All_India_Index_Upto_April23__1___1[Sector]="Rural+Urban"),0)),
    INDEX(All_India_Index_Upto_April23__1___1[Oils and fats],
      MATCH(1,(All_India_Index_Upto_April23__1___1[Date]=EDATE($A68,-12))*
              (All_India_Index_Upto_April23__1___1[Sector]="Rural+Urban"),0)),
    INDEX(All_India_Index_Upto_April23__1___1[Fruits],
      MATCH(1,(All_India_Index_Upto_April23__1___1[Date]=EDATE($A68,-12))*
              (All_India_Index_Upto_April23__1___1[Sector]="Rural+Urban"),0)),
    INDEX(All_India_Index_Upto_April23__1___1[Vegetables],
      MATCH(1,(All_India_Index_Upto_April23__1___1[Date]=EDATE($A68,-12))*
              (All_India_Index_Upto_April23__1___1[Sector]="Rural+Urban"),0)),
    INDEX(All_India_Index_Upto_April23__1___1[Pulses and products],
      MATCH(1,(All_India_Index_Upto_April23__1___1[Date]=EDATE($A68,-12))*
              (All_India_Index_Upto_April23__1___1[Sector]="Rural+Urban"),0)),
    INDEX(All_India_Index_Upto_April23__1___1[Sugar and Confectionery],
      MATCH(1,(All_India_Index_Upto_April23__1___1[Date]=EDATE($A68,-12))*
              (All_India_Index_Upto_April23__1___1[Sector]="Rural+Urban"),0)),
    INDEX(All_India_Index_Upto_April23__1___1[Spices],
      MATCH(1,(All_India_Index_Upto_April23__1___1[Date]=EDATE($A68,-12))*
              (All_India_Index_Upto_April23__1___1[Sector]="Rural+Urban"),0)),
    INDEX(All_India_Index_Upto_April23__1___1[Non-alcoholic beverages],
      MATCH(1,(All_India_Index_Upto_April23__1___1[Date]=EDATE($A68,-12))*
              (All_India_Index_Upto_April23__1___1[Sector]="Rural+Urban"),0)),
    INDEX(All_India_Index_Upto_April23__1___1[Prepared meals, snacks, sweets etc.],
      MATCH(1,(All_India_Index_Upto_April23__1___1[Date]=EDATE($A68,-12))*
              (All_India_Index_Upto_April23__1___1[Sector]="Rural+Urban"),0))
  ),
"")</f>
        <v>164.83333333333334</v>
      </c>
      <c r="Q68" s="8">
        <f t="shared" si="10"/>
        <v>5.8088978766430668E-2</v>
      </c>
      <c r="R68" t="str">
        <f t="shared" si="11"/>
        <v>Post-COVID</v>
      </c>
      <c r="T68" s="2" cm="1">
        <f t="array" ref="T68">IFERROR(
  INDEX(
    All_India_Index_Upto_April23__1___1[Health],
    MATCH(
      1,
      (All_India_Index_Upto_April23__1___1[Date]=$A68) *
      (All_India_Index_Upto_April23__1___1[Sector]="Rural+Urban"),
      0
    )
  ),
"")</f>
        <v>176.8</v>
      </c>
      <c r="U68" s="2" cm="1">
        <f t="array" ref="U68">IFERROR(
  INDEX(
    All_India_Index_Upto_April23__1___1[Health],
    MATCH(
      1,
      (All_India_Index_Upto_April23__1___1[Date]=EDATE($A68,-12)) *
      (All_India_Index_Upto_April23__1___1[Sector]="Rural+Urban"),
      0
    )
  ),
"")</f>
        <v>168.4</v>
      </c>
      <c r="V68" s="8">
        <f t="shared" si="12"/>
        <v>4.9881235154394334E-2</v>
      </c>
      <c r="W68" t="str">
        <f t="shared" si="13"/>
        <v>Post-COVID</v>
      </c>
      <c r="Y68" s="2" cm="1">
        <f t="array" ref="Y68">IFERROR(
  AVERAGE(
    INDEX(All_India_Index_Upto_April23__1___1[Pan, tobacco and intoxicants],
      MATCH(1,(All_India_Index_Upto_April23__1___1[Date]=$A68)*
              (All_India_Index_Upto_April23__1___1[Sector]="Rural+Urban"),0)),
    INDEX(All_India_Index_Upto_April23__1___1[Clothing],
      MATCH(1,(All_India_Index_Upto_April23__1___1[Date]=$A68)*
              (All_India_Index_Upto_April23__1___1[Sector]="Rural+Urban"),0)),
    INDEX(All_India_Index_Upto_April23__1___1[Footwear],
      MATCH(1,(All_India_Index_Upto_April23__1___1[Date]=$A68)*
              (All_India_Index_Upto_April23__1___1[Sector]="Rural+Urban"),0)),
    INDEX(All_India_Index_Upto_April23__1___1[Clothing and footwear],
      MATCH(1,(All_India_Index_Upto_April23__1___1[Date]=$A68)*
              (All_India_Index_Upto_April23__1___1[Sector]="Rural+Urban"),0)),
    INDEX(All_India_Index_Upto_April23__1___1[Housing],
      MATCH(1,(All_India_Index_Upto_April23__1___1[Date]=$A68)*
              (All_India_Index_Upto_April23__1___1[Sector]="Rural+Urban"),0)),
    INDEX(All_India_Index_Upto_April23__1___1[Fuel and light],
      MATCH(1,(All_India_Index_Upto_April23__1___1[Date]=$A68)*
              (All_India_Index_Upto_April23__1___1[Sector]="Rural+Urban"),0)),
    INDEX(All_India_Index_Upto_April23__1___1[Household goods and services],
      MATCH(1,(All_India_Index_Upto_April23__1___1[Date]=$A68)*
              (All_India_Index_Upto_April23__1___1[Sector]="Rural+Urban"),0)),
    INDEX(All_India_Index_Upto_April23__1___1[Health],
      MATCH(1,(All_India_Index_Upto_April23__1___1[Date]=$A68)*
              (All_India_Index_Upto_April23__1___1[Sector]="Rural+Urban"),0)),
    INDEX(All_India_Index_Upto_April23__1___1[Transport and communication],
      MATCH(1,(All_India_Index_Upto_April23__1___1[Date]=$A68)*
              (All_India_Index_Upto_April23__1___1[Sector]="Rural+Urban"),0)),
    INDEX(All_India_Index_Upto_April23__1___1[Recreation and amusement],
      MATCH(1,(All_India_Index_Upto_April23__1___1[Date]=$A68)*
              (All_India_Index_Upto_April23__1___1[Sector]="Rural+Urban"),0)),
    INDEX(All_India_Index_Upto_April23__1___1[Education],
      MATCH(1,(All_India_Index_Upto_April23__1___1[Date]=$A68)*
              (All_India_Index_Upto_April23__1___1[Sector]="Rural+Urban"),0)),
    INDEX(All_India_Index_Upto_April23__1___1[Personal care and effects],
      MATCH(1,(All_India_Index_Upto_April23__1___1[Date]=$A68)*
              (All_India_Index_Upto_April23__1___1[Sector]="Rural+Urban"),0)),
    INDEX(All_India_Index_Upto_April23__1___1[Miscellaneous],
      MATCH(1,(All_India_Index_Upto_April23__1___1[Date]=$A68)*
              (All_India_Index_Upto_April23__1___1[Sector]="Rural+Urban"),0))
  ),
"")</f>
        <v>174.26666666666668</v>
      </c>
      <c r="Z68" s="2" cm="1">
        <f t="array" ref="Z68">IFERROR(
  AVERAGE(
    INDEX(All_India_Index_Upto_April23__1___1[Pan, tobacco and intoxicants],
      MATCH(1,(All_India_Index_Upto_April23__1___1[Date]=EDATE($A68,-12))*
              (All_India_Index_Upto_April23__1___1[Sector]="Rural+Urban"),0)),
    INDEX(All_India_Index_Upto_April23__1___1[Clothing],
      MATCH(1,(All_India_Index_Upto_April23__1___1[Date]=EDATE($A68,-12))*
              (All_India_Index_Upto_April23__1___1[Sector]="Rural+Urban"),0)),
    INDEX(All_India_Index_Upto_April23__1___1[Footwear],
      MATCH(1,(All_India_Index_Upto_April23__1___1[Date]=EDATE($A68,-12))*
              (All_India_Index_Upto_April23__1___1[Sector]="Rural+Urban"),0)),
    INDEX(All_India_Index_Upto_April23__1___1[Clothing and footwear],
      MATCH(1,(All_India_Index_Upto_April23__1___1[Date]=EDATE($A68,-12))*
              (All_India_Index_Upto_April23__1___1[Sector]="Rural+Urban"),0)),
    INDEX(All_India_Index_Upto_April23__1___1[Housing],
      MATCH(1,(All_India_Index_Upto_April23__1___1[Date]=EDATE($A68,-12))*
              (All_India_Index_Upto_April23__1___1[Sector]="Rural+Urban"),0)),
    INDEX(All_India_Index_Upto_April23__1___1[Fuel and light],
      MATCH(1,(All_India_Index_Upto_April23__1___1[Date]=EDATE($A68,-12))*
              (All_India_Index_Upto_April23__1___1[Sector]="Rural+Urban"),0)),
    INDEX(All_India_Index_Upto_April23__1___1[Household goods and services],
      MATCH(1,(All_India_Index_Upto_April23__1___1[Date]=EDATE($A68,-12))*
              (All_India_Index_Upto_April23__1___1[Sector]="Rural+Urban"),0)),
    INDEX(All_India_Index_Upto_April23__1___1[Health],
      MATCH(1,(All_India_Index_Upto_April23__1___1[Date]=EDATE($A68,-12))*
              (All_India_Index_Upto_April23__1___1[Sector]="Rural+Urban"),0)),
    INDEX(All_India_Index_Upto_April23__1___1[Transport and communication],
      MATCH(1,(All_India_Index_Upto_April23__1___1[Date]=EDATE($A68,-12))*
              (All_India_Index_Upto_April23__1___1[Sector]="Rural+Urban"),0)),
    INDEX(All_India_Index_Upto_April23__1___1[Recreation and amusement],
      MATCH(1,(All_India_Index_Upto_April23__1___1[Date]=EDATE($A68,-12))*
              (All_India_Index_Upto_April23__1___1[Sector]="Rural+Urban"),0)),
    INDEX(All_India_Index_Upto_April23__1___1[Education],
      MATCH(1,(All_India_Index_Upto_April23__1___1[Date]=EDATE($A68,-12))*
              (All_India_Index_Upto_April23__1___1[Sector]="Rural+Urban"),0)),
    INDEX(All_India_Index_Upto_April23__1___1[Personal care and effects],
      MATCH(1,(All_India_Index_Upto_April23__1___1[Date]=EDATE($A68,-12))*
              (All_India_Index_Upto_April23__1___1[Sector]="Rural+Urban"),0)),
    INDEX(All_India_Index_Upto_April23__1___1[Miscellaneous],
      MATCH(1,(All_India_Index_Upto_April23__1___1[Date]=EDATE($A68,-12))*
              (All_India_Index_Upto_April23__1___1[Sector]="Rural+Urban"),0))
  ),
"")</f>
        <v>163.25</v>
      </c>
      <c r="AA68" s="8">
        <f t="shared" si="14"/>
        <v>6.7483409903011826E-2</v>
      </c>
      <c r="AB68" t="str">
        <f t="shared" si="15"/>
        <v>Post-COVID</v>
      </c>
    </row>
    <row r="69" spans="1:28" x14ac:dyDescent="0.2">
      <c r="A69" s="22">
        <v>44805</v>
      </c>
      <c r="B69">
        <v>2022</v>
      </c>
      <c r="C69" t="s">
        <v>47</v>
      </c>
      <c r="D69" s="2" cm="1">
        <f t="array" ref="D69">IFERROR(
  INDEX(
    All_India_Index_Upto_April23__1___1[General index],
    MATCH(
      1,
      (All_India_Index_Upto_April23__1___1[Sector]="Rural+Urban") *
      (All_India_Index_Upto_April23__1___1[Date]=A69),
      0
    )
  ),
"")</f>
        <v>175.3</v>
      </c>
      <c r="E69" s="2" cm="1">
        <f t="array" ref="E69">IFERROR(
  INDEX(
    All_India_Index_Upto_April23__1___1[General index],
    MATCH(
      1,
      (All_India_Index_Upto_April23__1___1[Sector]="Rural+Urban") *
      (All_India_Index_Upto_April23__1___1[Date]=EDATE(A69,-12)),
      0
    )
  ),
"")</f>
        <v>163.19999999999999</v>
      </c>
      <c r="F69" s="8">
        <f t="shared" si="8"/>
        <v>7.4142156862745168E-2</v>
      </c>
      <c r="G69" t="str">
        <f t="shared" si="9"/>
        <v>Post-COVID</v>
      </c>
      <c r="O69" s="2" cm="1">
        <f t="array" ref="O69">IFERROR(
  AVERAGE(
    INDEX(All_India_Index_Upto_April23__1___1[Cereals and products],
      MATCH(1,(All_India_Index_Upto_April23__1___1[Date]=$A69)*
              (All_India_Index_Upto_April23__1___1[Sector]="Rural+Urban"),0)),
    INDEX(All_India_Index_Upto_April23__1___1[Meat and fish],
      MATCH(1,(All_India_Index_Upto_April23__1___1[Date]=$A69)*
              (All_India_Index_Upto_April23__1___1[Sector]="Rural+Urban"),0)),
    INDEX(All_India_Index_Upto_April23__1___1[Egg],
      MATCH(1,(All_India_Index_Upto_April23__1___1[Date]=$A69)*
              (All_India_Index_Upto_April23__1___1[Sector]="Rural+Urban"),0)),
    INDEX(All_India_Index_Upto_April23__1___1[Milk and products],
      MATCH(1,(All_India_Index_Upto_April23__1___1[Date]=$A69)*
              (All_India_Index_Upto_April23__1___1[Sector]="Rural+Urban"),0)),
    INDEX(All_India_Index_Upto_April23__1___1[Oils and fats],
      MATCH(1,(All_India_Index_Upto_April23__1___1[Date]=$A69)*
              (All_India_Index_Upto_April23__1___1[Sector]="Rural+Urban"),0)),
    INDEX(All_India_Index_Upto_April23__1___1[Fruits],
      MATCH(1,(All_India_Index_Upto_April23__1___1[Date]=$A69)*
              (All_India_Index_Upto_April23__1___1[Sector]="Rural+Urban"),0)),
    INDEX(All_India_Index_Upto_April23__1___1[Vegetables],
      MATCH(1,(All_India_Index_Upto_April23__1___1[Date]=$A69)*
              (All_India_Index_Upto_April23__1___1[Sector]="Rural+Urban"),0)),
    INDEX(All_India_Index_Upto_April23__1___1[Pulses and products],
      MATCH(1,(All_India_Index_Upto_April23__1___1[Date]=$A69)*
              (All_India_Index_Upto_April23__1___1[Sector]="Rural+Urban"),0)),
    INDEX(All_India_Index_Upto_April23__1___1[Sugar and Confectionery],
      MATCH(1,(All_India_Index_Upto_April23__1___1[Date]=$A69)*
              (All_India_Index_Upto_April23__1___1[Sector]="Rural+Urban"),0)),
    INDEX(All_India_Index_Upto_April23__1___1[Spices],
      MATCH(1,(All_India_Index_Upto_April23__1___1[Date]=$A69)*
              (All_India_Index_Upto_April23__1___1[Sector]="Rural+Urban"),0)),
    INDEX(All_India_Index_Upto_April23__1___1[Non-alcoholic beverages],
      MATCH(1,(All_India_Index_Upto_April23__1___1[Date]=$A69)*
              (All_India_Index_Upto_April23__1___1[Sector]="Rural+Urban"),0)),
    INDEX(All_India_Index_Upto_April23__1___1[Prepared meals, snacks, sweets etc.],
      MATCH(1,(All_India_Index_Upto_April23__1___1[Date]=$A69)*
              (All_India_Index_Upto_April23__1___1[Sector]="Rural+Urban"),0))
  ),
"")</f>
        <v>175.25833333333333</v>
      </c>
      <c r="P69" s="2" cm="1">
        <f t="array" ref="P69">IFERROR(
  AVERAGE(
    INDEX(All_India_Index_Upto_April23__1___1[Cereals and products],
      MATCH(1,(All_India_Index_Upto_April23__1___1[Date]=EDATE($A69,-12))*
              (All_India_Index_Upto_April23__1___1[Sector]="Rural+Urban"),0)),
    INDEX(All_India_Index_Upto_April23__1___1[Meat and fish],
      MATCH(1,(All_India_Index_Upto_April23__1___1[Date]=EDATE($A69,-12))*
              (All_India_Index_Upto_April23__1___1[Sector]="Rural+Urban"),0)),
    INDEX(All_India_Index_Upto_April23__1___1[Egg],
      MATCH(1,(All_India_Index_Upto_April23__1___1[Date]=EDATE($A69,-12))*
              (All_India_Index_Upto_April23__1___1[Sector]="Rural+Urban"),0)),
    INDEX(All_India_Index_Upto_April23__1___1[Milk and products],
      MATCH(1,(All_India_Index_Upto_April23__1___1[Date]=EDATE($A69,-12))*
              (All_India_Index_Upto_April23__1___1[Sector]="Rural+Urban"),0)),
    INDEX(All_India_Index_Upto_April23__1___1[Oils and fats],
      MATCH(1,(All_India_Index_Upto_April23__1___1[Date]=EDATE($A69,-12))*
              (All_India_Index_Upto_April23__1___1[Sector]="Rural+Urban"),0)),
    INDEX(All_India_Index_Upto_April23__1___1[Fruits],
      MATCH(1,(All_India_Index_Upto_April23__1___1[Date]=EDATE($A69,-12))*
              (All_India_Index_Upto_April23__1___1[Sector]="Rural+Urban"),0)),
    INDEX(All_India_Index_Upto_April23__1___1[Vegetables],
      MATCH(1,(All_India_Index_Upto_April23__1___1[Date]=EDATE($A69,-12))*
              (All_India_Index_Upto_April23__1___1[Sector]="Rural+Urban"),0)),
    INDEX(All_India_Index_Upto_April23__1___1[Pulses and products],
      MATCH(1,(All_India_Index_Upto_April23__1___1[Date]=EDATE($A69,-12))*
              (All_India_Index_Upto_April23__1___1[Sector]="Rural+Urban"),0)),
    INDEX(All_India_Index_Upto_April23__1___1[Sugar and Confectionery],
      MATCH(1,(All_India_Index_Upto_April23__1___1[Date]=EDATE($A69,-12))*
              (All_India_Index_Upto_April23__1___1[Sector]="Rural+Urban"),0)),
    INDEX(All_India_Index_Upto_April23__1___1[Spices],
      MATCH(1,(All_India_Index_Upto_April23__1___1[Date]=EDATE($A69,-12))*
              (All_India_Index_Upto_April23__1___1[Sector]="Rural+Urban"),0)),
    INDEX(All_India_Index_Upto_April23__1___1[Non-alcoholic beverages],
      MATCH(1,(All_India_Index_Upto_April23__1___1[Date]=EDATE($A69,-12))*
              (All_India_Index_Upto_April23__1___1[Sector]="Rural+Urban"),0)),
    INDEX(All_India_Index_Upto_April23__1___1[Prepared meals, snacks, sweets etc.],
      MATCH(1,(All_India_Index_Upto_April23__1___1[Date]=EDATE($A69,-12))*
              (All_India_Index_Upto_April23__1___1[Sector]="Rural+Urban"),0))
  ),
"")</f>
        <v>164.83333333333334</v>
      </c>
      <c r="Q69" s="8">
        <f t="shared" si="10"/>
        <v>6.3245702730030232E-2</v>
      </c>
      <c r="R69" t="str">
        <f t="shared" si="11"/>
        <v>Post-COVID</v>
      </c>
      <c r="T69" s="2" cm="1">
        <f t="array" ref="T69">IFERROR(
  INDEX(
    All_India_Index_Upto_April23__1___1[Health],
    MATCH(
      1,
      (All_India_Index_Upto_April23__1___1[Date]=$A69) *
      (All_India_Index_Upto_April23__1___1[Sector]="Rural+Urban"),
      0
    )
  ),
"")</f>
        <v>177.8</v>
      </c>
      <c r="U69" s="2" cm="1">
        <f t="array" ref="U69">IFERROR(
  INDEX(
    All_India_Index_Upto_April23__1___1[Health],
    MATCH(
      1,
      (All_India_Index_Upto_April23__1___1[Date]=EDATE($A69,-12)) *
      (All_India_Index_Upto_April23__1___1[Sector]="Rural+Urban"),
      0
    )
  ),
"")</f>
        <v>168.4</v>
      </c>
      <c r="V69" s="8">
        <f t="shared" si="12"/>
        <v>5.5819477434679368E-2</v>
      </c>
      <c r="W69" t="str">
        <f t="shared" si="13"/>
        <v>Post-COVID</v>
      </c>
      <c r="Y69" s="2" cm="1">
        <f t="array" ref="Y69">IFERROR(
  AVERAGE(
    INDEX(All_India_Index_Upto_April23__1___1[Pan, tobacco and intoxicants],
      MATCH(1,(All_India_Index_Upto_April23__1___1[Date]=$A69)*
              (All_India_Index_Upto_April23__1___1[Sector]="Rural+Urban"),0)),
    INDEX(All_India_Index_Upto_April23__1___1[Clothing],
      MATCH(1,(All_India_Index_Upto_April23__1___1[Date]=$A69)*
              (All_India_Index_Upto_April23__1___1[Sector]="Rural+Urban"),0)),
    INDEX(All_India_Index_Upto_April23__1___1[Footwear],
      MATCH(1,(All_India_Index_Upto_April23__1___1[Date]=$A69)*
              (All_India_Index_Upto_April23__1___1[Sector]="Rural+Urban"),0)),
    INDEX(All_India_Index_Upto_April23__1___1[Clothing and footwear],
      MATCH(1,(All_India_Index_Upto_April23__1___1[Date]=$A69)*
              (All_India_Index_Upto_April23__1___1[Sector]="Rural+Urban"),0)),
    INDEX(All_India_Index_Upto_April23__1___1[Housing],
      MATCH(1,(All_India_Index_Upto_April23__1___1[Date]=$A69)*
              (All_India_Index_Upto_April23__1___1[Sector]="Rural+Urban"),0)),
    INDEX(All_India_Index_Upto_April23__1___1[Fuel and light],
      MATCH(1,(All_India_Index_Upto_April23__1___1[Date]=$A69)*
              (All_India_Index_Upto_April23__1___1[Sector]="Rural+Urban"),0)),
    INDEX(All_India_Index_Upto_April23__1___1[Household goods and services],
      MATCH(1,(All_India_Index_Upto_April23__1___1[Date]=$A69)*
              (All_India_Index_Upto_April23__1___1[Sector]="Rural+Urban"),0)),
    INDEX(All_India_Index_Upto_April23__1___1[Health],
      MATCH(1,(All_India_Index_Upto_April23__1___1[Date]=$A69)*
              (All_India_Index_Upto_April23__1___1[Sector]="Rural+Urban"),0)),
    INDEX(All_India_Index_Upto_April23__1___1[Transport and communication],
      MATCH(1,(All_India_Index_Upto_April23__1___1[Date]=$A69)*
              (All_India_Index_Upto_April23__1___1[Sector]="Rural+Urban"),0)),
    INDEX(All_India_Index_Upto_April23__1___1[Recreation and amusement],
      MATCH(1,(All_India_Index_Upto_April23__1___1[Date]=$A69)*
              (All_India_Index_Upto_April23__1___1[Sector]="Rural+Urban"),0)),
    INDEX(All_India_Index_Upto_April23__1___1[Education],
      MATCH(1,(All_India_Index_Upto_April23__1___1[Date]=$A69)*
              (All_India_Index_Upto_April23__1___1[Sector]="Rural+Urban"),0)),
    INDEX(All_India_Index_Upto_April23__1___1[Personal care and effects],
      MATCH(1,(All_India_Index_Upto_April23__1___1[Date]=$A69)*
              (All_India_Index_Upto_April23__1___1[Sector]="Rural+Urban"),0)),
    INDEX(All_India_Index_Upto_April23__1___1[Miscellaneous],
      MATCH(1,(All_India_Index_Upto_April23__1___1[Date]=$A69)*
              (All_India_Index_Upto_April23__1___1[Sector]="Rural+Urban"),0))
  ),
"")</f>
        <v>175.11666666666665</v>
      </c>
      <c r="Z69" s="2" cm="1">
        <f t="array" ref="Z69">IFERROR(
  AVERAGE(
    INDEX(All_India_Index_Upto_April23__1___1[Pan, tobacco and intoxicants],
      MATCH(1,(All_India_Index_Upto_April23__1___1[Date]=EDATE($A69,-12))*
              (All_India_Index_Upto_April23__1___1[Sector]="Rural+Urban"),0)),
    INDEX(All_India_Index_Upto_April23__1___1[Clothing],
      MATCH(1,(All_India_Index_Upto_April23__1___1[Date]=EDATE($A69,-12))*
              (All_India_Index_Upto_April23__1___1[Sector]="Rural+Urban"),0)),
    INDEX(All_India_Index_Upto_April23__1___1[Footwear],
      MATCH(1,(All_India_Index_Upto_April23__1___1[Date]=EDATE($A69,-12))*
              (All_India_Index_Upto_April23__1___1[Sector]="Rural+Urban"),0)),
    INDEX(All_India_Index_Upto_April23__1___1[Clothing and footwear],
      MATCH(1,(All_India_Index_Upto_April23__1___1[Date]=EDATE($A69,-12))*
              (All_India_Index_Upto_April23__1___1[Sector]="Rural+Urban"),0)),
    INDEX(All_India_Index_Upto_April23__1___1[Housing],
      MATCH(1,(All_India_Index_Upto_April23__1___1[Date]=EDATE($A69,-12))*
              (All_India_Index_Upto_April23__1___1[Sector]="Rural+Urban"),0)),
    INDEX(All_India_Index_Upto_April23__1___1[Fuel and light],
      MATCH(1,(All_India_Index_Upto_April23__1___1[Date]=EDATE($A69,-12))*
              (All_India_Index_Upto_April23__1___1[Sector]="Rural+Urban"),0)),
    INDEX(All_India_Index_Upto_April23__1___1[Household goods and services],
      MATCH(1,(All_India_Index_Upto_April23__1___1[Date]=EDATE($A69,-12))*
              (All_India_Index_Upto_April23__1___1[Sector]="Rural+Urban"),0)),
    INDEX(All_India_Index_Upto_April23__1___1[Health],
      MATCH(1,(All_India_Index_Upto_April23__1___1[Date]=EDATE($A69,-12))*
              (All_India_Index_Upto_April23__1___1[Sector]="Rural+Urban"),0)),
    INDEX(All_India_Index_Upto_April23__1___1[Transport and communication],
      MATCH(1,(All_India_Index_Upto_April23__1___1[Date]=EDATE($A69,-12))*
              (All_India_Index_Upto_April23__1___1[Sector]="Rural+Urban"),0)),
    INDEX(All_India_Index_Upto_April23__1___1[Recreation and amusement],
      MATCH(1,(All_India_Index_Upto_April23__1___1[Date]=EDATE($A69,-12))*
              (All_India_Index_Upto_April23__1___1[Sector]="Rural+Urban"),0)),
    INDEX(All_India_Index_Upto_April23__1___1[Education],
      MATCH(1,(All_India_Index_Upto_April23__1___1[Date]=EDATE($A69,-12))*
              (All_India_Index_Upto_April23__1___1[Sector]="Rural+Urban"),0)),
    INDEX(All_India_Index_Upto_April23__1___1[Personal care and effects],
      MATCH(1,(All_India_Index_Upto_April23__1___1[Date]=EDATE($A69,-12))*
              (All_India_Index_Upto_April23__1___1[Sector]="Rural+Urban"),0)),
    INDEX(All_India_Index_Upto_April23__1___1[Miscellaneous],
      MATCH(1,(All_India_Index_Upto_April23__1___1[Date]=EDATE($A69,-12))*
              (All_India_Index_Upto_April23__1___1[Sector]="Rural+Urban"),0))
  ),
"")</f>
        <v>163.26666666666668</v>
      </c>
      <c r="AA69" s="8">
        <f t="shared" si="14"/>
        <v>7.2580645161290105E-2</v>
      </c>
      <c r="AB69" t="str">
        <f t="shared" si="15"/>
        <v>Post-COVID</v>
      </c>
    </row>
    <row r="70" spans="1:28" x14ac:dyDescent="0.2">
      <c r="A70" s="22">
        <v>44835</v>
      </c>
      <c r="B70">
        <v>2022</v>
      </c>
      <c r="C70" t="s">
        <v>49</v>
      </c>
      <c r="D70" s="2" cm="1">
        <f t="array" ref="D70">IFERROR(
  INDEX(
    All_India_Index_Upto_April23__1___1[General index],
    MATCH(
      1,
      (All_India_Index_Upto_April23__1___1[Sector]="Rural+Urban") *
      (All_India_Index_Upto_April23__1___1[Date]=A70),
      0
    )
  ),
"")</f>
        <v>176.7</v>
      </c>
      <c r="E70" s="2" cm="1">
        <f t="array" ref="E70">IFERROR(
  INDEX(
    All_India_Index_Upto_April23__1___1[General index],
    MATCH(
      1,
      (All_India_Index_Upto_April23__1___1[Sector]="Rural+Urban") *
      (All_India_Index_Upto_April23__1___1[Date]=EDATE(A70,-12)),
      0
    )
  ),
"")</f>
        <v>165.5</v>
      </c>
      <c r="F70" s="8">
        <f t="shared" si="8"/>
        <v>6.7673716012084606E-2</v>
      </c>
      <c r="G70" t="str">
        <f t="shared" si="9"/>
        <v>Post-COVID</v>
      </c>
      <c r="O70" s="2" cm="1">
        <f t="array" ref="O70">IFERROR(
  AVERAGE(
    INDEX(All_India_Index_Upto_April23__1___1[Cereals and products],
      MATCH(1,(All_India_Index_Upto_April23__1___1[Date]=$A70)*
              (All_India_Index_Upto_April23__1___1[Sector]="Rural+Urban"),0)),
    INDEX(All_India_Index_Upto_April23__1___1[Meat and fish],
      MATCH(1,(All_India_Index_Upto_April23__1___1[Date]=$A70)*
              (All_India_Index_Upto_April23__1___1[Sector]="Rural+Urban"),0)),
    INDEX(All_India_Index_Upto_April23__1___1[Egg],
      MATCH(1,(All_India_Index_Upto_April23__1___1[Date]=$A70)*
              (All_India_Index_Upto_April23__1___1[Sector]="Rural+Urban"),0)),
    INDEX(All_India_Index_Upto_April23__1___1[Milk and products],
      MATCH(1,(All_India_Index_Upto_April23__1___1[Date]=$A70)*
              (All_India_Index_Upto_April23__1___1[Sector]="Rural+Urban"),0)),
    INDEX(All_India_Index_Upto_April23__1___1[Oils and fats],
      MATCH(1,(All_India_Index_Upto_April23__1___1[Date]=$A70)*
              (All_India_Index_Upto_April23__1___1[Sector]="Rural+Urban"),0)),
    INDEX(All_India_Index_Upto_April23__1___1[Fruits],
      MATCH(1,(All_India_Index_Upto_April23__1___1[Date]=$A70)*
              (All_India_Index_Upto_April23__1___1[Sector]="Rural+Urban"),0)),
    INDEX(All_India_Index_Upto_April23__1___1[Vegetables],
      MATCH(1,(All_India_Index_Upto_April23__1___1[Date]=$A70)*
              (All_India_Index_Upto_April23__1___1[Sector]="Rural+Urban"),0)),
    INDEX(All_India_Index_Upto_April23__1___1[Pulses and products],
      MATCH(1,(All_India_Index_Upto_April23__1___1[Date]=$A70)*
              (All_India_Index_Upto_April23__1___1[Sector]="Rural+Urban"),0)),
    INDEX(All_India_Index_Upto_April23__1___1[Sugar and Confectionery],
      MATCH(1,(All_India_Index_Upto_April23__1___1[Date]=$A70)*
              (All_India_Index_Upto_April23__1___1[Sector]="Rural+Urban"),0)),
    INDEX(All_India_Index_Upto_April23__1___1[Spices],
      MATCH(1,(All_India_Index_Upto_April23__1___1[Date]=$A70)*
              (All_India_Index_Upto_April23__1___1[Sector]="Rural+Urban"),0)),
    INDEX(All_India_Index_Upto_April23__1___1[Non-alcoholic beverages],
      MATCH(1,(All_India_Index_Upto_April23__1___1[Date]=$A70)*
              (All_India_Index_Upto_April23__1___1[Sector]="Rural+Urban"),0)),
    INDEX(All_India_Index_Upto_April23__1___1[Prepared meals, snacks, sweets etc.],
      MATCH(1,(All_India_Index_Upto_April23__1___1[Date]=$A70)*
              (All_India_Index_Upto_April23__1___1[Sector]="Rural+Urban"),0))
  ),
"")</f>
        <v>176.47500000000002</v>
      </c>
      <c r="P70" s="2" cm="1">
        <f t="array" ref="P70">IFERROR(
  AVERAGE(
    INDEX(All_India_Index_Upto_April23__1___1[Cereals and products],
      MATCH(1,(All_India_Index_Upto_April23__1___1[Date]=EDATE($A70,-12))*
              (All_India_Index_Upto_April23__1___1[Sector]="Rural+Urban"),0)),
    INDEX(All_India_Index_Upto_April23__1___1[Meat and fish],
      MATCH(1,(All_India_Index_Upto_April23__1___1[Date]=EDATE($A70,-12))*
              (All_India_Index_Upto_April23__1___1[Sector]="Rural+Urban"),0)),
    INDEX(All_India_Index_Upto_April23__1___1[Egg],
      MATCH(1,(All_India_Index_Upto_April23__1___1[Date]=EDATE($A70,-12))*
              (All_India_Index_Upto_April23__1___1[Sector]="Rural+Urban"),0)),
    INDEX(All_India_Index_Upto_April23__1___1[Milk and products],
      MATCH(1,(All_India_Index_Upto_April23__1___1[Date]=EDATE($A70,-12))*
              (All_India_Index_Upto_April23__1___1[Sector]="Rural+Urban"),0)),
    INDEX(All_India_Index_Upto_April23__1___1[Oils and fats],
      MATCH(1,(All_India_Index_Upto_April23__1___1[Date]=EDATE($A70,-12))*
              (All_India_Index_Upto_April23__1___1[Sector]="Rural+Urban"),0)),
    INDEX(All_India_Index_Upto_April23__1___1[Fruits],
      MATCH(1,(All_India_Index_Upto_April23__1___1[Date]=EDATE($A70,-12))*
              (All_India_Index_Upto_April23__1___1[Sector]="Rural+Urban"),0)),
    INDEX(All_India_Index_Upto_April23__1___1[Vegetables],
      MATCH(1,(All_India_Index_Upto_April23__1___1[Date]=EDATE($A70,-12))*
              (All_India_Index_Upto_April23__1___1[Sector]="Rural+Urban"),0)),
    INDEX(All_India_Index_Upto_April23__1___1[Pulses and products],
      MATCH(1,(All_India_Index_Upto_April23__1___1[Date]=EDATE($A70,-12))*
              (All_India_Index_Upto_April23__1___1[Sector]="Rural+Urban"),0)),
    INDEX(All_India_Index_Upto_April23__1___1[Sugar and Confectionery],
      MATCH(1,(All_India_Index_Upto_April23__1___1[Date]=EDATE($A70,-12))*
              (All_India_Index_Upto_April23__1___1[Sector]="Rural+Urban"),0)),
    INDEX(All_India_Index_Upto_April23__1___1[Spices],
      MATCH(1,(All_India_Index_Upto_April23__1___1[Date]=EDATE($A70,-12))*
              (All_India_Index_Upto_April23__1___1[Sector]="Rural+Urban"),0)),
    INDEX(All_India_Index_Upto_April23__1___1[Non-alcoholic beverages],
      MATCH(1,(All_India_Index_Upto_April23__1___1[Date]=EDATE($A70,-12))*
              (All_India_Index_Upto_April23__1___1[Sector]="Rural+Urban"),0)),
    INDEX(All_India_Index_Upto_April23__1___1[Prepared meals, snacks, sweets etc.],
      MATCH(1,(All_India_Index_Upto_April23__1___1[Date]=EDATE($A70,-12))*
              (All_India_Index_Upto_April23__1___1[Sector]="Rural+Urban"),0))
  ),
"")</f>
        <v>167.31666666666669</v>
      </c>
      <c r="Q70" s="8">
        <f t="shared" si="10"/>
        <v>5.4736527542583902E-2</v>
      </c>
      <c r="R70" t="str">
        <f t="shared" si="11"/>
        <v>Post-COVID</v>
      </c>
      <c r="T70" s="2" cm="1">
        <f t="array" ref="T70">IFERROR(
  INDEX(
    All_India_Index_Upto_April23__1___1[Health],
    MATCH(
      1,
      (All_India_Index_Upto_April23__1___1[Date]=$A70) *
      (All_India_Index_Upto_April23__1___1[Sector]="Rural+Urban"),
      0
    )
  ),
"")</f>
        <v>178.7</v>
      </c>
      <c r="U70" s="2" cm="1">
        <f t="array" ref="U70">IFERROR(
  INDEX(
    All_India_Index_Upto_April23__1___1[Health],
    MATCH(
      1,
      (All_India_Index_Upto_April23__1___1[Date]=EDATE($A70,-12)) *
      (All_India_Index_Upto_April23__1___1[Sector]="Rural+Urban"),
      0
    )
  ),
"")</f>
        <v>169.1</v>
      </c>
      <c r="V70" s="8">
        <f t="shared" si="12"/>
        <v>5.6771141336487252E-2</v>
      </c>
      <c r="W70" t="str">
        <f t="shared" si="13"/>
        <v>Post-COVID</v>
      </c>
      <c r="Y70" s="2" cm="1">
        <f t="array" ref="Y70">IFERROR(
  AVERAGE(
    INDEX(All_India_Index_Upto_April23__1___1[Pan, tobacco and intoxicants],
      MATCH(1,(All_India_Index_Upto_April23__1___1[Date]=$A70)*
              (All_India_Index_Upto_April23__1___1[Sector]="Rural+Urban"),0)),
    INDEX(All_India_Index_Upto_April23__1___1[Clothing],
      MATCH(1,(All_India_Index_Upto_April23__1___1[Date]=$A70)*
              (All_India_Index_Upto_April23__1___1[Sector]="Rural+Urban"),0)),
    INDEX(All_India_Index_Upto_April23__1___1[Footwear],
      MATCH(1,(All_India_Index_Upto_April23__1___1[Date]=$A70)*
              (All_India_Index_Upto_April23__1___1[Sector]="Rural+Urban"),0)),
    INDEX(All_India_Index_Upto_April23__1___1[Clothing and footwear],
      MATCH(1,(All_India_Index_Upto_April23__1___1[Date]=$A70)*
              (All_India_Index_Upto_April23__1___1[Sector]="Rural+Urban"),0)),
    INDEX(All_India_Index_Upto_April23__1___1[Housing],
      MATCH(1,(All_India_Index_Upto_April23__1___1[Date]=$A70)*
              (All_India_Index_Upto_April23__1___1[Sector]="Rural+Urban"),0)),
    INDEX(All_India_Index_Upto_April23__1___1[Fuel and light],
      MATCH(1,(All_India_Index_Upto_April23__1___1[Date]=$A70)*
              (All_India_Index_Upto_April23__1___1[Sector]="Rural+Urban"),0)),
    INDEX(All_India_Index_Upto_April23__1___1[Household goods and services],
      MATCH(1,(All_India_Index_Upto_April23__1___1[Date]=$A70)*
              (All_India_Index_Upto_April23__1___1[Sector]="Rural+Urban"),0)),
    INDEX(All_India_Index_Upto_April23__1___1[Health],
      MATCH(1,(All_India_Index_Upto_April23__1___1[Date]=$A70)*
              (All_India_Index_Upto_April23__1___1[Sector]="Rural+Urban"),0)),
    INDEX(All_India_Index_Upto_April23__1___1[Transport and communication],
      MATCH(1,(All_India_Index_Upto_April23__1___1[Date]=$A70)*
              (All_India_Index_Upto_April23__1___1[Sector]="Rural+Urban"),0)),
    INDEX(All_India_Index_Upto_April23__1___1[Recreation and amusement],
      MATCH(1,(All_India_Index_Upto_April23__1___1[Date]=$A70)*
              (All_India_Index_Upto_April23__1___1[Sector]="Rural+Urban"),0)),
    INDEX(All_India_Index_Upto_April23__1___1[Education],
      MATCH(1,(All_India_Index_Upto_April23__1___1[Date]=$A70)*
              (All_India_Index_Upto_April23__1___1[Sector]="Rural+Urban"),0)),
    INDEX(All_India_Index_Upto_April23__1___1[Personal care and effects],
      MATCH(1,(All_India_Index_Upto_April23__1___1[Date]=$A70)*
              (All_India_Index_Upto_April23__1___1[Sector]="Rural+Urban"),0)),
    INDEX(All_India_Index_Upto_April23__1___1[Miscellaneous],
      MATCH(1,(All_India_Index_Upto_April23__1___1[Date]=$A70)*
              (All_India_Index_Upto_April23__1___1[Sector]="Rural+Urban"),0))
  ),
"")</f>
        <v>175.93333333333337</v>
      </c>
      <c r="Z70" s="2" cm="1">
        <f t="array" ref="Z70">IFERROR(
  AVERAGE(
    INDEX(All_India_Index_Upto_April23__1___1[Pan, tobacco and intoxicants],
      MATCH(1,(All_India_Index_Upto_April23__1___1[Date]=EDATE($A70,-12))*
              (All_India_Index_Upto_April23__1___1[Sector]="Rural+Urban"),0)),
    INDEX(All_India_Index_Upto_April23__1___1[Clothing],
      MATCH(1,(All_India_Index_Upto_April23__1___1[Date]=EDATE($A70,-12))*
              (All_India_Index_Upto_April23__1___1[Sector]="Rural+Urban"),0)),
    INDEX(All_India_Index_Upto_April23__1___1[Footwear],
      MATCH(1,(All_India_Index_Upto_April23__1___1[Date]=EDATE($A70,-12))*
              (All_India_Index_Upto_April23__1___1[Sector]="Rural+Urban"),0)),
    INDEX(All_India_Index_Upto_April23__1___1[Clothing and footwear],
      MATCH(1,(All_India_Index_Upto_April23__1___1[Date]=EDATE($A70,-12))*
              (All_India_Index_Upto_April23__1___1[Sector]="Rural+Urban"),0)),
    INDEX(All_India_Index_Upto_April23__1___1[Housing],
      MATCH(1,(All_India_Index_Upto_April23__1___1[Date]=EDATE($A70,-12))*
              (All_India_Index_Upto_April23__1___1[Sector]="Rural+Urban"),0)),
    INDEX(All_India_Index_Upto_April23__1___1[Fuel and light],
      MATCH(1,(All_India_Index_Upto_April23__1___1[Date]=EDATE($A70,-12))*
              (All_India_Index_Upto_April23__1___1[Sector]="Rural+Urban"),0)),
    INDEX(All_India_Index_Upto_April23__1___1[Household goods and services],
      MATCH(1,(All_India_Index_Upto_April23__1___1[Date]=EDATE($A70,-12))*
              (All_India_Index_Upto_April23__1___1[Sector]="Rural+Urban"),0)),
    INDEX(All_India_Index_Upto_April23__1___1[Health],
      MATCH(1,(All_India_Index_Upto_April23__1___1[Date]=EDATE($A70,-12))*
              (All_India_Index_Upto_April23__1___1[Sector]="Rural+Urban"),0)),
    INDEX(All_India_Index_Upto_April23__1___1[Transport and communication],
      MATCH(1,(All_India_Index_Upto_April23__1___1[Date]=EDATE($A70,-12))*
              (All_India_Index_Upto_April23__1___1[Sector]="Rural+Urban"),0)),
    INDEX(All_India_Index_Upto_April23__1___1[Recreation and amusement],
      MATCH(1,(All_India_Index_Upto_April23__1___1[Date]=EDATE($A70,-12))*
              (All_India_Index_Upto_April23__1___1[Sector]="Rural+Urban"),0)),
    INDEX(All_India_Index_Upto_April23__1___1[Education],
      MATCH(1,(All_India_Index_Upto_April23__1___1[Date]=EDATE($A70,-12))*
              (All_India_Index_Upto_April23__1___1[Sector]="Rural+Urban"),0)),
    INDEX(All_India_Index_Upto_April23__1___1[Personal care and effects],
      MATCH(1,(All_India_Index_Upto_April23__1___1[Date]=EDATE($A70,-12))*
              (All_India_Index_Upto_April23__1___1[Sector]="Rural+Urban"),0)),
    INDEX(All_India_Index_Upto_April23__1___1[Miscellaneous],
      MATCH(1,(All_India_Index_Upto_April23__1___1[Date]=EDATE($A70,-12))*
              (All_India_Index_Upto_April23__1___1[Sector]="Rural+Urban"),0))
  ),
"")</f>
        <v>164.22499999999999</v>
      </c>
      <c r="AA70" s="8">
        <f t="shared" si="14"/>
        <v>7.129446389607777E-2</v>
      </c>
      <c r="AB70" t="str">
        <f t="shared" si="15"/>
        <v>Post-COVID</v>
      </c>
    </row>
    <row r="71" spans="1:28" x14ac:dyDescent="0.2">
      <c r="A71" s="22">
        <v>44866</v>
      </c>
      <c r="B71">
        <v>2022</v>
      </c>
      <c r="C71" t="s">
        <v>51</v>
      </c>
      <c r="D71" s="2" cm="1">
        <f t="array" ref="D71">IFERROR(
  INDEX(
    All_India_Index_Upto_April23__1___1[General index],
    MATCH(
      1,
      (All_India_Index_Upto_April23__1___1[Sector]="Rural+Urban") *
      (All_India_Index_Upto_April23__1___1[Date]=A71),
      0
    )
  ),
"")</f>
        <v>176.5</v>
      </c>
      <c r="E71" s="2" cm="1">
        <f t="array" ref="E71">IFERROR(
  INDEX(
    All_India_Index_Upto_April23__1___1[General index],
    MATCH(
      1,
      (All_India_Index_Upto_April23__1___1[Sector]="Rural+Urban") *
      (All_India_Index_Upto_April23__1___1[Date]=EDATE(A71,-12)),
      0
    )
  ),
"")</f>
        <v>166.7</v>
      </c>
      <c r="F71" s="8">
        <f t="shared" si="8"/>
        <v>5.8788242351529796E-2</v>
      </c>
      <c r="G71" t="str">
        <f t="shared" si="9"/>
        <v>Post-COVID</v>
      </c>
      <c r="O71" s="2" cm="1">
        <f t="array" ref="O71">IFERROR(
  AVERAGE(
    INDEX(All_India_Index_Upto_April23__1___1[Cereals and products],
      MATCH(1,(All_India_Index_Upto_April23__1___1[Date]=$A71)*
              (All_India_Index_Upto_April23__1___1[Sector]="Rural+Urban"),0)),
    INDEX(All_India_Index_Upto_April23__1___1[Meat and fish],
      MATCH(1,(All_India_Index_Upto_April23__1___1[Date]=$A71)*
              (All_India_Index_Upto_April23__1___1[Sector]="Rural+Urban"),0)),
    INDEX(All_India_Index_Upto_April23__1___1[Egg],
      MATCH(1,(All_India_Index_Upto_April23__1___1[Date]=$A71)*
              (All_India_Index_Upto_April23__1___1[Sector]="Rural+Urban"),0)),
    INDEX(All_India_Index_Upto_April23__1___1[Milk and products],
      MATCH(1,(All_India_Index_Upto_April23__1___1[Date]=$A71)*
              (All_India_Index_Upto_April23__1___1[Sector]="Rural+Urban"),0)),
    INDEX(All_India_Index_Upto_April23__1___1[Oils and fats],
      MATCH(1,(All_India_Index_Upto_April23__1___1[Date]=$A71)*
              (All_India_Index_Upto_April23__1___1[Sector]="Rural+Urban"),0)),
    INDEX(All_India_Index_Upto_April23__1___1[Fruits],
      MATCH(1,(All_India_Index_Upto_April23__1___1[Date]=$A71)*
              (All_India_Index_Upto_April23__1___1[Sector]="Rural+Urban"),0)),
    INDEX(All_India_Index_Upto_April23__1___1[Vegetables],
      MATCH(1,(All_India_Index_Upto_April23__1___1[Date]=$A71)*
              (All_India_Index_Upto_April23__1___1[Sector]="Rural+Urban"),0)),
    INDEX(All_India_Index_Upto_April23__1___1[Pulses and products],
      MATCH(1,(All_India_Index_Upto_April23__1___1[Date]=$A71)*
              (All_India_Index_Upto_April23__1___1[Sector]="Rural+Urban"),0)),
    INDEX(All_India_Index_Upto_April23__1___1[Sugar and Confectionery],
      MATCH(1,(All_India_Index_Upto_April23__1___1[Date]=$A71)*
              (All_India_Index_Upto_April23__1___1[Sector]="Rural+Urban"),0)),
    INDEX(All_India_Index_Upto_April23__1___1[Spices],
      MATCH(1,(All_India_Index_Upto_April23__1___1[Date]=$A71)*
              (All_India_Index_Upto_April23__1___1[Sector]="Rural+Urban"),0)),
    INDEX(All_India_Index_Upto_April23__1___1[Non-alcoholic beverages],
      MATCH(1,(All_India_Index_Upto_April23__1___1[Date]=$A71)*
              (All_India_Index_Upto_April23__1___1[Sector]="Rural+Urban"),0)),
    INDEX(All_India_Index_Upto_April23__1___1[Prepared meals, snacks, sweets etc.],
      MATCH(1,(All_India_Index_Upto_April23__1___1[Date]=$A71)*
              (All_India_Index_Upto_April23__1___1[Sector]="Rural+Urban"),0))
  ),
"")</f>
        <v>176.54166666666666</v>
      </c>
      <c r="P71" s="2" cm="1">
        <f t="array" ref="P71">IFERROR(
  AVERAGE(
    INDEX(All_India_Index_Upto_April23__1___1[Cereals and products],
      MATCH(1,(All_India_Index_Upto_April23__1___1[Date]=EDATE($A71,-12))*
              (All_India_Index_Upto_April23__1___1[Sector]="Rural+Urban"),0)),
    INDEX(All_India_Index_Upto_April23__1___1[Meat and fish],
      MATCH(1,(All_India_Index_Upto_April23__1___1[Date]=EDATE($A71,-12))*
              (All_India_Index_Upto_April23__1___1[Sector]="Rural+Urban"),0)),
    INDEX(All_India_Index_Upto_April23__1___1[Egg],
      MATCH(1,(All_India_Index_Upto_April23__1___1[Date]=EDATE($A71,-12))*
              (All_India_Index_Upto_April23__1___1[Sector]="Rural+Urban"),0)),
    INDEX(All_India_Index_Upto_April23__1___1[Milk and products],
      MATCH(1,(All_India_Index_Upto_April23__1___1[Date]=EDATE($A71,-12))*
              (All_India_Index_Upto_April23__1___1[Sector]="Rural+Urban"),0)),
    INDEX(All_India_Index_Upto_April23__1___1[Oils and fats],
      MATCH(1,(All_India_Index_Upto_April23__1___1[Date]=EDATE($A71,-12))*
              (All_India_Index_Upto_April23__1___1[Sector]="Rural+Urban"),0)),
    INDEX(All_India_Index_Upto_April23__1___1[Fruits],
      MATCH(1,(All_India_Index_Upto_April23__1___1[Date]=EDATE($A71,-12))*
              (All_India_Index_Upto_April23__1___1[Sector]="Rural+Urban"),0)),
    INDEX(All_India_Index_Upto_April23__1___1[Vegetables],
      MATCH(1,(All_India_Index_Upto_April23__1___1[Date]=EDATE($A71,-12))*
              (All_India_Index_Upto_April23__1___1[Sector]="Rural+Urban"),0)),
    INDEX(All_India_Index_Upto_April23__1___1[Pulses and products],
      MATCH(1,(All_India_Index_Upto_April23__1___1[Date]=EDATE($A71,-12))*
              (All_India_Index_Upto_April23__1___1[Sector]="Rural+Urban"),0)),
    INDEX(All_India_Index_Upto_April23__1___1[Sugar and Confectionery],
      MATCH(1,(All_India_Index_Upto_April23__1___1[Date]=EDATE($A71,-12))*
              (All_India_Index_Upto_April23__1___1[Sector]="Rural+Urban"),0)),
    INDEX(All_India_Index_Upto_April23__1___1[Spices],
      MATCH(1,(All_India_Index_Upto_April23__1___1[Date]=EDATE($A71,-12))*
              (All_India_Index_Upto_April23__1___1[Sector]="Rural+Urban"),0)),
    INDEX(All_India_Index_Upto_April23__1___1[Non-alcoholic beverages],
      MATCH(1,(All_India_Index_Upto_April23__1___1[Date]=EDATE($A71,-12))*
              (All_India_Index_Upto_April23__1___1[Sector]="Rural+Urban"),0)),
    INDEX(All_India_Index_Upto_April23__1___1[Prepared meals, snacks, sweets etc.],
      MATCH(1,(All_India_Index_Upto_April23__1___1[Date]=EDATE($A71,-12))*
              (All_India_Index_Upto_April23__1___1[Sector]="Rural+Urban"),0))
  ),
"")</f>
        <v>168.7</v>
      </c>
      <c r="Q71" s="8">
        <f t="shared" si="10"/>
        <v>4.6482908516103552E-2</v>
      </c>
      <c r="R71" t="str">
        <f t="shared" si="11"/>
        <v>Post-COVID</v>
      </c>
      <c r="T71" s="2" cm="1">
        <f t="array" ref="T71">IFERROR(
  INDEX(
    All_India_Index_Upto_April23__1___1[Health],
    MATCH(
      1,
      (All_India_Index_Upto_April23__1___1[Date]=$A71) *
      (All_India_Index_Upto_April23__1___1[Sector]="Rural+Urban"),
      0
    )
  ),
"")</f>
        <v>179.8</v>
      </c>
      <c r="U71" s="2" cm="1">
        <f t="array" ref="U71">IFERROR(
  INDEX(
    All_India_Index_Upto_April23__1___1[Health],
    MATCH(
      1,
      (All_India_Index_Upto_April23__1___1[Date]=EDATE($A71,-12)) *
      (All_India_Index_Upto_April23__1___1[Sector]="Rural+Urban"),
      0
    )
  ),
"")</f>
        <v>169.9</v>
      </c>
      <c r="V71" s="8">
        <f t="shared" si="12"/>
        <v>5.8269570335491495E-2</v>
      </c>
      <c r="W71" t="str">
        <f t="shared" si="13"/>
        <v>Post-COVID</v>
      </c>
      <c r="Y71" s="2" cm="1">
        <f t="array" ref="Y71">IFERROR(
  AVERAGE(
    INDEX(All_India_Index_Upto_April23__1___1[Pan, tobacco and intoxicants],
      MATCH(1,(All_India_Index_Upto_April23__1___1[Date]=$A71)*
              (All_India_Index_Upto_April23__1___1[Sector]="Rural+Urban"),0)),
    INDEX(All_India_Index_Upto_April23__1___1[Clothing],
      MATCH(1,(All_India_Index_Upto_April23__1___1[Date]=$A71)*
              (All_India_Index_Upto_April23__1___1[Sector]="Rural+Urban"),0)),
    INDEX(All_India_Index_Upto_April23__1___1[Footwear],
      MATCH(1,(All_India_Index_Upto_April23__1___1[Date]=$A71)*
              (All_India_Index_Upto_April23__1___1[Sector]="Rural+Urban"),0)),
    INDEX(All_India_Index_Upto_April23__1___1[Clothing and footwear],
      MATCH(1,(All_India_Index_Upto_April23__1___1[Date]=$A71)*
              (All_India_Index_Upto_April23__1___1[Sector]="Rural+Urban"),0)),
    INDEX(All_India_Index_Upto_April23__1___1[Housing],
      MATCH(1,(All_India_Index_Upto_April23__1___1[Date]=$A71)*
              (All_India_Index_Upto_April23__1___1[Sector]="Rural+Urban"),0)),
    INDEX(All_India_Index_Upto_April23__1___1[Fuel and light],
      MATCH(1,(All_India_Index_Upto_April23__1___1[Date]=$A71)*
              (All_India_Index_Upto_April23__1___1[Sector]="Rural+Urban"),0)),
    INDEX(All_India_Index_Upto_April23__1___1[Household goods and services],
      MATCH(1,(All_India_Index_Upto_April23__1___1[Date]=$A71)*
              (All_India_Index_Upto_April23__1___1[Sector]="Rural+Urban"),0)),
    INDEX(All_India_Index_Upto_April23__1___1[Health],
      MATCH(1,(All_India_Index_Upto_April23__1___1[Date]=$A71)*
              (All_India_Index_Upto_April23__1___1[Sector]="Rural+Urban"),0)),
    INDEX(All_India_Index_Upto_April23__1___1[Transport and communication],
      MATCH(1,(All_India_Index_Upto_April23__1___1[Date]=$A71)*
              (All_India_Index_Upto_April23__1___1[Sector]="Rural+Urban"),0)),
    INDEX(All_India_Index_Upto_April23__1___1[Recreation and amusement],
      MATCH(1,(All_India_Index_Upto_April23__1___1[Date]=$A71)*
              (All_India_Index_Upto_April23__1___1[Sector]="Rural+Urban"),0)),
    INDEX(All_India_Index_Upto_April23__1___1[Education],
      MATCH(1,(All_India_Index_Upto_April23__1___1[Date]=$A71)*
              (All_India_Index_Upto_April23__1___1[Sector]="Rural+Urban"),0)),
    INDEX(All_India_Index_Upto_April23__1___1[Personal care and effects],
      MATCH(1,(All_India_Index_Upto_April23__1___1[Date]=$A71)*
              (All_India_Index_Upto_April23__1___1[Sector]="Rural+Urban"),0)),
    INDEX(All_India_Index_Upto_April23__1___1[Miscellaneous],
      MATCH(1,(All_India_Index_Upto_April23__1___1[Date]=$A71)*
              (All_India_Index_Upto_April23__1___1[Sector]="Rural+Urban"),0))
  ),
"")</f>
        <v>176.72500000000002</v>
      </c>
      <c r="Z71" s="2" cm="1">
        <f t="array" ref="Z71">IFERROR(
  AVERAGE(
    INDEX(All_India_Index_Upto_April23__1___1[Pan, tobacco and intoxicants],
      MATCH(1,(All_India_Index_Upto_April23__1___1[Date]=EDATE($A71,-12))*
              (All_India_Index_Upto_April23__1___1[Sector]="Rural+Urban"),0)),
    INDEX(All_India_Index_Upto_April23__1___1[Clothing],
      MATCH(1,(All_India_Index_Upto_April23__1___1[Date]=EDATE($A71,-12))*
              (All_India_Index_Upto_April23__1___1[Sector]="Rural+Urban"),0)),
    INDEX(All_India_Index_Upto_April23__1___1[Footwear],
      MATCH(1,(All_India_Index_Upto_April23__1___1[Date]=EDATE($A71,-12))*
              (All_India_Index_Upto_April23__1___1[Sector]="Rural+Urban"),0)),
    INDEX(All_India_Index_Upto_April23__1___1[Clothing and footwear],
      MATCH(1,(All_India_Index_Upto_April23__1___1[Date]=EDATE($A71,-12))*
              (All_India_Index_Upto_April23__1___1[Sector]="Rural+Urban"),0)),
    INDEX(All_India_Index_Upto_April23__1___1[Housing],
      MATCH(1,(All_India_Index_Upto_April23__1___1[Date]=EDATE($A71,-12))*
              (All_India_Index_Upto_April23__1___1[Sector]="Rural+Urban"),0)),
    INDEX(All_India_Index_Upto_April23__1___1[Fuel and light],
      MATCH(1,(All_India_Index_Upto_April23__1___1[Date]=EDATE($A71,-12))*
              (All_India_Index_Upto_April23__1___1[Sector]="Rural+Urban"),0)),
    INDEX(All_India_Index_Upto_April23__1___1[Household goods and services],
      MATCH(1,(All_India_Index_Upto_April23__1___1[Date]=EDATE($A71,-12))*
              (All_India_Index_Upto_April23__1___1[Sector]="Rural+Urban"),0)),
    INDEX(All_India_Index_Upto_April23__1___1[Health],
      MATCH(1,(All_India_Index_Upto_April23__1___1[Date]=EDATE($A71,-12))*
              (All_India_Index_Upto_April23__1___1[Sector]="Rural+Urban"),0)),
    INDEX(All_India_Index_Upto_April23__1___1[Transport and communication],
      MATCH(1,(All_India_Index_Upto_April23__1___1[Date]=EDATE($A71,-12))*
              (All_India_Index_Upto_April23__1___1[Sector]="Rural+Urban"),0)),
    INDEX(All_India_Index_Upto_April23__1___1[Recreation and amusement],
      MATCH(1,(All_India_Index_Upto_April23__1___1[Date]=EDATE($A71,-12))*
              (All_India_Index_Upto_April23__1___1[Sector]="Rural+Urban"),0)),
    INDEX(All_India_Index_Upto_April23__1___1[Education],
      MATCH(1,(All_India_Index_Upto_April23__1___1[Date]=EDATE($A71,-12))*
              (All_India_Index_Upto_April23__1___1[Sector]="Rural+Urban"),0)),
    INDEX(All_India_Index_Upto_April23__1___1[Personal care and effects],
      MATCH(1,(All_India_Index_Upto_April23__1___1[Date]=EDATE($A71,-12))*
              (All_India_Index_Upto_April23__1___1[Sector]="Rural+Urban"),0)),
    INDEX(All_India_Index_Upto_April23__1___1[Miscellaneous],
      MATCH(1,(All_India_Index_Upto_April23__1___1[Date]=EDATE($A71,-12))*
              (All_India_Index_Upto_April23__1___1[Sector]="Rural+Urban"),0))
  ),
"")</f>
        <v>164.90833333333333</v>
      </c>
      <c r="AA71" s="8">
        <f t="shared" si="14"/>
        <v>7.1655970488655463E-2</v>
      </c>
      <c r="AB71" t="str">
        <f t="shared" si="15"/>
        <v>Post-COVID</v>
      </c>
    </row>
    <row r="72" spans="1:28" x14ac:dyDescent="0.2">
      <c r="A72" s="22">
        <v>44896</v>
      </c>
      <c r="B72">
        <v>2022</v>
      </c>
      <c r="C72" t="s">
        <v>53</v>
      </c>
      <c r="D72" s="2" cm="1">
        <f t="array" ref="D72">IFERROR(
  INDEX(
    All_India_Index_Upto_April23__1___1[General index],
    MATCH(
      1,
      (All_India_Index_Upto_April23__1___1[Sector]="Rural+Urban") *
      (All_India_Index_Upto_April23__1___1[Date]=A72),
      0
    )
  ),
"")</f>
        <v>175.7</v>
      </c>
      <c r="E72" s="2" cm="1">
        <f t="array" ref="E72">IFERROR(
  INDEX(
    All_India_Index_Upto_April23__1___1[General index],
    MATCH(
      1,
      (All_India_Index_Upto_April23__1___1[Sector]="Rural+Urban") *
      (All_India_Index_Upto_April23__1___1[Date]=EDATE(A72,-12)),
      0
    )
  ),
"")</f>
        <v>166.2</v>
      </c>
      <c r="F72" s="8">
        <f t="shared" si="8"/>
        <v>5.7160048134777375E-2</v>
      </c>
      <c r="G72" t="str">
        <f t="shared" si="9"/>
        <v>Post-COVID</v>
      </c>
      <c r="O72" s="2" cm="1">
        <f t="array" ref="O72">IFERROR(
  AVERAGE(
    INDEX(All_India_Index_Upto_April23__1___1[Cereals and products],
      MATCH(1,(All_India_Index_Upto_April23__1___1[Date]=$A72)*
              (All_India_Index_Upto_April23__1___1[Sector]="Rural+Urban"),0)),
    INDEX(All_India_Index_Upto_April23__1___1[Meat and fish],
      MATCH(1,(All_India_Index_Upto_April23__1___1[Date]=$A72)*
              (All_India_Index_Upto_April23__1___1[Sector]="Rural+Urban"),0)),
    INDEX(All_India_Index_Upto_April23__1___1[Egg],
      MATCH(1,(All_India_Index_Upto_April23__1___1[Date]=$A72)*
              (All_India_Index_Upto_April23__1___1[Sector]="Rural+Urban"),0)),
    INDEX(All_India_Index_Upto_April23__1___1[Milk and products],
      MATCH(1,(All_India_Index_Upto_April23__1___1[Date]=$A72)*
              (All_India_Index_Upto_April23__1___1[Sector]="Rural+Urban"),0)),
    INDEX(All_India_Index_Upto_April23__1___1[Oils and fats],
      MATCH(1,(All_India_Index_Upto_April23__1___1[Date]=$A72)*
              (All_India_Index_Upto_April23__1___1[Sector]="Rural+Urban"),0)),
    INDEX(All_India_Index_Upto_April23__1___1[Fruits],
      MATCH(1,(All_India_Index_Upto_April23__1___1[Date]=$A72)*
              (All_India_Index_Upto_April23__1___1[Sector]="Rural+Urban"),0)),
    INDEX(All_India_Index_Upto_April23__1___1[Vegetables],
      MATCH(1,(All_India_Index_Upto_April23__1___1[Date]=$A72)*
              (All_India_Index_Upto_April23__1___1[Sector]="Rural+Urban"),0)),
    INDEX(All_India_Index_Upto_April23__1___1[Pulses and products],
      MATCH(1,(All_India_Index_Upto_April23__1___1[Date]=$A72)*
              (All_India_Index_Upto_April23__1___1[Sector]="Rural+Urban"),0)),
    INDEX(All_India_Index_Upto_April23__1___1[Sugar and Confectionery],
      MATCH(1,(All_India_Index_Upto_April23__1___1[Date]=$A72)*
              (All_India_Index_Upto_April23__1___1[Sector]="Rural+Urban"),0)),
    INDEX(All_India_Index_Upto_April23__1___1[Spices],
      MATCH(1,(All_India_Index_Upto_April23__1___1[Date]=$A72)*
              (All_India_Index_Upto_April23__1___1[Sector]="Rural+Urban"),0)),
    INDEX(All_India_Index_Upto_April23__1___1[Non-alcoholic beverages],
      MATCH(1,(All_India_Index_Upto_April23__1___1[Date]=$A72)*
              (All_India_Index_Upto_April23__1___1[Sector]="Rural+Urban"),0)),
    INDEX(All_India_Index_Upto_April23__1___1[Prepared meals, snacks, sweets etc.],
      MATCH(1,(All_India_Index_Upto_April23__1___1[Date]=$A72)*
              (All_India_Index_Upto_April23__1___1[Sector]="Rural+Urban"),0))
  ),
"")</f>
        <v>175.625</v>
      </c>
      <c r="P72" s="2" cm="1">
        <f t="array" ref="P72">IFERROR(
  AVERAGE(
    INDEX(All_India_Index_Upto_April23__1___1[Cereals and products],
      MATCH(1,(All_India_Index_Upto_April23__1___1[Date]=EDATE($A72,-12))*
              (All_India_Index_Upto_April23__1___1[Sector]="Rural+Urban"),0)),
    INDEX(All_India_Index_Upto_April23__1___1[Meat and fish],
      MATCH(1,(All_India_Index_Upto_April23__1___1[Date]=EDATE($A72,-12))*
              (All_India_Index_Upto_April23__1___1[Sector]="Rural+Urban"),0)),
    INDEX(All_India_Index_Upto_April23__1___1[Egg],
      MATCH(1,(All_India_Index_Upto_April23__1___1[Date]=EDATE($A72,-12))*
              (All_India_Index_Upto_April23__1___1[Sector]="Rural+Urban"),0)),
    INDEX(All_India_Index_Upto_April23__1___1[Milk and products],
      MATCH(1,(All_India_Index_Upto_April23__1___1[Date]=EDATE($A72,-12))*
              (All_India_Index_Upto_April23__1___1[Sector]="Rural+Urban"),0)),
    INDEX(All_India_Index_Upto_April23__1___1[Oils and fats],
      MATCH(1,(All_India_Index_Upto_April23__1___1[Date]=EDATE($A72,-12))*
              (All_India_Index_Upto_April23__1___1[Sector]="Rural+Urban"),0)),
    INDEX(All_India_Index_Upto_April23__1___1[Fruits],
      MATCH(1,(All_India_Index_Upto_April23__1___1[Date]=EDATE($A72,-12))*
              (All_India_Index_Upto_April23__1___1[Sector]="Rural+Urban"),0)),
    INDEX(All_India_Index_Upto_April23__1___1[Vegetables],
      MATCH(1,(All_India_Index_Upto_April23__1___1[Date]=EDATE($A72,-12))*
              (All_India_Index_Upto_April23__1___1[Sector]="Rural+Urban"),0)),
    INDEX(All_India_Index_Upto_April23__1___1[Pulses and products],
      MATCH(1,(All_India_Index_Upto_April23__1___1[Date]=EDATE($A72,-12))*
              (All_India_Index_Upto_April23__1___1[Sector]="Rural+Urban"),0)),
    INDEX(All_India_Index_Upto_April23__1___1[Sugar and Confectionery],
      MATCH(1,(All_India_Index_Upto_April23__1___1[Date]=EDATE($A72,-12))*
              (All_India_Index_Upto_April23__1___1[Sector]="Rural+Urban"),0)),
    INDEX(All_India_Index_Upto_April23__1___1[Spices],
      MATCH(1,(All_India_Index_Upto_April23__1___1[Date]=EDATE($A72,-12))*
              (All_India_Index_Upto_April23__1___1[Sector]="Rural+Urban"),0)),
    INDEX(All_India_Index_Upto_April23__1___1[Non-alcoholic beverages],
      MATCH(1,(All_India_Index_Upto_April23__1___1[Date]=EDATE($A72,-12))*
              (All_India_Index_Upto_April23__1___1[Sector]="Rural+Urban"),0)),
    INDEX(All_India_Index_Upto_April23__1___1[Prepared meals, snacks, sweets etc.],
      MATCH(1,(All_India_Index_Upto_April23__1___1[Date]=EDATE($A72,-12))*
              (All_India_Index_Upto_April23__1___1[Sector]="Rural+Urban"),0))
  ),
"")</f>
        <v>167.72499999999999</v>
      </c>
      <c r="Q72" s="8">
        <f t="shared" si="10"/>
        <v>4.7100909226412316E-2</v>
      </c>
      <c r="R72" t="str">
        <f t="shared" si="11"/>
        <v>Post-COVID</v>
      </c>
      <c r="T72" s="2" cm="1">
        <f t="array" ref="T72">IFERROR(
  INDEX(
    All_India_Index_Upto_April23__1___1[Health],
    MATCH(
      1,
      (All_India_Index_Upto_April23__1___1[Date]=$A72) *
      (All_India_Index_Upto_April23__1___1[Sector]="Rural+Urban"),
      0
    )
  ),
"")</f>
        <v>181.1</v>
      </c>
      <c r="U72" s="2" cm="1">
        <f t="array" ref="U72">IFERROR(
  INDEX(
    All_India_Index_Upto_April23__1___1[Health],
    MATCH(
      1,
      (All_India_Index_Upto_April23__1___1[Date]=EDATE($A72,-12)) *
      (All_India_Index_Upto_April23__1___1[Sector]="Rural+Urban"),
      0
    )
  ),
"")</f>
        <v>170.6</v>
      </c>
      <c r="V72" s="8">
        <f t="shared" si="12"/>
        <v>6.1547479484173509E-2</v>
      </c>
      <c r="W72" t="str">
        <f t="shared" si="13"/>
        <v>Post-COVID</v>
      </c>
      <c r="Y72" s="2" cm="1">
        <f t="array" ref="Y72">IFERROR(
  AVERAGE(
    INDEX(All_India_Index_Upto_April23__1___1[Pan, tobacco and intoxicants],
      MATCH(1,(All_India_Index_Upto_April23__1___1[Date]=$A72)*
              (All_India_Index_Upto_April23__1___1[Sector]="Rural+Urban"),0)),
    INDEX(All_India_Index_Upto_April23__1___1[Clothing],
      MATCH(1,(All_India_Index_Upto_April23__1___1[Date]=$A72)*
              (All_India_Index_Upto_April23__1___1[Sector]="Rural+Urban"),0)),
    INDEX(All_India_Index_Upto_April23__1___1[Footwear],
      MATCH(1,(All_India_Index_Upto_April23__1___1[Date]=$A72)*
              (All_India_Index_Upto_April23__1___1[Sector]="Rural+Urban"),0)),
    INDEX(All_India_Index_Upto_April23__1___1[Clothing and footwear],
      MATCH(1,(All_India_Index_Upto_April23__1___1[Date]=$A72)*
              (All_India_Index_Upto_April23__1___1[Sector]="Rural+Urban"),0)),
    INDEX(All_India_Index_Upto_April23__1___1[Housing],
      MATCH(1,(All_India_Index_Upto_April23__1___1[Date]=$A72)*
              (All_India_Index_Upto_April23__1___1[Sector]="Rural+Urban"),0)),
    INDEX(All_India_Index_Upto_April23__1___1[Fuel and light],
      MATCH(1,(All_India_Index_Upto_April23__1___1[Date]=$A72)*
              (All_India_Index_Upto_April23__1___1[Sector]="Rural+Urban"),0)),
    INDEX(All_India_Index_Upto_April23__1___1[Household goods and services],
      MATCH(1,(All_India_Index_Upto_April23__1___1[Date]=$A72)*
              (All_India_Index_Upto_April23__1___1[Sector]="Rural+Urban"),0)),
    INDEX(All_India_Index_Upto_April23__1___1[Health],
      MATCH(1,(All_India_Index_Upto_April23__1___1[Date]=$A72)*
              (All_India_Index_Upto_April23__1___1[Sector]="Rural+Urban"),0)),
    INDEX(All_India_Index_Upto_April23__1___1[Transport and communication],
      MATCH(1,(All_India_Index_Upto_April23__1___1[Date]=$A72)*
              (All_India_Index_Upto_April23__1___1[Sector]="Rural+Urban"),0)),
    INDEX(All_India_Index_Upto_April23__1___1[Recreation and amusement],
      MATCH(1,(All_India_Index_Upto_April23__1___1[Date]=$A72)*
              (All_India_Index_Upto_April23__1___1[Sector]="Rural+Urban"),0)),
    INDEX(All_India_Index_Upto_April23__1___1[Education],
      MATCH(1,(All_India_Index_Upto_April23__1___1[Date]=$A72)*
              (All_India_Index_Upto_April23__1___1[Sector]="Rural+Urban"),0)),
    INDEX(All_India_Index_Upto_April23__1___1[Personal care and effects],
      MATCH(1,(All_India_Index_Upto_April23__1___1[Date]=$A72)*
              (All_India_Index_Upto_April23__1___1[Sector]="Rural+Urban"),0)),
    INDEX(All_India_Index_Upto_April23__1___1[Miscellaneous],
      MATCH(1,(All_India_Index_Upto_April23__1___1[Date]=$A72)*
              (All_India_Index_Upto_April23__1___1[Sector]="Rural+Urban"),0))
  ),
"")</f>
        <v>177.55833333333331</v>
      </c>
      <c r="Z72" s="2" cm="1">
        <f t="array" ref="Z72">IFERROR(
  AVERAGE(
    INDEX(All_India_Index_Upto_April23__1___1[Pan, tobacco and intoxicants],
      MATCH(1,(All_India_Index_Upto_April23__1___1[Date]=EDATE($A72,-12))*
              (All_India_Index_Upto_April23__1___1[Sector]="Rural+Urban"),0)),
    INDEX(All_India_Index_Upto_April23__1___1[Clothing],
      MATCH(1,(All_India_Index_Upto_April23__1___1[Date]=EDATE($A72,-12))*
              (All_India_Index_Upto_April23__1___1[Sector]="Rural+Urban"),0)),
    INDEX(All_India_Index_Upto_April23__1___1[Footwear],
      MATCH(1,(All_India_Index_Upto_April23__1___1[Date]=EDATE($A72,-12))*
              (All_India_Index_Upto_April23__1___1[Sector]="Rural+Urban"),0)),
    INDEX(All_India_Index_Upto_April23__1___1[Clothing and footwear],
      MATCH(1,(All_India_Index_Upto_April23__1___1[Date]=EDATE($A72,-12))*
              (All_India_Index_Upto_April23__1___1[Sector]="Rural+Urban"),0)),
    INDEX(All_India_Index_Upto_April23__1___1[Housing],
      MATCH(1,(All_India_Index_Upto_April23__1___1[Date]=EDATE($A72,-12))*
              (All_India_Index_Upto_April23__1___1[Sector]="Rural+Urban"),0)),
    INDEX(All_India_Index_Upto_April23__1___1[Fuel and light],
      MATCH(1,(All_India_Index_Upto_April23__1___1[Date]=EDATE($A72,-12))*
              (All_India_Index_Upto_April23__1___1[Sector]="Rural+Urban"),0)),
    INDEX(All_India_Index_Upto_April23__1___1[Household goods and services],
      MATCH(1,(All_India_Index_Upto_April23__1___1[Date]=EDATE($A72,-12))*
              (All_India_Index_Upto_April23__1___1[Sector]="Rural+Urban"),0)),
    INDEX(All_India_Index_Upto_April23__1___1[Health],
      MATCH(1,(All_India_Index_Upto_April23__1___1[Date]=EDATE($A72,-12))*
              (All_India_Index_Upto_April23__1___1[Sector]="Rural+Urban"),0)),
    INDEX(All_India_Index_Upto_April23__1___1[Transport and communication],
      MATCH(1,(All_India_Index_Upto_April23__1___1[Date]=EDATE($A72,-12))*
              (All_India_Index_Upto_April23__1___1[Sector]="Rural+Urban"),0)),
    INDEX(All_India_Index_Upto_April23__1___1[Recreation and amusement],
      MATCH(1,(All_India_Index_Upto_April23__1___1[Date]=EDATE($A72,-12))*
              (All_India_Index_Upto_April23__1___1[Sector]="Rural+Urban"),0)),
    INDEX(All_India_Index_Upto_April23__1___1[Education],
      MATCH(1,(All_India_Index_Upto_April23__1___1[Date]=EDATE($A72,-12))*
              (All_India_Index_Upto_April23__1___1[Sector]="Rural+Urban"),0)),
    INDEX(All_India_Index_Upto_April23__1___1[Personal care and effects],
      MATCH(1,(All_India_Index_Upto_April23__1___1[Date]=EDATE($A72,-12))*
              (All_India_Index_Upto_April23__1___1[Sector]="Rural+Urban"),0)),
    INDEX(All_India_Index_Upto_April23__1___1[Miscellaneous],
      MATCH(1,(All_India_Index_Upto_April23__1___1[Date]=EDATE($A72,-12))*
              (All_India_Index_Upto_April23__1___1[Sector]="Rural+Urban"),0))
  ),
"")</f>
        <v>165.56666666666663</v>
      </c>
      <c r="AA72" s="8">
        <f t="shared" si="14"/>
        <v>7.2428024964767523E-2</v>
      </c>
      <c r="AB72" t="str">
        <f t="shared" si="15"/>
        <v>Post-COVID</v>
      </c>
    </row>
    <row r="73" spans="1:28" x14ac:dyDescent="0.2">
      <c r="A73" s="22">
        <v>44927</v>
      </c>
      <c r="B73">
        <v>2023</v>
      </c>
      <c r="C73" t="s">
        <v>31</v>
      </c>
      <c r="D73" s="2" cm="1">
        <f t="array" ref="D73">IFERROR(
  INDEX(
    All_India_Index_Upto_April23__1___1[General index],
    MATCH(
      1,
      (All_India_Index_Upto_April23__1___1[Sector]="Rural+Urban") *
      (All_India_Index_Upto_April23__1___1[Date]=A73),
      0
    )
  ),
"")</f>
        <v>176.5</v>
      </c>
      <c r="E73" s="2" cm="1">
        <f t="array" ref="E73">IFERROR(
  INDEX(
    All_India_Index_Upto_April23__1___1[General index],
    MATCH(
      1,
      (All_India_Index_Upto_April23__1___1[Sector]="Rural+Urban") *
      (All_India_Index_Upto_April23__1___1[Date]=EDATE(A73,-12)),
      0
    )
  ),
"")</f>
        <v>165.7</v>
      </c>
      <c r="F73" s="8">
        <f t="shared" si="8"/>
        <v>6.5178032589016333E-2</v>
      </c>
      <c r="G73" t="str">
        <f t="shared" si="9"/>
        <v>Post-COVID</v>
      </c>
      <c r="O73" s="2" cm="1">
        <f t="array" ref="O73">IFERROR(
  AVERAGE(
    INDEX(All_India_Index_Upto_April23__1___1[Cereals and products],
      MATCH(1,(All_India_Index_Upto_April23__1___1[Date]=$A73)*
              (All_India_Index_Upto_April23__1___1[Sector]="Rural+Urban"),0)),
    INDEX(All_India_Index_Upto_April23__1___1[Meat and fish],
      MATCH(1,(All_India_Index_Upto_April23__1___1[Date]=$A73)*
              (All_India_Index_Upto_April23__1___1[Sector]="Rural+Urban"),0)),
    INDEX(All_India_Index_Upto_April23__1___1[Egg],
      MATCH(1,(All_India_Index_Upto_April23__1___1[Date]=$A73)*
              (All_India_Index_Upto_April23__1___1[Sector]="Rural+Urban"),0)),
    INDEX(All_India_Index_Upto_April23__1___1[Milk and products],
      MATCH(1,(All_India_Index_Upto_April23__1___1[Date]=$A73)*
              (All_India_Index_Upto_April23__1___1[Sector]="Rural+Urban"),0)),
    INDEX(All_India_Index_Upto_April23__1___1[Oils and fats],
      MATCH(1,(All_India_Index_Upto_April23__1___1[Date]=$A73)*
              (All_India_Index_Upto_April23__1___1[Sector]="Rural+Urban"),0)),
    INDEX(All_India_Index_Upto_April23__1___1[Fruits],
      MATCH(1,(All_India_Index_Upto_April23__1___1[Date]=$A73)*
              (All_India_Index_Upto_April23__1___1[Sector]="Rural+Urban"),0)),
    INDEX(All_India_Index_Upto_April23__1___1[Vegetables],
      MATCH(1,(All_India_Index_Upto_April23__1___1[Date]=$A73)*
              (All_India_Index_Upto_April23__1___1[Sector]="Rural+Urban"),0)),
    INDEX(All_India_Index_Upto_April23__1___1[Pulses and products],
      MATCH(1,(All_India_Index_Upto_April23__1___1[Date]=$A73)*
              (All_India_Index_Upto_April23__1___1[Sector]="Rural+Urban"),0)),
    INDEX(All_India_Index_Upto_April23__1___1[Sugar and Confectionery],
      MATCH(1,(All_India_Index_Upto_April23__1___1[Date]=$A73)*
              (All_India_Index_Upto_April23__1___1[Sector]="Rural+Urban"),0)),
    INDEX(All_India_Index_Upto_April23__1___1[Spices],
      MATCH(1,(All_India_Index_Upto_April23__1___1[Date]=$A73)*
              (All_India_Index_Upto_April23__1___1[Sector]="Rural+Urban"),0)),
    INDEX(All_India_Index_Upto_April23__1___1[Non-alcoholic beverages],
      MATCH(1,(All_India_Index_Upto_April23__1___1[Date]=$A73)*
              (All_India_Index_Upto_April23__1___1[Sector]="Rural+Urban"),0)),
    INDEX(All_India_Index_Upto_April23__1___1[Prepared meals, snacks, sweets etc.],
      MATCH(1,(All_India_Index_Upto_April23__1___1[Date]=$A73)*
              (All_India_Index_Upto_April23__1___1[Sector]="Rural+Urban"),0))
  ),
"")</f>
        <v>176.33333333333334</v>
      </c>
      <c r="P73" s="2" cm="1">
        <f t="array" ref="P73">IFERROR(
  AVERAGE(
    INDEX(All_India_Index_Upto_April23__1___1[Cereals and products],
      MATCH(1,(All_India_Index_Upto_April23__1___1[Date]=EDATE($A73,-12))*
              (All_India_Index_Upto_April23__1___1[Sector]="Rural+Urban"),0)),
    INDEX(All_India_Index_Upto_April23__1___1[Meat and fish],
      MATCH(1,(All_India_Index_Upto_April23__1___1[Date]=EDATE($A73,-12))*
              (All_India_Index_Upto_April23__1___1[Sector]="Rural+Urban"),0)),
    INDEX(All_India_Index_Upto_April23__1___1[Egg],
      MATCH(1,(All_India_Index_Upto_April23__1___1[Date]=EDATE($A73,-12))*
              (All_India_Index_Upto_April23__1___1[Sector]="Rural+Urban"),0)),
    INDEX(All_India_Index_Upto_April23__1___1[Milk and products],
      MATCH(1,(All_India_Index_Upto_April23__1___1[Date]=EDATE($A73,-12))*
              (All_India_Index_Upto_April23__1___1[Sector]="Rural+Urban"),0)),
    INDEX(All_India_Index_Upto_April23__1___1[Oils and fats],
      MATCH(1,(All_India_Index_Upto_April23__1___1[Date]=EDATE($A73,-12))*
              (All_India_Index_Upto_April23__1___1[Sector]="Rural+Urban"),0)),
    INDEX(All_India_Index_Upto_April23__1___1[Fruits],
      MATCH(1,(All_India_Index_Upto_April23__1___1[Date]=EDATE($A73,-12))*
              (All_India_Index_Upto_April23__1___1[Sector]="Rural+Urban"),0)),
    INDEX(All_India_Index_Upto_April23__1___1[Vegetables],
      MATCH(1,(All_India_Index_Upto_April23__1___1[Date]=EDATE($A73,-12))*
              (All_India_Index_Upto_April23__1___1[Sector]="Rural+Urban"),0)),
    INDEX(All_India_Index_Upto_April23__1___1[Pulses and products],
      MATCH(1,(All_India_Index_Upto_April23__1___1[Date]=EDATE($A73,-12))*
              (All_India_Index_Upto_April23__1___1[Sector]="Rural+Urban"),0)),
    INDEX(All_India_Index_Upto_April23__1___1[Sugar and Confectionery],
      MATCH(1,(All_India_Index_Upto_April23__1___1[Date]=EDATE($A73,-12))*
              (All_India_Index_Upto_April23__1___1[Sector]="Rural+Urban"),0)),
    INDEX(All_India_Index_Upto_April23__1___1[Spices],
      MATCH(1,(All_India_Index_Upto_April23__1___1[Date]=EDATE($A73,-12))*
              (All_India_Index_Upto_April23__1___1[Sector]="Rural+Urban"),0)),
    INDEX(All_India_Index_Upto_April23__1___1[Non-alcoholic beverages],
      MATCH(1,(All_India_Index_Upto_April23__1___1[Date]=EDATE($A73,-12))*
              (All_India_Index_Upto_April23__1___1[Sector]="Rural+Urban"),0)),
    INDEX(All_India_Index_Upto_April23__1___1[Prepared meals, snacks, sweets etc.],
      MATCH(1,(All_India_Index_Upto_April23__1___1[Date]=EDATE($A73,-12))*
              (All_India_Index_Upto_April23__1___1[Sector]="Rural+Urban"),0))
  ),
"")</f>
        <v>166.48333333333332</v>
      </c>
      <c r="Q73" s="8">
        <f t="shared" si="10"/>
        <v>5.9165081589748862E-2</v>
      </c>
      <c r="R73" t="str">
        <f t="shared" si="11"/>
        <v>Post-COVID</v>
      </c>
      <c r="T73" s="2" cm="1">
        <f t="array" ref="T73">IFERROR(
  INDEX(
    All_India_Index_Upto_April23__1___1[Health],
    MATCH(
      1,
      (All_India_Index_Upto_April23__1___1[Date]=$A73) *
      (All_India_Index_Upto_April23__1___1[Sector]="Rural+Urban"),
      0
    )
  ),
"")</f>
        <v>182.3</v>
      </c>
      <c r="U73" s="2" cm="1">
        <f t="array" ref="U73">IFERROR(
  INDEX(
    All_India_Index_Upto_April23__1___1[Health],
    MATCH(
      1,
      (All_India_Index_Upto_April23__1___1[Date]=EDATE($A73,-12)) *
      (All_India_Index_Upto_April23__1___1[Sector]="Rural+Urban"),
      0
    )
  ),
"")</f>
        <v>171.4</v>
      </c>
      <c r="V73" s="8">
        <f t="shared" si="12"/>
        <v>6.3593932322053709E-2</v>
      </c>
      <c r="W73" t="str">
        <f t="shared" si="13"/>
        <v>Post-COVID</v>
      </c>
      <c r="Y73" s="2" cm="1">
        <f t="array" ref="Y73">IFERROR(
  AVERAGE(
    INDEX(All_India_Index_Upto_April23__1___1[Pan, tobacco and intoxicants],
      MATCH(1,(All_India_Index_Upto_April23__1___1[Date]=$A73)*
              (All_India_Index_Upto_April23__1___1[Sector]="Rural+Urban"),0)),
    INDEX(All_India_Index_Upto_April23__1___1[Clothing],
      MATCH(1,(All_India_Index_Upto_April23__1___1[Date]=$A73)*
              (All_India_Index_Upto_April23__1___1[Sector]="Rural+Urban"),0)),
    INDEX(All_India_Index_Upto_April23__1___1[Footwear],
      MATCH(1,(All_India_Index_Upto_April23__1___1[Date]=$A73)*
              (All_India_Index_Upto_April23__1___1[Sector]="Rural+Urban"),0)),
    INDEX(All_India_Index_Upto_April23__1___1[Clothing and footwear],
      MATCH(1,(All_India_Index_Upto_April23__1___1[Date]=$A73)*
              (All_India_Index_Upto_April23__1___1[Sector]="Rural+Urban"),0)),
    INDEX(All_India_Index_Upto_April23__1___1[Housing],
      MATCH(1,(All_India_Index_Upto_April23__1___1[Date]=$A73)*
              (All_India_Index_Upto_April23__1___1[Sector]="Rural+Urban"),0)),
    INDEX(All_India_Index_Upto_April23__1___1[Fuel and light],
      MATCH(1,(All_India_Index_Upto_April23__1___1[Date]=$A73)*
              (All_India_Index_Upto_April23__1___1[Sector]="Rural+Urban"),0)),
    INDEX(All_India_Index_Upto_April23__1___1[Household goods and services],
      MATCH(1,(All_India_Index_Upto_April23__1___1[Date]=$A73)*
              (All_India_Index_Upto_April23__1___1[Sector]="Rural+Urban"),0)),
    INDEX(All_India_Index_Upto_April23__1___1[Health],
      MATCH(1,(All_India_Index_Upto_April23__1___1[Date]=$A73)*
              (All_India_Index_Upto_April23__1___1[Sector]="Rural+Urban"),0)),
    INDEX(All_India_Index_Upto_April23__1___1[Transport and communication],
      MATCH(1,(All_India_Index_Upto_April23__1___1[Date]=$A73)*
              (All_India_Index_Upto_April23__1___1[Sector]="Rural+Urban"),0)),
    INDEX(All_India_Index_Upto_April23__1___1[Recreation and amusement],
      MATCH(1,(All_India_Index_Upto_April23__1___1[Date]=$A73)*
              (All_India_Index_Upto_April23__1___1[Sector]="Rural+Urban"),0)),
    INDEX(All_India_Index_Upto_April23__1___1[Education],
      MATCH(1,(All_India_Index_Upto_April23__1___1[Date]=$A73)*
              (All_India_Index_Upto_April23__1___1[Sector]="Rural+Urban"),0)),
    INDEX(All_India_Index_Upto_April23__1___1[Personal care and effects],
      MATCH(1,(All_India_Index_Upto_April23__1___1[Date]=$A73)*
              (All_India_Index_Upto_April23__1___1[Sector]="Rural+Urban"),0)),
    INDEX(All_India_Index_Upto_April23__1___1[Miscellaneous],
      MATCH(1,(All_India_Index_Upto_April23__1___1[Date]=$A73)*
              (All_India_Index_Upto_April23__1___1[Sector]="Rural+Urban"),0))
  ),
"")</f>
        <v>178.375</v>
      </c>
      <c r="Z73" s="2" cm="1">
        <f t="array" ref="Z73">IFERROR(
  AVERAGE(
    INDEX(All_India_Index_Upto_April23__1___1[Pan, tobacco and intoxicants],
      MATCH(1,(All_India_Index_Upto_April23__1___1[Date]=EDATE($A73,-12))*
              (All_India_Index_Upto_April23__1___1[Sector]="Rural+Urban"),0)),
    INDEX(All_India_Index_Upto_April23__1___1[Clothing],
      MATCH(1,(All_India_Index_Upto_April23__1___1[Date]=EDATE($A73,-12))*
              (All_India_Index_Upto_April23__1___1[Sector]="Rural+Urban"),0)),
    INDEX(All_India_Index_Upto_April23__1___1[Footwear],
      MATCH(1,(All_India_Index_Upto_April23__1___1[Date]=EDATE($A73,-12))*
              (All_India_Index_Upto_April23__1___1[Sector]="Rural+Urban"),0)),
    INDEX(All_India_Index_Upto_April23__1___1[Clothing and footwear],
      MATCH(1,(All_India_Index_Upto_April23__1___1[Date]=EDATE($A73,-12))*
              (All_India_Index_Upto_April23__1___1[Sector]="Rural+Urban"),0)),
    INDEX(All_India_Index_Upto_April23__1___1[Housing],
      MATCH(1,(All_India_Index_Upto_April23__1___1[Date]=EDATE($A73,-12))*
              (All_India_Index_Upto_April23__1___1[Sector]="Rural+Urban"),0)),
    INDEX(All_India_Index_Upto_April23__1___1[Fuel and light],
      MATCH(1,(All_India_Index_Upto_April23__1___1[Date]=EDATE($A73,-12))*
              (All_India_Index_Upto_April23__1___1[Sector]="Rural+Urban"),0)),
    INDEX(All_India_Index_Upto_April23__1___1[Household goods and services],
      MATCH(1,(All_India_Index_Upto_April23__1___1[Date]=EDATE($A73,-12))*
              (All_India_Index_Upto_April23__1___1[Sector]="Rural+Urban"),0)),
    INDEX(All_India_Index_Upto_April23__1___1[Health],
      MATCH(1,(All_India_Index_Upto_April23__1___1[Date]=EDATE($A73,-12))*
              (All_India_Index_Upto_April23__1___1[Sector]="Rural+Urban"),0)),
    INDEX(All_India_Index_Upto_April23__1___1[Transport and communication],
      MATCH(1,(All_India_Index_Upto_April23__1___1[Date]=EDATE($A73,-12))*
              (All_India_Index_Upto_April23__1___1[Sector]="Rural+Urban"),0)),
    INDEX(All_India_Index_Upto_April23__1___1[Recreation and amusement],
      MATCH(1,(All_India_Index_Upto_April23__1___1[Date]=EDATE($A73,-12))*
              (All_India_Index_Upto_April23__1___1[Sector]="Rural+Urban"),0)),
    INDEX(All_India_Index_Upto_April23__1___1[Education],
      MATCH(1,(All_India_Index_Upto_April23__1___1[Date]=EDATE($A73,-12))*
              (All_India_Index_Upto_April23__1___1[Sector]="Rural+Urban"),0)),
    INDEX(All_India_Index_Upto_April23__1___1[Personal care and effects],
      MATCH(1,(All_India_Index_Upto_April23__1___1[Date]=EDATE($A73,-12))*
              (All_India_Index_Upto_April23__1___1[Sector]="Rural+Urban"),0)),
    INDEX(All_India_Index_Upto_April23__1___1[Miscellaneous],
      MATCH(1,(All_India_Index_Upto_April23__1___1[Date]=EDATE($A73,-12))*
              (All_India_Index_Upto_April23__1___1[Sector]="Rural+Urban"),0))
  ),
"")</f>
        <v>166.34166666666667</v>
      </c>
      <c r="AA73" s="8">
        <f t="shared" si="14"/>
        <v>7.2341065076899941E-2</v>
      </c>
      <c r="AB73" t="str">
        <f t="shared" si="15"/>
        <v>Post-COVID</v>
      </c>
    </row>
    <row r="74" spans="1:28" x14ac:dyDescent="0.2">
      <c r="A74" s="22">
        <v>44958</v>
      </c>
      <c r="B74">
        <v>2023</v>
      </c>
      <c r="C74" t="s">
        <v>35</v>
      </c>
      <c r="D74" s="2" cm="1">
        <f t="array" ref="D74">IFERROR(
  INDEX(
    All_India_Index_Upto_April23__1___1[General index],
    MATCH(
      1,
      (All_India_Index_Upto_April23__1___1[Sector]="Rural+Urban") *
      (All_India_Index_Upto_April23__1___1[Date]=A74),
      0
    )
  ),
"")</f>
        <v>177.2</v>
      </c>
      <c r="E74" s="2" cm="1">
        <f t="array" ref="E74">IFERROR(
  INDEX(
    All_India_Index_Upto_April23__1___1[General index],
    MATCH(
      1,
      (All_India_Index_Upto_April23__1___1[Sector]="Rural+Urban") *
      (All_India_Index_Upto_April23__1___1[Date]=EDATE(A74,-12)),
      0
    )
  ),
"")</f>
        <v>166.1</v>
      </c>
      <c r="F74" s="8">
        <f t="shared" si="8"/>
        <v>6.682721252257684E-2</v>
      </c>
      <c r="G74" t="str">
        <f t="shared" si="9"/>
        <v>Post-COVID</v>
      </c>
      <c r="O74" s="2" cm="1">
        <f t="array" ref="O74">IFERROR(
  AVERAGE(
    INDEX(All_India_Index_Upto_April23__1___1[Cereals and products],
      MATCH(1,(All_India_Index_Upto_April23__1___1[Date]=$A74)*
              (All_India_Index_Upto_April23__1___1[Sector]="Rural+Urban"),0)),
    INDEX(All_India_Index_Upto_April23__1___1[Meat and fish],
      MATCH(1,(All_India_Index_Upto_April23__1___1[Date]=$A74)*
              (All_India_Index_Upto_April23__1___1[Sector]="Rural+Urban"),0)),
    INDEX(All_India_Index_Upto_April23__1___1[Egg],
      MATCH(1,(All_India_Index_Upto_April23__1___1[Date]=$A74)*
              (All_India_Index_Upto_April23__1___1[Sector]="Rural+Urban"),0)),
    INDEX(All_India_Index_Upto_April23__1___1[Milk and products],
      MATCH(1,(All_India_Index_Upto_April23__1___1[Date]=$A74)*
              (All_India_Index_Upto_April23__1___1[Sector]="Rural+Urban"),0)),
    INDEX(All_India_Index_Upto_April23__1___1[Oils and fats],
      MATCH(1,(All_India_Index_Upto_April23__1___1[Date]=$A74)*
              (All_India_Index_Upto_April23__1___1[Sector]="Rural+Urban"),0)),
    INDEX(All_India_Index_Upto_April23__1___1[Fruits],
      MATCH(1,(All_India_Index_Upto_April23__1___1[Date]=$A74)*
              (All_India_Index_Upto_April23__1___1[Sector]="Rural+Urban"),0)),
    INDEX(All_India_Index_Upto_April23__1___1[Vegetables],
      MATCH(1,(All_India_Index_Upto_April23__1___1[Date]=$A74)*
              (All_India_Index_Upto_April23__1___1[Sector]="Rural+Urban"),0)),
    INDEX(All_India_Index_Upto_April23__1___1[Pulses and products],
      MATCH(1,(All_India_Index_Upto_April23__1___1[Date]=$A74)*
              (All_India_Index_Upto_April23__1___1[Sector]="Rural+Urban"),0)),
    INDEX(All_India_Index_Upto_April23__1___1[Sugar and Confectionery],
      MATCH(1,(All_India_Index_Upto_April23__1___1[Date]=$A74)*
              (All_India_Index_Upto_April23__1___1[Sector]="Rural+Urban"),0)),
    INDEX(All_India_Index_Upto_April23__1___1[Spices],
      MATCH(1,(All_India_Index_Upto_April23__1___1[Date]=$A74)*
              (All_India_Index_Upto_April23__1___1[Sector]="Rural+Urban"),0)),
    INDEX(All_India_Index_Upto_April23__1___1[Non-alcoholic beverages],
      MATCH(1,(All_India_Index_Upto_April23__1___1[Date]=$A74)*
              (All_India_Index_Upto_April23__1___1[Sector]="Rural+Urban"),0)),
    INDEX(All_India_Index_Upto_April23__1___1[Prepared meals, snacks, sweets etc.],
      MATCH(1,(All_India_Index_Upto_April23__1___1[Date]=$A74)*
              (All_India_Index_Upto_April23__1___1[Sector]="Rural+Urban"),0))
  ),
"")</f>
        <v>175.17499999999998</v>
      </c>
      <c r="P74" s="2" cm="1">
        <f t="array" ref="P74">IFERROR(
  AVERAGE(
    INDEX(All_India_Index_Upto_April23__1___1[Cereals and products],
      MATCH(1,(All_India_Index_Upto_April23__1___1[Date]=EDATE($A74,-12))*
              (All_India_Index_Upto_April23__1___1[Sector]="Rural+Urban"),0)),
    INDEX(All_India_Index_Upto_April23__1___1[Meat and fish],
      MATCH(1,(All_India_Index_Upto_April23__1___1[Date]=EDATE($A74,-12))*
              (All_India_Index_Upto_April23__1___1[Sector]="Rural+Urban"),0)),
    INDEX(All_India_Index_Upto_April23__1___1[Egg],
      MATCH(1,(All_India_Index_Upto_April23__1___1[Date]=EDATE($A74,-12))*
              (All_India_Index_Upto_April23__1___1[Sector]="Rural+Urban"),0)),
    INDEX(All_India_Index_Upto_April23__1___1[Milk and products],
      MATCH(1,(All_India_Index_Upto_April23__1___1[Date]=EDATE($A74,-12))*
              (All_India_Index_Upto_April23__1___1[Sector]="Rural+Urban"),0)),
    INDEX(All_India_Index_Upto_April23__1___1[Oils and fats],
      MATCH(1,(All_India_Index_Upto_April23__1___1[Date]=EDATE($A74,-12))*
              (All_India_Index_Upto_April23__1___1[Sector]="Rural+Urban"),0)),
    INDEX(All_India_Index_Upto_April23__1___1[Fruits],
      MATCH(1,(All_India_Index_Upto_April23__1___1[Date]=EDATE($A74,-12))*
              (All_India_Index_Upto_April23__1___1[Sector]="Rural+Urban"),0)),
    INDEX(All_India_Index_Upto_April23__1___1[Vegetables],
      MATCH(1,(All_India_Index_Upto_April23__1___1[Date]=EDATE($A74,-12))*
              (All_India_Index_Upto_April23__1___1[Sector]="Rural+Urban"),0)),
    INDEX(All_India_Index_Upto_April23__1___1[Pulses and products],
      MATCH(1,(All_India_Index_Upto_April23__1___1[Date]=EDATE($A74,-12))*
              (All_India_Index_Upto_April23__1___1[Sector]="Rural+Urban"),0)),
    INDEX(All_India_Index_Upto_April23__1___1[Sugar and Confectionery],
      MATCH(1,(All_India_Index_Upto_April23__1___1[Date]=EDATE($A74,-12))*
              (All_India_Index_Upto_April23__1___1[Sector]="Rural+Urban"),0)),
    INDEX(All_India_Index_Upto_April23__1___1[Spices],
      MATCH(1,(All_India_Index_Upto_April23__1___1[Date]=EDATE($A74,-12))*
              (All_India_Index_Upto_April23__1___1[Sector]="Rural+Urban"),0)),
    INDEX(All_India_Index_Upto_April23__1___1[Non-alcoholic beverages],
      MATCH(1,(All_India_Index_Upto_April23__1___1[Date]=EDATE($A74,-12))*
              (All_India_Index_Upto_April23__1___1[Sector]="Rural+Urban"),0)),
    INDEX(All_India_Index_Upto_April23__1___1[Prepared meals, snacks, sweets etc.],
      MATCH(1,(All_India_Index_Upto_April23__1___1[Date]=EDATE($A74,-12))*
              (All_India_Index_Upto_April23__1___1[Sector]="Rural+Urban"),0))
  ),
"")</f>
        <v>166.25000000000003</v>
      </c>
      <c r="Q74" s="8">
        <f t="shared" si="10"/>
        <v>5.3684210526315508E-2</v>
      </c>
      <c r="R74" t="str">
        <f t="shared" si="11"/>
        <v>Post-COVID</v>
      </c>
      <c r="T74" s="2" cm="1">
        <f t="array" ref="T74">IFERROR(
  INDEX(
    All_India_Index_Upto_April23__1___1[Health],
    MATCH(
      1,
      (All_India_Index_Upto_April23__1___1[Date]=$A74) *
      (All_India_Index_Upto_April23__1___1[Sector]="Rural+Urban"),
      0
    )
  ),
"")</f>
        <v>184.4</v>
      </c>
      <c r="U74" s="2" cm="1">
        <f t="array" ref="U74">IFERROR(
  INDEX(
    All_India_Index_Upto_April23__1___1[Health],
    MATCH(
      1,
      (All_India_Index_Upto_April23__1___1[Date]=EDATE($A74,-12)) *
      (All_India_Index_Upto_April23__1___1[Sector]="Rural+Urban"),
      0
    )
  ),
"")</f>
        <v>172.2</v>
      </c>
      <c r="V74" s="8">
        <f t="shared" si="12"/>
        <v>7.0847851335656312E-2</v>
      </c>
      <c r="W74" t="str">
        <f t="shared" si="13"/>
        <v>Post-COVID</v>
      </c>
      <c r="Y74" s="2" cm="1">
        <f t="array" ref="Y74">IFERROR(
  AVERAGE(
    INDEX(All_India_Index_Upto_April23__1___1[Pan, tobacco and intoxicants],
      MATCH(1,(All_India_Index_Upto_April23__1___1[Date]=$A74)*
              (All_India_Index_Upto_April23__1___1[Sector]="Rural+Urban"),0)),
    INDEX(All_India_Index_Upto_April23__1___1[Clothing],
      MATCH(1,(All_India_Index_Upto_April23__1___1[Date]=$A74)*
              (All_India_Index_Upto_April23__1___1[Sector]="Rural+Urban"),0)),
    INDEX(All_India_Index_Upto_April23__1___1[Footwear],
      MATCH(1,(All_India_Index_Upto_April23__1___1[Date]=$A74)*
              (All_India_Index_Upto_April23__1___1[Sector]="Rural+Urban"),0)),
    INDEX(All_India_Index_Upto_April23__1___1[Clothing and footwear],
      MATCH(1,(All_India_Index_Upto_April23__1___1[Date]=$A74)*
              (All_India_Index_Upto_April23__1___1[Sector]="Rural+Urban"),0)),
    INDEX(All_India_Index_Upto_April23__1___1[Housing],
      MATCH(1,(All_India_Index_Upto_April23__1___1[Date]=$A74)*
              (All_India_Index_Upto_April23__1___1[Sector]="Rural+Urban"),0)),
    INDEX(All_India_Index_Upto_April23__1___1[Fuel and light],
      MATCH(1,(All_India_Index_Upto_April23__1___1[Date]=$A74)*
              (All_India_Index_Upto_April23__1___1[Sector]="Rural+Urban"),0)),
    INDEX(All_India_Index_Upto_April23__1___1[Household goods and services],
      MATCH(1,(All_India_Index_Upto_April23__1___1[Date]=$A74)*
              (All_India_Index_Upto_April23__1___1[Sector]="Rural+Urban"),0)),
    INDEX(All_India_Index_Upto_April23__1___1[Health],
      MATCH(1,(All_India_Index_Upto_April23__1___1[Date]=$A74)*
              (All_India_Index_Upto_April23__1___1[Sector]="Rural+Urban"),0)),
    INDEX(All_India_Index_Upto_April23__1___1[Transport and communication],
      MATCH(1,(All_India_Index_Upto_April23__1___1[Date]=$A74)*
              (All_India_Index_Upto_April23__1___1[Sector]="Rural+Urban"),0)),
    INDEX(All_India_Index_Upto_April23__1___1[Recreation and amusement],
      MATCH(1,(All_India_Index_Upto_April23__1___1[Date]=$A74)*
              (All_India_Index_Upto_April23__1___1[Sector]="Rural+Urban"),0)),
    INDEX(All_India_Index_Upto_April23__1___1[Education],
      MATCH(1,(All_India_Index_Upto_April23__1___1[Date]=$A74)*
              (All_India_Index_Upto_April23__1___1[Sector]="Rural+Urban"),0)),
    INDEX(All_India_Index_Upto_April23__1___1[Personal care and effects],
      MATCH(1,(All_India_Index_Upto_April23__1___1[Date]=$A74)*
              (All_India_Index_Upto_April23__1___1[Sector]="Rural+Urban"),0)),
    INDEX(All_India_Index_Upto_April23__1___1[Miscellaneous],
      MATCH(1,(All_India_Index_Upto_April23__1___1[Date]=$A74)*
              (All_India_Index_Upto_April23__1___1[Sector]="Rural+Urban"),0))
  ),
"")</f>
        <v>179.56666666666669</v>
      </c>
      <c r="Z74" s="2" cm="1">
        <f t="array" ref="Z74">IFERROR(
  AVERAGE(
    INDEX(All_India_Index_Upto_April23__1___1[Pan, tobacco and intoxicants],
      MATCH(1,(All_India_Index_Upto_April23__1___1[Date]=EDATE($A74,-12))*
              (All_India_Index_Upto_April23__1___1[Sector]="Rural+Urban"),0)),
    INDEX(All_India_Index_Upto_April23__1___1[Clothing],
      MATCH(1,(All_India_Index_Upto_April23__1___1[Date]=EDATE($A74,-12))*
              (All_India_Index_Upto_April23__1___1[Sector]="Rural+Urban"),0)),
    INDEX(All_India_Index_Upto_April23__1___1[Footwear],
      MATCH(1,(All_India_Index_Upto_April23__1___1[Date]=EDATE($A74,-12))*
              (All_India_Index_Upto_April23__1___1[Sector]="Rural+Urban"),0)),
    INDEX(All_India_Index_Upto_April23__1___1[Clothing and footwear],
      MATCH(1,(All_India_Index_Upto_April23__1___1[Date]=EDATE($A74,-12))*
              (All_India_Index_Upto_April23__1___1[Sector]="Rural+Urban"),0)),
    INDEX(All_India_Index_Upto_April23__1___1[Housing],
      MATCH(1,(All_India_Index_Upto_April23__1___1[Date]=EDATE($A74,-12))*
              (All_India_Index_Upto_April23__1___1[Sector]="Rural+Urban"),0)),
    INDEX(All_India_Index_Upto_April23__1___1[Fuel and light],
      MATCH(1,(All_India_Index_Upto_April23__1___1[Date]=EDATE($A74,-12))*
              (All_India_Index_Upto_April23__1___1[Sector]="Rural+Urban"),0)),
    INDEX(All_India_Index_Upto_April23__1___1[Household goods and services],
      MATCH(1,(All_India_Index_Upto_April23__1___1[Date]=EDATE($A74,-12))*
              (All_India_Index_Upto_April23__1___1[Sector]="Rural+Urban"),0)),
    INDEX(All_India_Index_Upto_April23__1___1[Health],
      MATCH(1,(All_India_Index_Upto_April23__1___1[Date]=EDATE($A74,-12))*
              (All_India_Index_Upto_April23__1___1[Sector]="Rural+Urban"),0)),
    INDEX(All_India_Index_Upto_April23__1___1[Transport and communication],
      MATCH(1,(All_India_Index_Upto_April23__1___1[Date]=EDATE($A74,-12))*
              (All_India_Index_Upto_April23__1___1[Sector]="Rural+Urban"),0)),
    INDEX(All_India_Index_Upto_April23__1___1[Recreation and amusement],
      MATCH(1,(All_India_Index_Upto_April23__1___1[Date]=EDATE($A74,-12))*
              (All_India_Index_Upto_April23__1___1[Sector]="Rural+Urban"),0)),
    INDEX(All_India_Index_Upto_April23__1___1[Education],
      MATCH(1,(All_India_Index_Upto_April23__1___1[Date]=EDATE($A74,-12))*
              (All_India_Index_Upto_April23__1___1[Sector]="Rural+Urban"),0)),
    INDEX(All_India_Index_Upto_April23__1___1[Personal care and effects],
      MATCH(1,(All_India_Index_Upto_April23__1___1[Date]=EDATE($A74,-12))*
              (All_India_Index_Upto_April23__1___1[Sector]="Rural+Urban"),0)),
    INDEX(All_India_Index_Upto_April23__1___1[Miscellaneous],
      MATCH(1,(All_India_Index_Upto_April23__1___1[Date]=EDATE($A74,-12))*
              (All_India_Index_Upto_April23__1___1[Sector]="Rural+Urban"),0))
  ),
"")</f>
        <v>167.3</v>
      </c>
      <c r="AA74" s="8">
        <f t="shared" si="14"/>
        <v>7.3321378760709377E-2</v>
      </c>
      <c r="AB74" t="str">
        <f t="shared" si="15"/>
        <v>Post-COVID</v>
      </c>
    </row>
    <row r="75" spans="1:28" x14ac:dyDescent="0.2">
      <c r="A75" s="22">
        <v>44986</v>
      </c>
      <c r="B75">
        <v>2023</v>
      </c>
      <c r="C75" t="s">
        <v>37</v>
      </c>
      <c r="D75" s="2" cm="1">
        <f t="array" ref="D75">IFERROR(
  INDEX(
    All_India_Index_Upto_April23__1___1[General index],
    MATCH(
      1,
      (All_India_Index_Upto_April23__1___1[Sector]="Rural+Urban") *
      (All_India_Index_Upto_April23__1___1[Date]=A75),
      0
    )
  ),
"")</f>
        <v>177.2</v>
      </c>
      <c r="E75" s="2" cm="1">
        <f t="array" ref="E75">IFERROR(
  INDEX(
    All_India_Index_Upto_April23__1___1[General index],
    MATCH(
      1,
      (All_India_Index_Upto_April23__1___1[Sector]="Rural+Urban") *
      (All_India_Index_Upto_April23__1___1[Date]=EDATE(A75,-12)),
      0
    )
  ),
"")</f>
        <v>167.7</v>
      </c>
      <c r="F75" s="8">
        <f t="shared" si="8"/>
        <v>5.6648777579010101E-2</v>
      </c>
      <c r="G75" t="str">
        <f t="shared" si="9"/>
        <v>Post-COVID</v>
      </c>
      <c r="O75" s="2" cm="1">
        <f t="array" ref="O75">IFERROR(
  AVERAGE(
    INDEX(All_India_Index_Upto_April23__1___1[Cereals and products],
      MATCH(1,(All_India_Index_Upto_April23__1___1[Date]=$A75)*
              (All_India_Index_Upto_April23__1___1[Sector]="Rural+Urban"),0)),
    INDEX(All_India_Index_Upto_April23__1___1[Meat and fish],
      MATCH(1,(All_India_Index_Upto_April23__1___1[Date]=$A75)*
              (All_India_Index_Upto_April23__1___1[Sector]="Rural+Urban"),0)),
    INDEX(All_India_Index_Upto_April23__1___1[Egg],
      MATCH(1,(All_India_Index_Upto_April23__1___1[Date]=$A75)*
              (All_India_Index_Upto_April23__1___1[Sector]="Rural+Urban"),0)),
    INDEX(All_India_Index_Upto_April23__1___1[Milk and products],
      MATCH(1,(All_India_Index_Upto_April23__1___1[Date]=$A75)*
              (All_India_Index_Upto_April23__1___1[Sector]="Rural+Urban"),0)),
    INDEX(All_India_Index_Upto_April23__1___1[Oils and fats],
      MATCH(1,(All_India_Index_Upto_April23__1___1[Date]=$A75)*
              (All_India_Index_Upto_April23__1___1[Sector]="Rural+Urban"),0)),
    INDEX(All_India_Index_Upto_April23__1___1[Fruits],
      MATCH(1,(All_India_Index_Upto_April23__1___1[Date]=$A75)*
              (All_India_Index_Upto_April23__1___1[Sector]="Rural+Urban"),0)),
    INDEX(All_India_Index_Upto_April23__1___1[Vegetables],
      MATCH(1,(All_India_Index_Upto_April23__1___1[Date]=$A75)*
              (All_India_Index_Upto_April23__1___1[Sector]="Rural+Urban"),0)),
    INDEX(All_India_Index_Upto_April23__1___1[Pulses and products],
      MATCH(1,(All_India_Index_Upto_April23__1___1[Date]=$A75)*
              (All_India_Index_Upto_April23__1___1[Sector]="Rural+Urban"),0)),
    INDEX(All_India_Index_Upto_April23__1___1[Sugar and Confectionery],
      MATCH(1,(All_India_Index_Upto_April23__1___1[Date]=$A75)*
              (All_India_Index_Upto_April23__1___1[Sector]="Rural+Urban"),0)),
    INDEX(All_India_Index_Upto_April23__1___1[Spices],
      MATCH(1,(All_India_Index_Upto_April23__1___1[Date]=$A75)*
              (All_India_Index_Upto_April23__1___1[Sector]="Rural+Urban"),0)),
    INDEX(All_India_Index_Upto_April23__1___1[Non-alcoholic beverages],
      MATCH(1,(All_India_Index_Upto_April23__1___1[Date]=$A75)*
              (All_India_Index_Upto_April23__1___1[Sector]="Rural+Urban"),0)),
    INDEX(All_India_Index_Upto_April23__1___1[Prepared meals, snacks, sweets etc.],
      MATCH(1,(All_India_Index_Upto_April23__1___1[Date]=$A75)*
              (All_India_Index_Upto_April23__1___1[Sector]="Rural+Urban"),0))
  ),
"")</f>
        <v>175.18333333333331</v>
      </c>
      <c r="P75" s="2" cm="1">
        <f t="array" ref="P75">IFERROR(
  AVERAGE(
    INDEX(All_India_Index_Upto_April23__1___1[Cereals and products],
      MATCH(1,(All_India_Index_Upto_April23__1___1[Date]=EDATE($A75,-12))*
              (All_India_Index_Upto_April23__1___1[Sector]="Rural+Urban"),0)),
    INDEX(All_India_Index_Upto_April23__1___1[Meat and fish],
      MATCH(1,(All_India_Index_Upto_April23__1___1[Date]=EDATE($A75,-12))*
              (All_India_Index_Upto_April23__1___1[Sector]="Rural+Urban"),0)),
    INDEX(All_India_Index_Upto_April23__1___1[Egg],
      MATCH(1,(All_India_Index_Upto_April23__1___1[Date]=EDATE($A75,-12))*
              (All_India_Index_Upto_April23__1___1[Sector]="Rural+Urban"),0)),
    INDEX(All_India_Index_Upto_April23__1___1[Milk and products],
      MATCH(1,(All_India_Index_Upto_April23__1___1[Date]=EDATE($A75,-12))*
              (All_India_Index_Upto_April23__1___1[Sector]="Rural+Urban"),0)),
    INDEX(All_India_Index_Upto_April23__1___1[Oils and fats],
      MATCH(1,(All_India_Index_Upto_April23__1___1[Date]=EDATE($A75,-12))*
              (All_India_Index_Upto_April23__1___1[Sector]="Rural+Urban"),0)),
    INDEX(All_India_Index_Upto_April23__1___1[Fruits],
      MATCH(1,(All_India_Index_Upto_April23__1___1[Date]=EDATE($A75,-12))*
              (All_India_Index_Upto_April23__1___1[Sector]="Rural+Urban"),0)),
    INDEX(All_India_Index_Upto_April23__1___1[Vegetables],
      MATCH(1,(All_India_Index_Upto_April23__1___1[Date]=EDATE($A75,-12))*
              (All_India_Index_Upto_April23__1___1[Sector]="Rural+Urban"),0)),
    INDEX(All_India_Index_Upto_April23__1___1[Pulses and products],
      MATCH(1,(All_India_Index_Upto_April23__1___1[Date]=EDATE($A75,-12))*
              (All_India_Index_Upto_April23__1___1[Sector]="Rural+Urban"),0)),
    INDEX(All_India_Index_Upto_April23__1___1[Sugar and Confectionery],
      MATCH(1,(All_India_Index_Upto_April23__1___1[Date]=EDATE($A75,-12))*
              (All_India_Index_Upto_April23__1___1[Sector]="Rural+Urban"),0)),
    INDEX(All_India_Index_Upto_April23__1___1[Spices],
      MATCH(1,(All_India_Index_Upto_April23__1___1[Date]=EDATE($A75,-12))*
              (All_India_Index_Upto_April23__1___1[Sector]="Rural+Urban"),0)),
    INDEX(All_India_Index_Upto_April23__1___1[Non-alcoholic beverages],
      MATCH(1,(All_India_Index_Upto_April23__1___1[Date]=EDATE($A75,-12))*
              (All_India_Index_Upto_April23__1___1[Sector]="Rural+Urban"),0)),
    INDEX(All_India_Index_Upto_April23__1___1[Prepared meals, snacks, sweets etc.],
      MATCH(1,(All_India_Index_Upto_April23__1___1[Date]=EDATE($A75,-12))*
              (All_India_Index_Upto_April23__1___1[Sector]="Rural+Urban"),0))
  ),
"")</f>
        <v>167.98333333333335</v>
      </c>
      <c r="Q75" s="8">
        <f t="shared" si="10"/>
        <v>4.286139497966044E-2</v>
      </c>
      <c r="R75" t="str">
        <f t="shared" si="11"/>
        <v>Post-COVID</v>
      </c>
      <c r="T75" s="2" cm="1">
        <f t="array" ref="T75">IFERROR(
  INDEX(
    All_India_Index_Upto_April23__1___1[Health],
    MATCH(
      1,
      (All_India_Index_Upto_April23__1___1[Date]=$A75) *
      (All_India_Index_Upto_April23__1___1[Sector]="Rural+Urban"),
      0
    )
  ),
"")</f>
        <v>184.4</v>
      </c>
      <c r="U75" s="2" cm="1">
        <f t="array" ref="U75">IFERROR(
  INDEX(
    All_India_Index_Upto_April23__1___1[Health],
    MATCH(
      1,
      (All_India_Index_Upto_April23__1___1[Date]=EDATE($A75,-12)) *
      (All_India_Index_Upto_April23__1___1[Sector]="Rural+Urban"),
      0
    )
  ),
"")</f>
        <v>173</v>
      </c>
      <c r="V75" s="8">
        <f t="shared" si="12"/>
        <v>6.589595375722547E-2</v>
      </c>
      <c r="W75" t="str">
        <f t="shared" si="13"/>
        <v>Post-COVID</v>
      </c>
      <c r="Y75" s="2" cm="1">
        <f t="array" ref="Y75">IFERROR(
  AVERAGE(
    INDEX(All_India_Index_Upto_April23__1___1[Pan, tobacco and intoxicants],
      MATCH(1,(All_India_Index_Upto_April23__1___1[Date]=$A75)*
              (All_India_Index_Upto_April23__1___1[Sector]="Rural+Urban"),0)),
    INDEX(All_India_Index_Upto_April23__1___1[Clothing],
      MATCH(1,(All_India_Index_Upto_April23__1___1[Date]=$A75)*
              (All_India_Index_Upto_April23__1___1[Sector]="Rural+Urban"),0)),
    INDEX(All_India_Index_Upto_April23__1___1[Footwear],
      MATCH(1,(All_India_Index_Upto_April23__1___1[Date]=$A75)*
              (All_India_Index_Upto_April23__1___1[Sector]="Rural+Urban"),0)),
    INDEX(All_India_Index_Upto_April23__1___1[Clothing and footwear],
      MATCH(1,(All_India_Index_Upto_April23__1___1[Date]=$A75)*
              (All_India_Index_Upto_April23__1___1[Sector]="Rural+Urban"),0)),
    INDEX(All_India_Index_Upto_April23__1___1[Housing],
      MATCH(1,(All_India_Index_Upto_April23__1___1[Date]=$A75)*
              (All_India_Index_Upto_April23__1___1[Sector]="Rural+Urban"),0)),
    INDEX(All_India_Index_Upto_April23__1___1[Fuel and light],
      MATCH(1,(All_India_Index_Upto_April23__1___1[Date]=$A75)*
              (All_India_Index_Upto_April23__1___1[Sector]="Rural+Urban"),0)),
    INDEX(All_India_Index_Upto_April23__1___1[Household goods and services],
      MATCH(1,(All_India_Index_Upto_April23__1___1[Date]=$A75)*
              (All_India_Index_Upto_April23__1___1[Sector]="Rural+Urban"),0)),
    INDEX(All_India_Index_Upto_April23__1___1[Health],
      MATCH(1,(All_India_Index_Upto_April23__1___1[Date]=$A75)*
              (All_India_Index_Upto_April23__1___1[Sector]="Rural+Urban"),0)),
    INDEX(All_India_Index_Upto_April23__1___1[Transport and communication],
      MATCH(1,(All_India_Index_Upto_April23__1___1[Date]=$A75)*
              (All_India_Index_Upto_April23__1___1[Sector]="Rural+Urban"),0)),
    INDEX(All_India_Index_Upto_April23__1___1[Recreation and amusement],
      MATCH(1,(All_India_Index_Upto_April23__1___1[Date]=$A75)*
              (All_India_Index_Upto_April23__1___1[Sector]="Rural+Urban"),0)),
    INDEX(All_India_Index_Upto_April23__1___1[Education],
      MATCH(1,(All_India_Index_Upto_April23__1___1[Date]=$A75)*
              (All_India_Index_Upto_April23__1___1[Sector]="Rural+Urban"),0)),
    INDEX(All_India_Index_Upto_April23__1___1[Personal care and effects],
      MATCH(1,(All_India_Index_Upto_April23__1___1[Date]=$A75)*
              (All_India_Index_Upto_April23__1___1[Sector]="Rural+Urban"),0)),
    INDEX(All_India_Index_Upto_April23__1___1[Miscellaneous],
      MATCH(1,(All_India_Index_Upto_April23__1___1[Date]=$A75)*
              (All_India_Index_Upto_April23__1___1[Sector]="Rural+Urban"),0))
  ),
"")</f>
        <v>179.54166666666666</v>
      </c>
      <c r="Z75" s="2" cm="1">
        <f t="array" ref="Z75">IFERROR(
  AVERAGE(
    INDEX(All_India_Index_Upto_April23__1___1[Pan, tobacco and intoxicants],
      MATCH(1,(All_India_Index_Upto_April23__1___1[Date]=EDATE($A75,-12))*
              (All_India_Index_Upto_April23__1___1[Sector]="Rural+Urban"),0)),
    INDEX(All_India_Index_Upto_April23__1___1[Clothing],
      MATCH(1,(All_India_Index_Upto_April23__1___1[Date]=EDATE($A75,-12))*
              (All_India_Index_Upto_April23__1___1[Sector]="Rural+Urban"),0)),
    INDEX(All_India_Index_Upto_April23__1___1[Footwear],
      MATCH(1,(All_India_Index_Upto_April23__1___1[Date]=EDATE($A75,-12))*
              (All_India_Index_Upto_April23__1___1[Sector]="Rural+Urban"),0)),
    INDEX(All_India_Index_Upto_April23__1___1[Clothing and footwear],
      MATCH(1,(All_India_Index_Upto_April23__1___1[Date]=EDATE($A75,-12))*
              (All_India_Index_Upto_April23__1___1[Sector]="Rural+Urban"),0)),
    INDEX(All_India_Index_Upto_April23__1___1[Housing],
      MATCH(1,(All_India_Index_Upto_April23__1___1[Date]=EDATE($A75,-12))*
              (All_India_Index_Upto_April23__1___1[Sector]="Rural+Urban"),0)),
    INDEX(All_India_Index_Upto_April23__1___1[Fuel and light],
      MATCH(1,(All_India_Index_Upto_April23__1___1[Date]=EDATE($A75,-12))*
              (All_India_Index_Upto_April23__1___1[Sector]="Rural+Urban"),0)),
    INDEX(All_India_Index_Upto_April23__1___1[Household goods and services],
      MATCH(1,(All_India_Index_Upto_April23__1___1[Date]=EDATE($A75,-12))*
              (All_India_Index_Upto_April23__1___1[Sector]="Rural+Urban"),0)),
    INDEX(All_India_Index_Upto_April23__1___1[Health],
      MATCH(1,(All_India_Index_Upto_April23__1___1[Date]=EDATE($A75,-12))*
              (All_India_Index_Upto_April23__1___1[Sector]="Rural+Urban"),0)),
    INDEX(All_India_Index_Upto_April23__1___1[Transport and communication],
      MATCH(1,(All_India_Index_Upto_April23__1___1[Date]=EDATE($A75,-12))*
              (All_India_Index_Upto_April23__1___1[Sector]="Rural+Urban"),0)),
    INDEX(All_India_Index_Upto_April23__1___1[Recreation and amusement],
      MATCH(1,(All_India_Index_Upto_April23__1___1[Date]=EDATE($A75,-12))*
              (All_India_Index_Upto_April23__1___1[Sector]="Rural+Urban"),0)),
    INDEX(All_India_Index_Upto_April23__1___1[Education],
      MATCH(1,(All_India_Index_Upto_April23__1___1[Date]=EDATE($A75,-12))*
              (All_India_Index_Upto_April23__1___1[Sector]="Rural+Urban"),0)),
    INDEX(All_India_Index_Upto_April23__1___1[Personal care and effects],
      MATCH(1,(All_India_Index_Upto_April23__1___1[Date]=EDATE($A75,-12))*
              (All_India_Index_Upto_April23__1___1[Sector]="Rural+Urban"),0)),
    INDEX(All_India_Index_Upto_April23__1___1[Miscellaneous],
      MATCH(1,(All_India_Index_Upto_April23__1___1[Date]=EDATE($A75,-12))*
              (All_India_Index_Upto_April23__1___1[Sector]="Rural+Urban"),0))
  ),
"")</f>
        <v>168.625</v>
      </c>
      <c r="AA75" s="8">
        <f t="shared" si="14"/>
        <v>6.473931307141087E-2</v>
      </c>
      <c r="AB75" t="str">
        <f t="shared" si="15"/>
        <v>Post-COVID</v>
      </c>
    </row>
    <row r="76" spans="1:28" x14ac:dyDescent="0.2">
      <c r="A76" s="22">
        <v>45017</v>
      </c>
      <c r="B76">
        <v>2023</v>
      </c>
      <c r="C76" t="s">
        <v>38</v>
      </c>
      <c r="D76" s="2" cm="1">
        <f t="array" ref="D76">IFERROR(
  INDEX(
    All_India_Index_Upto_April23__1___1[General index],
    MATCH(
      1,
      (All_India_Index_Upto_April23__1___1[Sector]="Rural+Urban") *
      (All_India_Index_Upto_April23__1___1[Date]=A76),
      0
    )
  ),
"")</f>
        <v>178.1</v>
      </c>
      <c r="E76" s="2" cm="1">
        <f t="array" ref="E76">IFERROR(
  INDEX(
    All_India_Index_Upto_April23__1___1[General index],
    MATCH(
      1,
      (All_India_Index_Upto_April23__1___1[Sector]="Rural+Urban") *
      (All_India_Index_Upto_April23__1___1[Date]=EDATE(A76,-12)),
      0
    )
  ),
"")</f>
        <v>170.1</v>
      </c>
      <c r="F76" s="8">
        <f t="shared" si="8"/>
        <v>4.7031158142269325E-2</v>
      </c>
      <c r="G76" t="str">
        <f t="shared" si="9"/>
        <v>Post-COVID</v>
      </c>
      <c r="O76" s="2" cm="1">
        <f t="array" ref="O76">IFERROR(
  AVERAGE(
    INDEX(All_India_Index_Upto_April23__1___1[Cereals and products],
      MATCH(1,(All_India_Index_Upto_April23__1___1[Date]=$A76)*
              (All_India_Index_Upto_April23__1___1[Sector]="Rural+Urban"),0)),
    INDEX(All_India_Index_Upto_April23__1___1[Meat and fish],
      MATCH(1,(All_India_Index_Upto_April23__1___1[Date]=$A76)*
              (All_India_Index_Upto_April23__1___1[Sector]="Rural+Urban"),0)),
    INDEX(All_India_Index_Upto_April23__1___1[Egg],
      MATCH(1,(All_India_Index_Upto_April23__1___1[Date]=$A76)*
              (All_India_Index_Upto_April23__1___1[Sector]="Rural+Urban"),0)),
    INDEX(All_India_Index_Upto_April23__1___1[Milk and products],
      MATCH(1,(All_India_Index_Upto_April23__1___1[Date]=$A76)*
              (All_India_Index_Upto_April23__1___1[Sector]="Rural+Urban"),0)),
    INDEX(All_India_Index_Upto_April23__1___1[Oils and fats],
      MATCH(1,(All_India_Index_Upto_April23__1___1[Date]=$A76)*
              (All_India_Index_Upto_April23__1___1[Sector]="Rural+Urban"),0)),
    INDEX(All_India_Index_Upto_April23__1___1[Fruits],
      MATCH(1,(All_India_Index_Upto_April23__1___1[Date]=$A76)*
              (All_India_Index_Upto_April23__1___1[Sector]="Rural+Urban"),0)),
    INDEX(All_India_Index_Upto_April23__1___1[Vegetables],
      MATCH(1,(All_India_Index_Upto_April23__1___1[Date]=$A76)*
              (All_India_Index_Upto_April23__1___1[Sector]="Rural+Urban"),0)),
    INDEX(All_India_Index_Upto_April23__1___1[Pulses and products],
      MATCH(1,(All_India_Index_Upto_April23__1___1[Date]=$A76)*
              (All_India_Index_Upto_April23__1___1[Sector]="Rural+Urban"),0)),
    INDEX(All_India_Index_Upto_April23__1___1[Sugar and Confectionery],
      MATCH(1,(All_India_Index_Upto_April23__1___1[Date]=$A76)*
              (All_India_Index_Upto_April23__1___1[Sector]="Rural+Urban"),0)),
    INDEX(All_India_Index_Upto_April23__1___1[Spices],
      MATCH(1,(All_India_Index_Upto_April23__1___1[Date]=$A76)*
              (All_India_Index_Upto_April23__1___1[Sector]="Rural+Urban"),0)),
    INDEX(All_India_Index_Upto_April23__1___1[Non-alcoholic beverages],
      MATCH(1,(All_India_Index_Upto_April23__1___1[Date]=$A76)*
              (All_India_Index_Upto_April23__1___1[Sector]="Rural+Urban"),0)),
    INDEX(All_India_Index_Upto_April23__1___1[Prepared meals, snacks, sweets etc.],
      MATCH(1,(All_India_Index_Upto_April23__1___1[Date]=$A76)*
              (All_India_Index_Upto_April23__1___1[Sector]="Rural+Urban"),0))
  ),
"")</f>
        <v>175.97500000000002</v>
      </c>
      <c r="P76" s="2" cm="1">
        <f t="array" ref="P76">IFERROR(
  AVERAGE(
    INDEX(All_India_Index_Upto_April23__1___1[Cereals and products],
      MATCH(1,(All_India_Index_Upto_April23__1___1[Date]=EDATE($A76,-12))*
              (All_India_Index_Upto_April23__1___1[Sector]="Rural+Urban"),0)),
    INDEX(All_India_Index_Upto_April23__1___1[Meat and fish],
      MATCH(1,(All_India_Index_Upto_April23__1___1[Date]=EDATE($A76,-12))*
              (All_India_Index_Upto_April23__1___1[Sector]="Rural+Urban"),0)),
    INDEX(All_India_Index_Upto_April23__1___1[Egg],
      MATCH(1,(All_India_Index_Upto_April23__1___1[Date]=EDATE($A76,-12))*
              (All_India_Index_Upto_April23__1___1[Sector]="Rural+Urban"),0)),
    INDEX(All_India_Index_Upto_April23__1___1[Milk and products],
      MATCH(1,(All_India_Index_Upto_April23__1___1[Date]=EDATE($A76,-12))*
              (All_India_Index_Upto_April23__1___1[Sector]="Rural+Urban"),0)),
    INDEX(All_India_Index_Upto_April23__1___1[Oils and fats],
      MATCH(1,(All_India_Index_Upto_April23__1___1[Date]=EDATE($A76,-12))*
              (All_India_Index_Upto_April23__1___1[Sector]="Rural+Urban"),0)),
    INDEX(All_India_Index_Upto_April23__1___1[Fruits],
      MATCH(1,(All_India_Index_Upto_April23__1___1[Date]=EDATE($A76,-12))*
              (All_India_Index_Upto_April23__1___1[Sector]="Rural+Urban"),0)),
    INDEX(All_India_Index_Upto_April23__1___1[Vegetables],
      MATCH(1,(All_India_Index_Upto_April23__1___1[Date]=EDATE($A76,-12))*
              (All_India_Index_Upto_April23__1___1[Sector]="Rural+Urban"),0)),
    INDEX(All_India_Index_Upto_April23__1___1[Pulses and products],
      MATCH(1,(All_India_Index_Upto_April23__1___1[Date]=EDATE($A76,-12))*
              (All_India_Index_Upto_April23__1___1[Sector]="Rural+Urban"),0)),
    INDEX(All_India_Index_Upto_April23__1___1[Sugar and Confectionery],
      MATCH(1,(All_India_Index_Upto_April23__1___1[Date]=EDATE($A76,-12))*
              (All_India_Index_Upto_April23__1___1[Sector]="Rural+Urban"),0)),
    INDEX(All_India_Index_Upto_April23__1___1[Spices],
      MATCH(1,(All_India_Index_Upto_April23__1___1[Date]=EDATE($A76,-12))*
              (All_India_Index_Upto_April23__1___1[Sector]="Rural+Urban"),0)),
    INDEX(All_India_Index_Upto_April23__1___1[Non-alcoholic beverages],
      MATCH(1,(All_India_Index_Upto_April23__1___1[Date]=EDATE($A76,-12))*
              (All_India_Index_Upto_April23__1___1[Sector]="Rural+Urban"),0)),
    INDEX(All_India_Index_Upto_April23__1___1[Prepared meals, snacks, sweets etc.],
      MATCH(1,(All_India_Index_Upto_April23__1___1[Date]=EDATE($A76,-12))*
              (All_India_Index_Upto_April23__1___1[Sector]="Rural+Urban"),0))
  ),
"")</f>
        <v>170.29166666666669</v>
      </c>
      <c r="Q76" s="8">
        <f t="shared" si="10"/>
        <v>3.3374113041350642E-2</v>
      </c>
      <c r="R76" t="str">
        <f t="shared" si="11"/>
        <v>Post-COVID</v>
      </c>
      <c r="T76" s="2" cm="1">
        <f t="array" ref="T76">IFERROR(
  INDEX(
    All_India_Index_Upto_April23__1___1[Health],
    MATCH(
      1,
      (All_India_Index_Upto_April23__1___1[Date]=$A76) *
      (All_India_Index_Upto_April23__1___1[Sector]="Rural+Urban"),
      0
    )
  ),
"")</f>
        <v>185</v>
      </c>
      <c r="U76" s="2" cm="1">
        <f t="array" ref="U76">IFERROR(
  INDEX(
    All_India_Index_Upto_April23__1___1[Health],
    MATCH(
      1,
      (All_India_Index_Upto_April23__1___1[Date]=EDATE($A76,-12)) *
      (All_India_Index_Upto_April23__1___1[Sector]="Rural+Urban"),
      0
    )
  ),
"")</f>
        <v>174</v>
      </c>
      <c r="V76" s="8">
        <f t="shared" si="12"/>
        <v>6.3218390804597707E-2</v>
      </c>
      <c r="W76" t="str">
        <f t="shared" si="13"/>
        <v>Post-COVID</v>
      </c>
      <c r="Y76" s="2" cm="1">
        <f t="array" ref="Y76">IFERROR(
  AVERAGE(
    INDEX(All_India_Index_Upto_April23__1___1[Pan, tobacco and intoxicants],
      MATCH(1,(All_India_Index_Upto_April23__1___1[Date]=$A76)*
              (All_India_Index_Upto_April23__1___1[Sector]="Rural+Urban"),0)),
    INDEX(All_India_Index_Upto_April23__1___1[Clothing],
      MATCH(1,(All_India_Index_Upto_April23__1___1[Date]=$A76)*
              (All_India_Index_Upto_April23__1___1[Sector]="Rural+Urban"),0)),
    INDEX(All_India_Index_Upto_April23__1___1[Footwear],
      MATCH(1,(All_India_Index_Upto_April23__1___1[Date]=$A76)*
              (All_India_Index_Upto_April23__1___1[Sector]="Rural+Urban"),0)),
    INDEX(All_India_Index_Upto_April23__1___1[Clothing and footwear],
      MATCH(1,(All_India_Index_Upto_April23__1___1[Date]=$A76)*
              (All_India_Index_Upto_April23__1___1[Sector]="Rural+Urban"),0)),
    INDEX(All_India_Index_Upto_April23__1___1[Housing],
      MATCH(1,(All_India_Index_Upto_April23__1___1[Date]=$A76)*
              (All_India_Index_Upto_April23__1___1[Sector]="Rural+Urban"),0)),
    INDEX(All_India_Index_Upto_April23__1___1[Fuel and light],
      MATCH(1,(All_India_Index_Upto_April23__1___1[Date]=$A76)*
              (All_India_Index_Upto_April23__1___1[Sector]="Rural+Urban"),0)),
    INDEX(All_India_Index_Upto_April23__1___1[Household goods and services],
      MATCH(1,(All_India_Index_Upto_April23__1___1[Date]=$A76)*
              (All_India_Index_Upto_April23__1___1[Sector]="Rural+Urban"),0)),
    INDEX(All_India_Index_Upto_April23__1___1[Health],
      MATCH(1,(All_India_Index_Upto_April23__1___1[Date]=$A76)*
              (All_India_Index_Upto_April23__1___1[Sector]="Rural+Urban"),0)),
    INDEX(All_India_Index_Upto_April23__1___1[Transport and communication],
      MATCH(1,(All_India_Index_Upto_April23__1___1[Date]=$A76)*
              (All_India_Index_Upto_April23__1___1[Sector]="Rural+Urban"),0)),
    INDEX(All_India_Index_Upto_April23__1___1[Recreation and amusement],
      MATCH(1,(All_India_Index_Upto_April23__1___1[Date]=$A76)*
              (All_India_Index_Upto_April23__1___1[Sector]="Rural+Urban"),0)),
    INDEX(All_India_Index_Upto_April23__1___1[Education],
      MATCH(1,(All_India_Index_Upto_April23__1___1[Date]=$A76)*
              (All_India_Index_Upto_April23__1___1[Sector]="Rural+Urban"),0)),
    INDEX(All_India_Index_Upto_April23__1___1[Personal care and effects],
      MATCH(1,(All_India_Index_Upto_April23__1___1[Date]=$A76)*
              (All_India_Index_Upto_April23__1___1[Sector]="Rural+Urban"),0)),
    INDEX(All_India_Index_Upto_April23__1___1[Miscellaneous],
      MATCH(1,(All_India_Index_Upto_April23__1___1[Date]=$A76)*
              (All_India_Index_Upto_April23__1___1[Sector]="Rural+Urban"),0))
  ),
"")</f>
        <v>180.35833333333335</v>
      </c>
      <c r="Z76" s="2" cm="1">
        <f t="array" ref="Z76">IFERROR(
  AVERAGE(
    INDEX(All_India_Index_Upto_April23__1___1[Pan, tobacco and intoxicants],
      MATCH(1,(All_India_Index_Upto_April23__1___1[Date]=EDATE($A76,-12))*
              (All_India_Index_Upto_April23__1___1[Sector]="Rural+Urban"),0)),
    INDEX(All_India_Index_Upto_April23__1___1[Clothing],
      MATCH(1,(All_India_Index_Upto_April23__1___1[Date]=EDATE($A76,-12))*
              (All_India_Index_Upto_April23__1___1[Sector]="Rural+Urban"),0)),
    INDEX(All_India_Index_Upto_April23__1___1[Footwear],
      MATCH(1,(All_India_Index_Upto_April23__1___1[Date]=EDATE($A76,-12))*
              (All_India_Index_Upto_April23__1___1[Sector]="Rural+Urban"),0)),
    INDEX(All_India_Index_Upto_April23__1___1[Clothing and footwear],
      MATCH(1,(All_India_Index_Upto_April23__1___1[Date]=EDATE($A76,-12))*
              (All_India_Index_Upto_April23__1___1[Sector]="Rural+Urban"),0)),
    INDEX(All_India_Index_Upto_April23__1___1[Housing],
      MATCH(1,(All_India_Index_Upto_April23__1___1[Date]=EDATE($A76,-12))*
              (All_India_Index_Upto_April23__1___1[Sector]="Rural+Urban"),0)),
    INDEX(All_India_Index_Upto_April23__1___1[Fuel and light],
      MATCH(1,(All_India_Index_Upto_April23__1___1[Date]=EDATE($A76,-12))*
              (All_India_Index_Upto_April23__1___1[Sector]="Rural+Urban"),0)),
    INDEX(All_India_Index_Upto_April23__1___1[Household goods and services],
      MATCH(1,(All_India_Index_Upto_April23__1___1[Date]=EDATE($A76,-12))*
              (All_India_Index_Upto_April23__1___1[Sector]="Rural+Urban"),0)),
    INDEX(All_India_Index_Upto_April23__1___1[Health],
      MATCH(1,(All_India_Index_Upto_April23__1___1[Date]=EDATE($A76,-12))*
              (All_India_Index_Upto_April23__1___1[Sector]="Rural+Urban"),0)),
    INDEX(All_India_Index_Upto_April23__1___1[Transport and communication],
      MATCH(1,(All_India_Index_Upto_April23__1___1[Date]=EDATE($A76,-12))*
              (All_India_Index_Upto_April23__1___1[Sector]="Rural+Urban"),0)),
    INDEX(All_India_Index_Upto_April23__1___1[Recreation and amusement],
      MATCH(1,(All_India_Index_Upto_April23__1___1[Date]=EDATE($A76,-12))*
              (All_India_Index_Upto_April23__1___1[Sector]="Rural+Urban"),0)),
    INDEX(All_India_Index_Upto_April23__1___1[Education],
      MATCH(1,(All_India_Index_Upto_April23__1___1[Date]=EDATE($A76,-12))*
              (All_India_Index_Upto_April23__1___1[Sector]="Rural+Urban"),0)),
    INDEX(All_India_Index_Upto_April23__1___1[Personal care and effects],
      MATCH(1,(All_India_Index_Upto_April23__1___1[Date]=EDATE($A76,-12))*
              (All_India_Index_Upto_April23__1___1[Sector]="Rural+Urban"),0)),
    INDEX(All_India_Index_Upto_April23__1___1[Miscellaneous],
      MATCH(1,(All_India_Index_Upto_April23__1___1[Date]=EDATE($A76,-12))*
              (All_India_Index_Upto_April23__1___1[Sector]="Rural+Urban"),0))
  ),
"")</f>
        <v>170.56666666666666</v>
      </c>
      <c r="AA76" s="8">
        <f t="shared" si="14"/>
        <v>5.7406683603674138E-2</v>
      </c>
      <c r="AB76" t="str">
        <f t="shared" si="15"/>
        <v>Post-COVID</v>
      </c>
    </row>
    <row r="77" spans="1:28" x14ac:dyDescent="0.2">
      <c r="A77" s="22">
        <v>45047</v>
      </c>
      <c r="B77">
        <v>2023</v>
      </c>
      <c r="C77" t="s">
        <v>40</v>
      </c>
      <c r="D77" s="2" cm="1">
        <f t="array" ref="D77">IFERROR(
  INDEX(
    All_India_Index_Upto_April23__1___1[General index],
    MATCH(
      1,
      (All_India_Index_Upto_April23__1___1[Sector]="Rural+Urban") *
      (All_India_Index_Upto_April23__1___1[Date]=A77),
      0
    )
  ),
"")</f>
        <v>179.1</v>
      </c>
      <c r="E77" s="2" cm="1">
        <f t="array" ref="E77">IFERROR(
  INDEX(
    All_India_Index_Upto_April23__1___1[General index],
    MATCH(
      1,
      (All_India_Index_Upto_April23__1___1[Sector]="Rural+Urban") *
      (All_India_Index_Upto_April23__1___1[Date]=EDATE(A77,-12)),
      0
    )
  ),
"")</f>
        <v>171.7</v>
      </c>
      <c r="F77" s="8">
        <f t="shared" si="8"/>
        <v>4.3098427489807856E-2</v>
      </c>
      <c r="G77" t="str">
        <f t="shared" si="9"/>
        <v>Post-COVID</v>
      </c>
      <c r="O77" s="2" cm="1">
        <f t="array" ref="O77">IFERROR(
  AVERAGE(
    INDEX(All_India_Index_Upto_April23__1___1[Cereals and products],
      MATCH(1,(All_India_Index_Upto_April23__1___1[Date]=$A77)*
              (All_India_Index_Upto_April23__1___1[Sector]="Rural+Urban"),0)),
    INDEX(All_India_Index_Upto_April23__1___1[Meat and fish],
      MATCH(1,(All_India_Index_Upto_April23__1___1[Date]=$A77)*
              (All_India_Index_Upto_April23__1___1[Sector]="Rural+Urban"),0)),
    INDEX(All_India_Index_Upto_April23__1___1[Egg],
      MATCH(1,(All_India_Index_Upto_April23__1___1[Date]=$A77)*
              (All_India_Index_Upto_April23__1___1[Sector]="Rural+Urban"),0)),
    INDEX(All_India_Index_Upto_April23__1___1[Milk and products],
      MATCH(1,(All_India_Index_Upto_April23__1___1[Date]=$A77)*
              (All_India_Index_Upto_April23__1___1[Sector]="Rural+Urban"),0)),
    INDEX(All_India_Index_Upto_April23__1___1[Oils and fats],
      MATCH(1,(All_India_Index_Upto_April23__1___1[Date]=$A77)*
              (All_India_Index_Upto_April23__1___1[Sector]="Rural+Urban"),0)),
    INDEX(All_India_Index_Upto_April23__1___1[Fruits],
      MATCH(1,(All_India_Index_Upto_April23__1___1[Date]=$A77)*
              (All_India_Index_Upto_April23__1___1[Sector]="Rural+Urban"),0)),
    INDEX(All_India_Index_Upto_April23__1___1[Vegetables],
      MATCH(1,(All_India_Index_Upto_April23__1___1[Date]=$A77)*
              (All_India_Index_Upto_April23__1___1[Sector]="Rural+Urban"),0)),
    INDEX(All_India_Index_Upto_April23__1___1[Pulses and products],
      MATCH(1,(All_India_Index_Upto_April23__1___1[Date]=$A77)*
              (All_India_Index_Upto_April23__1___1[Sector]="Rural+Urban"),0)),
    INDEX(All_India_Index_Upto_April23__1___1[Sugar and Confectionery],
      MATCH(1,(All_India_Index_Upto_April23__1___1[Date]=$A77)*
              (All_India_Index_Upto_April23__1___1[Sector]="Rural+Urban"),0)),
    INDEX(All_India_Index_Upto_April23__1___1[Spices],
      MATCH(1,(All_India_Index_Upto_April23__1___1[Date]=$A77)*
              (All_India_Index_Upto_April23__1___1[Sector]="Rural+Urban"),0)),
    INDEX(All_India_Index_Upto_April23__1___1[Non-alcoholic beverages],
      MATCH(1,(All_India_Index_Upto_April23__1___1[Date]=$A77)*
              (All_India_Index_Upto_April23__1___1[Sector]="Rural+Urban"),0)),
    INDEX(All_India_Index_Upto_April23__1___1[Prepared meals, snacks, sweets etc.],
      MATCH(1,(All_India_Index_Upto_April23__1___1[Date]=$A77)*
              (All_India_Index_Upto_April23__1___1[Sector]="Rural+Urban"),0))
  ),
"")</f>
        <v>177.31666666666669</v>
      </c>
      <c r="P77" s="2" cm="1">
        <f t="array" ref="P77">IFERROR(
  AVERAGE(
    INDEX(All_India_Index_Upto_April23__1___1[Cereals and products],
      MATCH(1,(All_India_Index_Upto_April23__1___1[Date]=EDATE($A77,-12))*
              (All_India_Index_Upto_April23__1___1[Sector]="Rural+Urban"),0)),
    INDEX(All_India_Index_Upto_April23__1___1[Meat and fish],
      MATCH(1,(All_India_Index_Upto_April23__1___1[Date]=EDATE($A77,-12))*
              (All_India_Index_Upto_April23__1___1[Sector]="Rural+Urban"),0)),
    INDEX(All_India_Index_Upto_April23__1___1[Egg],
      MATCH(1,(All_India_Index_Upto_April23__1___1[Date]=EDATE($A77,-12))*
              (All_India_Index_Upto_April23__1___1[Sector]="Rural+Urban"),0)),
    INDEX(All_India_Index_Upto_April23__1___1[Milk and products],
      MATCH(1,(All_India_Index_Upto_April23__1___1[Date]=EDATE($A77,-12))*
              (All_India_Index_Upto_April23__1___1[Sector]="Rural+Urban"),0)),
    INDEX(All_India_Index_Upto_April23__1___1[Oils and fats],
      MATCH(1,(All_India_Index_Upto_April23__1___1[Date]=EDATE($A77,-12))*
              (All_India_Index_Upto_April23__1___1[Sector]="Rural+Urban"),0)),
    INDEX(All_India_Index_Upto_April23__1___1[Fruits],
      MATCH(1,(All_India_Index_Upto_April23__1___1[Date]=EDATE($A77,-12))*
              (All_India_Index_Upto_April23__1___1[Sector]="Rural+Urban"),0)),
    INDEX(All_India_Index_Upto_April23__1___1[Vegetables],
      MATCH(1,(All_India_Index_Upto_April23__1___1[Date]=EDATE($A77,-12))*
              (All_India_Index_Upto_April23__1___1[Sector]="Rural+Urban"),0)),
    INDEX(All_India_Index_Upto_April23__1___1[Pulses and products],
      MATCH(1,(All_India_Index_Upto_April23__1___1[Date]=EDATE($A77,-12))*
              (All_India_Index_Upto_April23__1___1[Sector]="Rural+Urban"),0)),
    INDEX(All_India_Index_Upto_April23__1___1[Sugar and Confectionery],
      MATCH(1,(All_India_Index_Upto_April23__1___1[Date]=EDATE($A77,-12))*
              (All_India_Index_Upto_April23__1___1[Sector]="Rural+Urban"),0)),
    INDEX(All_India_Index_Upto_April23__1___1[Spices],
      MATCH(1,(All_India_Index_Upto_April23__1___1[Date]=EDATE($A77,-12))*
              (All_India_Index_Upto_April23__1___1[Sector]="Rural+Urban"),0)),
    INDEX(All_India_Index_Upto_April23__1___1[Non-alcoholic beverages],
      MATCH(1,(All_India_Index_Upto_April23__1___1[Date]=EDATE($A77,-12))*
              (All_India_Index_Upto_April23__1___1[Sector]="Rural+Urban"),0)),
    INDEX(All_India_Index_Upto_April23__1___1[Prepared meals, snacks, sweets etc.],
      MATCH(1,(All_India_Index_Upto_April23__1___1[Date]=EDATE($A77,-12))*
              (All_India_Index_Upto_April23__1___1[Sector]="Rural+Urban"),0))
  ),
"")</f>
        <v>172.13333333333335</v>
      </c>
      <c r="Q77" s="8">
        <f t="shared" si="10"/>
        <v>3.0112316034082126E-2</v>
      </c>
      <c r="R77" t="str">
        <f t="shared" si="11"/>
        <v>Post-COVID</v>
      </c>
      <c r="T77" s="2" cm="1">
        <f t="array" ref="T77">IFERROR(
  INDEX(
    All_India_Index_Upto_April23__1___1[Health],
    MATCH(
      1,
      (All_India_Index_Upto_April23__1___1[Date]=$A77) *
      (All_India_Index_Upto_April23__1___1[Sector]="Rural+Urban"),
      0
    )
  ),
"")</f>
        <v>185.7</v>
      </c>
      <c r="U77" s="2" cm="1">
        <f t="array" ref="U77">IFERROR(
  INDEX(
    All_India_Index_Upto_April23__1___1[Health],
    MATCH(
      1,
      (All_India_Index_Upto_April23__1___1[Date]=EDATE($A77,-12)) *
      (All_India_Index_Upto_April23__1___1[Sector]="Rural+Urban"),
      0
    )
  ),
"")</f>
        <v>174.8</v>
      </c>
      <c r="V77" s="8">
        <f t="shared" si="12"/>
        <v>6.2356979405034194E-2</v>
      </c>
      <c r="W77" t="str">
        <f t="shared" si="13"/>
        <v>Post-COVID</v>
      </c>
      <c r="Y77" s="2" cm="1">
        <f t="array" ref="Y77">IFERROR(
  AVERAGE(
    INDEX(All_India_Index_Upto_April23__1___1[Pan, tobacco and intoxicants],
      MATCH(1,(All_India_Index_Upto_April23__1___1[Date]=$A77)*
              (All_India_Index_Upto_April23__1___1[Sector]="Rural+Urban"),0)),
    INDEX(All_India_Index_Upto_April23__1___1[Clothing],
      MATCH(1,(All_India_Index_Upto_April23__1___1[Date]=$A77)*
              (All_India_Index_Upto_April23__1___1[Sector]="Rural+Urban"),0)),
    INDEX(All_India_Index_Upto_April23__1___1[Footwear],
      MATCH(1,(All_India_Index_Upto_April23__1___1[Date]=$A77)*
              (All_India_Index_Upto_April23__1___1[Sector]="Rural+Urban"),0)),
    INDEX(All_India_Index_Upto_April23__1___1[Clothing and footwear],
      MATCH(1,(All_India_Index_Upto_April23__1___1[Date]=$A77)*
              (All_India_Index_Upto_April23__1___1[Sector]="Rural+Urban"),0)),
    INDEX(All_India_Index_Upto_April23__1___1[Housing],
      MATCH(1,(All_India_Index_Upto_April23__1___1[Date]=$A77)*
              (All_India_Index_Upto_April23__1___1[Sector]="Rural+Urban"),0)),
    INDEX(All_India_Index_Upto_April23__1___1[Fuel and light],
      MATCH(1,(All_India_Index_Upto_April23__1___1[Date]=$A77)*
              (All_India_Index_Upto_April23__1___1[Sector]="Rural+Urban"),0)),
    INDEX(All_India_Index_Upto_April23__1___1[Household goods and services],
      MATCH(1,(All_India_Index_Upto_April23__1___1[Date]=$A77)*
              (All_India_Index_Upto_April23__1___1[Sector]="Rural+Urban"),0)),
    INDEX(All_India_Index_Upto_April23__1___1[Health],
      MATCH(1,(All_India_Index_Upto_April23__1___1[Date]=$A77)*
              (All_India_Index_Upto_April23__1___1[Sector]="Rural+Urban"),0)),
    INDEX(All_India_Index_Upto_April23__1___1[Transport and communication],
      MATCH(1,(All_India_Index_Upto_April23__1___1[Date]=$A77)*
              (All_India_Index_Upto_April23__1___1[Sector]="Rural+Urban"),0)),
    INDEX(All_India_Index_Upto_April23__1___1[Recreation and amusement],
      MATCH(1,(All_India_Index_Upto_April23__1___1[Date]=$A77)*
              (All_India_Index_Upto_April23__1___1[Sector]="Rural+Urban"),0)),
    INDEX(All_India_Index_Upto_April23__1___1[Education],
      MATCH(1,(All_India_Index_Upto_April23__1___1[Date]=$A77)*
              (All_India_Index_Upto_April23__1___1[Sector]="Rural+Urban"),0)),
    INDEX(All_India_Index_Upto_April23__1___1[Personal care and effects],
      MATCH(1,(All_India_Index_Upto_April23__1___1[Date]=$A77)*
              (All_India_Index_Upto_April23__1___1[Sector]="Rural+Urban"),0)),
    INDEX(All_India_Index_Upto_April23__1___1[Miscellaneous],
      MATCH(1,(All_India_Index_Upto_April23__1___1[Date]=$A77)*
              (All_India_Index_Upto_April23__1___1[Sector]="Rural+Urban"),0))
  ),
"")</f>
        <v>180.99166666666667</v>
      </c>
      <c r="Z77" s="2" cm="1">
        <f t="array" ref="Z77">IFERROR(
  AVERAGE(
    INDEX(All_India_Index_Upto_April23__1___1[Pan, tobacco and intoxicants],
      MATCH(1,(All_India_Index_Upto_April23__1___1[Date]=EDATE($A77,-12))*
              (All_India_Index_Upto_April23__1___1[Sector]="Rural+Urban"),0)),
    INDEX(All_India_Index_Upto_April23__1___1[Clothing],
      MATCH(1,(All_India_Index_Upto_April23__1___1[Date]=EDATE($A77,-12))*
              (All_India_Index_Upto_April23__1___1[Sector]="Rural+Urban"),0)),
    INDEX(All_India_Index_Upto_April23__1___1[Footwear],
      MATCH(1,(All_India_Index_Upto_April23__1___1[Date]=EDATE($A77,-12))*
              (All_India_Index_Upto_April23__1___1[Sector]="Rural+Urban"),0)),
    INDEX(All_India_Index_Upto_April23__1___1[Clothing and footwear],
      MATCH(1,(All_India_Index_Upto_April23__1___1[Date]=EDATE($A77,-12))*
              (All_India_Index_Upto_April23__1___1[Sector]="Rural+Urban"),0)),
    INDEX(All_India_Index_Upto_April23__1___1[Housing],
      MATCH(1,(All_India_Index_Upto_April23__1___1[Date]=EDATE($A77,-12))*
              (All_India_Index_Upto_April23__1___1[Sector]="Rural+Urban"),0)),
    INDEX(All_India_Index_Upto_April23__1___1[Fuel and light],
      MATCH(1,(All_India_Index_Upto_April23__1___1[Date]=EDATE($A77,-12))*
              (All_India_Index_Upto_April23__1___1[Sector]="Rural+Urban"),0)),
    INDEX(All_India_Index_Upto_April23__1___1[Household goods and services],
      MATCH(1,(All_India_Index_Upto_April23__1___1[Date]=EDATE($A77,-12))*
              (All_India_Index_Upto_April23__1___1[Sector]="Rural+Urban"),0)),
    INDEX(All_India_Index_Upto_April23__1___1[Health],
      MATCH(1,(All_India_Index_Upto_April23__1___1[Date]=EDATE($A77,-12))*
              (All_India_Index_Upto_April23__1___1[Sector]="Rural+Urban"),0)),
    INDEX(All_India_Index_Upto_April23__1___1[Transport and communication],
      MATCH(1,(All_India_Index_Upto_April23__1___1[Date]=EDATE($A77,-12))*
              (All_India_Index_Upto_April23__1___1[Sector]="Rural+Urban"),0)),
    INDEX(All_India_Index_Upto_April23__1___1[Recreation and amusement],
      MATCH(1,(All_India_Index_Upto_April23__1___1[Date]=EDATE($A77,-12))*
              (All_India_Index_Upto_April23__1___1[Sector]="Rural+Urban"),0)),
    INDEX(All_India_Index_Upto_April23__1___1[Education],
      MATCH(1,(All_India_Index_Upto_April23__1___1[Date]=EDATE($A77,-12))*
              (All_India_Index_Upto_April23__1___1[Sector]="Rural+Urban"),0)),
    INDEX(All_India_Index_Upto_April23__1___1[Personal care and effects],
      MATCH(1,(All_India_Index_Upto_April23__1___1[Date]=EDATE($A77,-12))*
              (All_India_Index_Upto_April23__1___1[Sector]="Rural+Urban"),0)),
    INDEX(All_India_Index_Upto_April23__1___1[Miscellaneous],
      MATCH(1,(All_India_Index_Upto_April23__1___1[Date]=EDATE($A77,-12))*
              (All_India_Index_Upto_April23__1___1[Sector]="Rural+Urban"),0))
  ),
"")</f>
        <v>171.6</v>
      </c>
      <c r="AA77" s="8">
        <f t="shared" si="14"/>
        <v>5.4729992229992308E-2</v>
      </c>
      <c r="AB77" t="str">
        <f t="shared" si="15"/>
        <v>Post-COVID</v>
      </c>
    </row>
    <row r="78" spans="1:28" x14ac:dyDescent="0.2">
      <c r="O78" s="2"/>
      <c r="P78" s="2"/>
      <c r="Q78" s="8"/>
    </row>
    <row r="79" spans="1:28" x14ac:dyDescent="0.2">
      <c r="O79" s="2"/>
      <c r="P79" s="2"/>
      <c r="Q79" s="8"/>
    </row>
    <row r="80" spans="1:28" x14ac:dyDescent="0.2">
      <c r="O80" s="2"/>
      <c r="P80" s="2"/>
      <c r="Q80" s="8"/>
    </row>
    <row r="81" spans="15:17" x14ac:dyDescent="0.2">
      <c r="O81" s="2"/>
      <c r="P81" s="2"/>
      <c r="Q81" s="8"/>
    </row>
    <row r="82" spans="15:17" x14ac:dyDescent="0.2">
      <c r="O82" s="2"/>
      <c r="P82" s="2"/>
      <c r="Q82" s="8"/>
    </row>
    <row r="83" spans="15:17" x14ac:dyDescent="0.2">
      <c r="O83" s="2"/>
      <c r="P83" s="2"/>
      <c r="Q83" s="8"/>
    </row>
    <row r="84" spans="15:17" x14ac:dyDescent="0.2">
      <c r="O84" s="2"/>
      <c r="P84" s="2"/>
      <c r="Q84" s="8"/>
    </row>
    <row r="85" spans="15:17" x14ac:dyDescent="0.2">
      <c r="O85" s="2"/>
      <c r="P85" s="2"/>
      <c r="Q85" s="8"/>
    </row>
    <row r="86" spans="15:17" x14ac:dyDescent="0.2">
      <c r="O86" s="2"/>
      <c r="P86" s="2"/>
      <c r="Q86" s="8"/>
    </row>
    <row r="87" spans="15:17" x14ac:dyDescent="0.2">
      <c r="O87" s="2"/>
      <c r="P87" s="2"/>
      <c r="Q87" s="8"/>
    </row>
    <row r="88" spans="15:17" x14ac:dyDescent="0.2">
      <c r="O88" s="2"/>
      <c r="P88" s="2"/>
      <c r="Q88" s="8"/>
    </row>
    <row r="89" spans="15:17" x14ac:dyDescent="0.2">
      <c r="O89" s="2"/>
      <c r="P89" s="2"/>
      <c r="Q89" s="8"/>
    </row>
    <row r="90" spans="15:17" x14ac:dyDescent="0.2">
      <c r="O90" s="2"/>
      <c r="P90" s="2"/>
      <c r="Q90" s="8"/>
    </row>
    <row r="91" spans="15:17" x14ac:dyDescent="0.2">
      <c r="O91" s="2"/>
      <c r="P91" s="2"/>
      <c r="Q91" s="8"/>
    </row>
    <row r="92" spans="15:17" x14ac:dyDescent="0.2">
      <c r="O92" s="2"/>
      <c r="P92" s="2"/>
      <c r="Q92" s="8"/>
    </row>
    <row r="93" spans="15:17" x14ac:dyDescent="0.2">
      <c r="O93" s="2"/>
      <c r="P93" s="2"/>
      <c r="Q93" s="8"/>
    </row>
    <row r="94" spans="15:17" x14ac:dyDescent="0.2">
      <c r="O94" s="2"/>
      <c r="P94" s="2"/>
      <c r="Q94" s="8"/>
    </row>
    <row r="95" spans="15:17" x14ac:dyDescent="0.2">
      <c r="O95" s="2"/>
      <c r="P95" s="2"/>
      <c r="Q95" s="8"/>
    </row>
    <row r="96" spans="15:17" x14ac:dyDescent="0.2">
      <c r="O96" s="2"/>
      <c r="P96" s="2"/>
      <c r="Q96" s="8"/>
    </row>
    <row r="97" spans="15:17" x14ac:dyDescent="0.2">
      <c r="O97" s="2"/>
      <c r="P97" s="2"/>
      <c r="Q97" s="8"/>
    </row>
    <row r="98" spans="15:17" x14ac:dyDescent="0.2">
      <c r="O98" s="2"/>
      <c r="P98" s="2"/>
      <c r="Q98" s="8"/>
    </row>
    <row r="99" spans="15:17" x14ac:dyDescent="0.2">
      <c r="O99" s="2"/>
      <c r="P99" s="2"/>
      <c r="Q99" s="8"/>
    </row>
    <row r="100" spans="15:17" x14ac:dyDescent="0.2">
      <c r="O100" s="2"/>
      <c r="P100" s="2"/>
      <c r="Q100" s="8"/>
    </row>
    <row r="101" spans="15:17" x14ac:dyDescent="0.2">
      <c r="O101" s="2"/>
      <c r="P101" s="2"/>
      <c r="Q101" s="8"/>
    </row>
    <row r="102" spans="15:17" x14ac:dyDescent="0.2">
      <c r="O102" s="2"/>
      <c r="P102" s="2"/>
      <c r="Q102" s="8"/>
    </row>
    <row r="103" spans="15:17" x14ac:dyDescent="0.2">
      <c r="O103" s="2"/>
      <c r="P103" s="2"/>
      <c r="Q103" s="8"/>
    </row>
    <row r="104" spans="15:17" x14ac:dyDescent="0.2">
      <c r="O104" s="2"/>
      <c r="P104" s="2"/>
      <c r="Q104" s="8"/>
    </row>
    <row r="105" spans="15:17" x14ac:dyDescent="0.2">
      <c r="O105" s="2"/>
      <c r="P105" s="2"/>
      <c r="Q105" s="8"/>
    </row>
    <row r="106" spans="15:17" x14ac:dyDescent="0.2">
      <c r="O106" s="2"/>
      <c r="P106" s="2"/>
      <c r="Q106" s="8"/>
    </row>
    <row r="107" spans="15:17" x14ac:dyDescent="0.2">
      <c r="O107" s="2"/>
      <c r="P107" s="2"/>
      <c r="Q107" s="8"/>
    </row>
    <row r="108" spans="15:17" x14ac:dyDescent="0.2">
      <c r="O108" s="2"/>
      <c r="P108" s="2"/>
      <c r="Q108" s="8"/>
    </row>
    <row r="109" spans="15:17" x14ac:dyDescent="0.2">
      <c r="O109" s="2"/>
      <c r="P109" s="2"/>
      <c r="Q109" s="8"/>
    </row>
    <row r="110" spans="15:17" x14ac:dyDescent="0.2">
      <c r="O110" s="2"/>
      <c r="P110" s="2"/>
      <c r="Q110" s="8"/>
    </row>
    <row r="111" spans="15:17" x14ac:dyDescent="0.2">
      <c r="O111" s="2"/>
      <c r="P111" s="2"/>
      <c r="Q111" s="8"/>
    </row>
    <row r="112" spans="15:17" x14ac:dyDescent="0.2">
      <c r="O112" s="2"/>
      <c r="P112" s="2"/>
      <c r="Q112" s="8"/>
    </row>
    <row r="113" spans="15:17" x14ac:dyDescent="0.2">
      <c r="O113" s="2"/>
      <c r="P113" s="2"/>
      <c r="Q113" s="8"/>
    </row>
    <row r="114" spans="15:17" x14ac:dyDescent="0.2">
      <c r="O114" s="2"/>
      <c r="P114" s="2"/>
      <c r="Q114" s="8"/>
    </row>
    <row r="115" spans="15:17" x14ac:dyDescent="0.2">
      <c r="O115" s="2"/>
      <c r="P115" s="2"/>
      <c r="Q115" s="8"/>
    </row>
    <row r="116" spans="15:17" x14ac:dyDescent="0.2">
      <c r="O116" s="2"/>
      <c r="P116" s="2"/>
      <c r="Q116" s="8"/>
    </row>
    <row r="117" spans="15:17" x14ac:dyDescent="0.2">
      <c r="O117" s="2"/>
      <c r="P117" s="2"/>
      <c r="Q117" s="8"/>
    </row>
    <row r="118" spans="15:17" x14ac:dyDescent="0.2">
      <c r="O118" s="2"/>
      <c r="P118" s="2"/>
      <c r="Q118" s="8"/>
    </row>
    <row r="119" spans="15:17" x14ac:dyDescent="0.2">
      <c r="O119" s="2"/>
      <c r="P119" s="2"/>
      <c r="Q119" s="8"/>
    </row>
    <row r="120" spans="15:17" x14ac:dyDescent="0.2">
      <c r="O120" s="2"/>
      <c r="P120" s="2"/>
      <c r="Q120" s="8"/>
    </row>
    <row r="121" spans="15:17" x14ac:dyDescent="0.2">
      <c r="O121" s="2"/>
      <c r="P121" s="2"/>
      <c r="Q121" s="8"/>
    </row>
    <row r="122" spans="15:17" x14ac:dyDescent="0.2">
      <c r="O122" s="2"/>
      <c r="P122" s="2"/>
      <c r="Q122" s="8"/>
    </row>
    <row r="123" spans="15:17" x14ac:dyDescent="0.2">
      <c r="O123" s="2"/>
      <c r="P123" s="2"/>
      <c r="Q123" s="8"/>
    </row>
    <row r="124" spans="15:17" x14ac:dyDescent="0.2">
      <c r="O124" s="2"/>
      <c r="P124" s="2"/>
      <c r="Q124" s="8"/>
    </row>
    <row r="125" spans="15:17" x14ac:dyDescent="0.2">
      <c r="O125" s="2"/>
      <c r="P125" s="2"/>
      <c r="Q125" s="8"/>
    </row>
    <row r="126" spans="15:17" x14ac:dyDescent="0.2">
      <c r="O126" s="2"/>
      <c r="P126" s="2"/>
      <c r="Q126" s="8"/>
    </row>
    <row r="127" spans="15:17" x14ac:dyDescent="0.2">
      <c r="O127" s="2"/>
      <c r="P127" s="2"/>
      <c r="Q127" s="8"/>
    </row>
    <row r="128" spans="15:17" x14ac:dyDescent="0.2">
      <c r="O128" s="2"/>
      <c r="P128" s="2"/>
      <c r="Q128" s="8"/>
    </row>
    <row r="129" spans="15:17" x14ac:dyDescent="0.2">
      <c r="O129" s="2"/>
      <c r="P129" s="2"/>
      <c r="Q129" s="8"/>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B781E-F3C0-8F4D-92B3-5EB3CB4C3FCC}">
  <dimension ref="A1:F126"/>
  <sheetViews>
    <sheetView topLeftCell="A81" zoomScale="110" zoomScaleNormal="100" workbookViewId="0">
      <selection activeCell="L20" sqref="L20"/>
    </sheetView>
  </sheetViews>
  <sheetFormatPr baseColWidth="10" defaultRowHeight="16" x14ac:dyDescent="0.2"/>
  <cols>
    <col min="1" max="1" width="10.83203125" style="9"/>
    <col min="2" max="2" width="12.83203125" style="9" customWidth="1"/>
    <col min="3" max="3" width="29.6640625" style="9" customWidth="1"/>
    <col min="4" max="4" width="23.6640625" style="9" customWidth="1"/>
    <col min="5" max="16384" width="10.83203125" style="9"/>
  </cols>
  <sheetData>
    <row r="1" spans="1:1" ht="29" x14ac:dyDescent="0.3">
      <c r="A1" s="82" t="s">
        <v>373</v>
      </c>
    </row>
    <row r="2" spans="1:1" ht="22" x14ac:dyDescent="0.25">
      <c r="A2" s="54" t="s">
        <v>247</v>
      </c>
    </row>
    <row r="3" spans="1:1" x14ac:dyDescent="0.2">
      <c r="A3" s="84" t="s">
        <v>371</v>
      </c>
    </row>
    <row r="4" spans="1:1" x14ac:dyDescent="0.2">
      <c r="A4" s="51" t="s">
        <v>374</v>
      </c>
    </row>
    <row r="5" spans="1:1" x14ac:dyDescent="0.2">
      <c r="A5" s="51" t="s">
        <v>375</v>
      </c>
    </row>
    <row r="6" spans="1:1" x14ac:dyDescent="0.2">
      <c r="A6" s="51" t="s">
        <v>376</v>
      </c>
    </row>
    <row r="7" spans="1:1" x14ac:dyDescent="0.2">
      <c r="A7" s="51" t="s">
        <v>377</v>
      </c>
    </row>
    <row r="8" spans="1:1" x14ac:dyDescent="0.2">
      <c r="A8" s="84" t="s">
        <v>372</v>
      </c>
    </row>
    <row r="10" spans="1:1" ht="22" x14ac:dyDescent="0.25">
      <c r="A10" s="54" t="s">
        <v>378</v>
      </c>
    </row>
    <row r="11" spans="1:1" x14ac:dyDescent="0.2">
      <c r="A11" s="84" t="s">
        <v>379</v>
      </c>
    </row>
    <row r="12" spans="1:1" x14ac:dyDescent="0.2">
      <c r="A12" s="84" t="s">
        <v>380</v>
      </c>
    </row>
    <row r="13" spans="1:1" x14ac:dyDescent="0.2">
      <c r="A13" s="84" t="s">
        <v>381</v>
      </c>
    </row>
    <row r="14" spans="1:1" x14ac:dyDescent="0.2">
      <c r="A14" s="84" t="s">
        <v>382</v>
      </c>
    </row>
    <row r="15" spans="1:1" x14ac:dyDescent="0.2">
      <c r="A15" s="51" t="s">
        <v>385</v>
      </c>
    </row>
    <row r="16" spans="1:1" x14ac:dyDescent="0.2">
      <c r="A16" s="51" t="s">
        <v>386</v>
      </c>
    </row>
    <row r="17" spans="1:1" x14ac:dyDescent="0.2">
      <c r="A17" s="84" t="s">
        <v>383</v>
      </c>
    </row>
    <row r="18" spans="1:1" x14ac:dyDescent="0.2">
      <c r="A18" s="84" t="s">
        <v>384</v>
      </c>
    </row>
    <row r="20" spans="1:1" ht="22" x14ac:dyDescent="0.25">
      <c r="A20" s="54" t="s">
        <v>503</v>
      </c>
    </row>
    <row r="48" spans="1:1" ht="17" x14ac:dyDescent="0.2">
      <c r="A48" s="80" t="s">
        <v>387</v>
      </c>
    </row>
    <row r="49" spans="1:5" x14ac:dyDescent="0.2">
      <c r="A49" s="84" t="s">
        <v>389</v>
      </c>
    </row>
    <row r="50" spans="1:5" x14ac:dyDescent="0.2">
      <c r="A50" s="52" t="s">
        <v>392</v>
      </c>
    </row>
    <row r="51" spans="1:5" x14ac:dyDescent="0.2">
      <c r="A51" s="52" t="s">
        <v>393</v>
      </c>
    </row>
    <row r="52" spans="1:5" x14ac:dyDescent="0.2">
      <c r="A52" s="84" t="s">
        <v>390</v>
      </c>
    </row>
    <row r="53" spans="1:5" x14ac:dyDescent="0.2">
      <c r="A53" s="52" t="s">
        <v>394</v>
      </c>
    </row>
    <row r="54" spans="1:5" x14ac:dyDescent="0.2">
      <c r="A54" s="52" t="s">
        <v>395</v>
      </c>
    </row>
    <row r="55" spans="1:5" x14ac:dyDescent="0.2">
      <c r="A55" s="84" t="s">
        <v>391</v>
      </c>
    </row>
    <row r="56" spans="1:5" x14ac:dyDescent="0.2">
      <c r="A56" s="52" t="s">
        <v>396</v>
      </c>
    </row>
    <row r="57" spans="1:5" x14ac:dyDescent="0.2">
      <c r="A57" s="52" t="s">
        <v>397</v>
      </c>
    </row>
    <row r="58" spans="1:5" x14ac:dyDescent="0.2">
      <c r="A58" s="88" t="s">
        <v>388</v>
      </c>
    </row>
    <row r="59" spans="1:5" x14ac:dyDescent="0.2">
      <c r="A59" s="53"/>
    </row>
    <row r="60" spans="1:5" ht="22" x14ac:dyDescent="0.25">
      <c r="A60" s="54" t="s">
        <v>398</v>
      </c>
    </row>
    <row r="61" spans="1:5" x14ac:dyDescent="0.2">
      <c r="B61" s="12"/>
      <c r="C61" s="12"/>
      <c r="D61" s="12"/>
    </row>
    <row r="62" spans="1:5" x14ac:dyDescent="0.2">
      <c r="A62" s="89"/>
      <c r="B62" s="90" t="s">
        <v>364</v>
      </c>
      <c r="C62" s="91" t="s">
        <v>399</v>
      </c>
      <c r="D62" s="91" t="s">
        <v>400</v>
      </c>
      <c r="E62" s="11"/>
    </row>
    <row r="63" spans="1:5" ht="19" x14ac:dyDescent="0.25">
      <c r="A63" s="89"/>
      <c r="B63" s="92" t="s">
        <v>365</v>
      </c>
      <c r="C63" s="93">
        <v>3.9E-2</v>
      </c>
      <c r="D63" s="93">
        <v>5.7000000000000002E-2</v>
      </c>
      <c r="E63" s="11"/>
    </row>
    <row r="64" spans="1:5" ht="19" x14ac:dyDescent="0.25">
      <c r="A64" s="89"/>
      <c r="B64" s="92" t="s">
        <v>189</v>
      </c>
      <c r="C64" s="93">
        <v>2.1999999999999999E-2</v>
      </c>
      <c r="D64" s="93">
        <v>7.2999999999999995E-2</v>
      </c>
      <c r="E64" s="11"/>
    </row>
    <row r="65" spans="1:5" ht="19" x14ac:dyDescent="0.25">
      <c r="A65" s="89"/>
      <c r="B65" s="92" t="s">
        <v>23</v>
      </c>
      <c r="C65" s="93">
        <v>5.8000000000000003E-2</v>
      </c>
      <c r="D65" s="93">
        <v>6.4000000000000001E-2</v>
      </c>
      <c r="E65" s="11"/>
    </row>
    <row r="66" spans="1:5" ht="19" x14ac:dyDescent="0.25">
      <c r="A66" s="89"/>
      <c r="B66" s="92" t="s">
        <v>366</v>
      </c>
      <c r="C66" s="93">
        <v>4.4999999999999998E-2</v>
      </c>
      <c r="D66" s="93">
        <v>6.0999999999999999E-2</v>
      </c>
      <c r="E66" s="11"/>
    </row>
    <row r="67" spans="1:5" x14ac:dyDescent="0.2">
      <c r="B67" s="13"/>
      <c r="C67" s="13"/>
      <c r="D67" s="13"/>
    </row>
    <row r="86" spans="1:1" ht="22" x14ac:dyDescent="0.25">
      <c r="A86" s="54" t="s">
        <v>410</v>
      </c>
    </row>
    <row r="87" spans="1:1" ht="17" x14ac:dyDescent="0.2">
      <c r="A87" s="80" t="s">
        <v>401</v>
      </c>
    </row>
    <row r="88" spans="1:1" x14ac:dyDescent="0.2">
      <c r="A88" s="84" t="s">
        <v>402</v>
      </c>
    </row>
    <row r="89" spans="1:1" x14ac:dyDescent="0.2">
      <c r="A89" s="84" t="s">
        <v>403</v>
      </c>
    </row>
    <row r="90" spans="1:1" x14ac:dyDescent="0.2">
      <c r="A90" s="84" t="s">
        <v>404</v>
      </c>
    </row>
    <row r="91" spans="1:1" x14ac:dyDescent="0.2">
      <c r="A91" s="52" t="s">
        <v>406</v>
      </c>
    </row>
    <row r="92" spans="1:1" x14ac:dyDescent="0.2">
      <c r="A92" s="52" t="s">
        <v>407</v>
      </c>
    </row>
    <row r="93" spans="1:1" x14ac:dyDescent="0.2">
      <c r="A93" s="52" t="s">
        <v>408</v>
      </c>
    </row>
    <row r="94" spans="1:1" x14ac:dyDescent="0.2">
      <c r="A94" s="84" t="s">
        <v>405</v>
      </c>
    </row>
    <row r="95" spans="1:1" x14ac:dyDescent="0.2">
      <c r="A95" s="84" t="s">
        <v>417</v>
      </c>
    </row>
    <row r="96" spans="1:1" x14ac:dyDescent="0.2">
      <c r="A96" s="84"/>
    </row>
    <row r="97" spans="1:1" ht="22" x14ac:dyDescent="0.25">
      <c r="A97" s="54" t="s">
        <v>409</v>
      </c>
    </row>
    <row r="98" spans="1:1" ht="17" x14ac:dyDescent="0.2">
      <c r="A98" s="80" t="s">
        <v>401</v>
      </c>
    </row>
    <row r="99" spans="1:1" x14ac:dyDescent="0.2">
      <c r="A99" s="84" t="s">
        <v>411</v>
      </c>
    </row>
    <row r="100" spans="1:1" x14ac:dyDescent="0.2">
      <c r="A100" s="84" t="s">
        <v>412</v>
      </c>
    </row>
    <row r="101" spans="1:1" x14ac:dyDescent="0.2">
      <c r="A101" s="84" t="s">
        <v>413</v>
      </c>
    </row>
    <row r="102" spans="1:1" x14ac:dyDescent="0.2">
      <c r="A102" s="81" t="s">
        <v>414</v>
      </c>
    </row>
    <row r="103" spans="1:1" x14ac:dyDescent="0.2">
      <c r="A103" s="81" t="s">
        <v>415</v>
      </c>
    </row>
    <row r="104" spans="1:1" x14ac:dyDescent="0.2">
      <c r="A104" s="81" t="s">
        <v>416</v>
      </c>
    </row>
    <row r="105" spans="1:1" x14ac:dyDescent="0.2">
      <c r="A105" s="84" t="s">
        <v>418</v>
      </c>
    </row>
    <row r="106" spans="1:1" x14ac:dyDescent="0.2">
      <c r="A106" s="84"/>
    </row>
    <row r="107" spans="1:1" ht="22" x14ac:dyDescent="0.25">
      <c r="A107" s="54" t="s">
        <v>419</v>
      </c>
    </row>
    <row r="108" spans="1:1" ht="17" x14ac:dyDescent="0.2">
      <c r="A108" s="80" t="s">
        <v>401</v>
      </c>
    </row>
    <row r="109" spans="1:1" x14ac:dyDescent="0.2">
      <c r="A109" s="84" t="s">
        <v>420</v>
      </c>
    </row>
    <row r="110" spans="1:1" x14ac:dyDescent="0.2">
      <c r="A110" s="84" t="s">
        <v>421</v>
      </c>
    </row>
    <row r="111" spans="1:1" x14ac:dyDescent="0.2">
      <c r="A111" s="52" t="s">
        <v>423</v>
      </c>
    </row>
    <row r="112" spans="1:1" x14ac:dyDescent="0.2">
      <c r="A112" s="52" t="s">
        <v>424</v>
      </c>
    </row>
    <row r="113" spans="1:6" x14ac:dyDescent="0.2">
      <c r="A113" s="52" t="s">
        <v>425</v>
      </c>
    </row>
    <row r="114" spans="1:6" x14ac:dyDescent="0.2">
      <c r="A114" s="84" t="s">
        <v>422</v>
      </c>
    </row>
    <row r="115" spans="1:6" x14ac:dyDescent="0.2">
      <c r="A115" s="84"/>
    </row>
    <row r="116" spans="1:6" ht="22" x14ac:dyDescent="0.25">
      <c r="A116" s="54" t="s">
        <v>426</v>
      </c>
    </row>
    <row r="117" spans="1:6" x14ac:dyDescent="0.2">
      <c r="A117" s="84" t="s">
        <v>427</v>
      </c>
    </row>
    <row r="118" spans="1:6" x14ac:dyDescent="0.2">
      <c r="A118" s="84" t="s">
        <v>428</v>
      </c>
    </row>
    <row r="119" spans="1:6" x14ac:dyDescent="0.2">
      <c r="A119" s="52" t="s">
        <v>431</v>
      </c>
    </row>
    <row r="120" spans="1:6" x14ac:dyDescent="0.2">
      <c r="A120" s="52" t="s">
        <v>432</v>
      </c>
    </row>
    <row r="121" spans="1:6" x14ac:dyDescent="0.2">
      <c r="A121" s="52" t="s">
        <v>433</v>
      </c>
    </row>
    <row r="122" spans="1:6" x14ac:dyDescent="0.2">
      <c r="A122" s="84" t="s">
        <v>429</v>
      </c>
    </row>
    <row r="123" spans="1:6" x14ac:dyDescent="0.2">
      <c r="A123" s="84" t="s">
        <v>430</v>
      </c>
    </row>
    <row r="125" spans="1:6" ht="22" x14ac:dyDescent="0.25">
      <c r="A125" s="54" t="s">
        <v>434</v>
      </c>
    </row>
    <row r="126" spans="1:6" ht="72" customHeight="1" x14ac:dyDescent="0.2">
      <c r="A126" s="106" t="s">
        <v>435</v>
      </c>
      <c r="B126" s="107"/>
      <c r="C126" s="107"/>
      <c r="D126" s="107"/>
      <c r="E126" s="107"/>
      <c r="F126" s="108"/>
    </row>
  </sheetData>
  <mergeCells count="1">
    <mergeCell ref="A126:F1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BD5F3-D8E0-5F45-A932-4A2DC824C084}">
  <dimension ref="A1:AJ77"/>
  <sheetViews>
    <sheetView topLeftCell="X1" zoomScale="114" zoomScaleNormal="114" workbookViewId="0">
      <pane ySplit="1" topLeftCell="A2" activePane="bottomLeft" state="frozen"/>
      <selection pane="bottomLeft" activeCell="AD1" sqref="AD1:AF5"/>
    </sheetView>
  </sheetViews>
  <sheetFormatPr baseColWidth="10" defaultRowHeight="16" x14ac:dyDescent="0.2"/>
  <cols>
    <col min="4" max="4" width="33" bestFit="1" customWidth="1"/>
    <col min="5" max="5" width="21.6640625" bestFit="1" customWidth="1"/>
    <col min="6" max="6" width="21.6640625" customWidth="1"/>
    <col min="7" max="7" width="16.33203125" bestFit="1" customWidth="1"/>
    <col min="9" max="9" width="10.33203125" bestFit="1" customWidth="1"/>
    <col min="10" max="10" width="18" bestFit="1" customWidth="1"/>
    <col min="11" max="11" width="15.83203125" bestFit="1" customWidth="1"/>
    <col min="12" max="12" width="14" bestFit="1" customWidth="1"/>
    <col min="13" max="13" width="17.1640625" bestFit="1" customWidth="1"/>
    <col min="14" max="14" width="15.83203125" bestFit="1" customWidth="1"/>
    <col min="17" max="17" width="12" bestFit="1" customWidth="1"/>
    <col min="24" max="24" width="11.5" bestFit="1" customWidth="1"/>
    <col min="25" max="25" width="15.83203125" bestFit="1" customWidth="1"/>
    <col min="26" max="26" width="12.6640625" bestFit="1" customWidth="1"/>
    <col min="27" max="27" width="10.5" bestFit="1" customWidth="1"/>
    <col min="30" max="30" width="24.6640625" bestFit="1" customWidth="1"/>
    <col min="31" max="31" width="19.6640625" bestFit="1" customWidth="1"/>
    <col min="32" max="32" width="16.83203125" bestFit="1" customWidth="1"/>
  </cols>
  <sheetData>
    <row r="1" spans="1:36" x14ac:dyDescent="0.2">
      <c r="A1" s="4" t="s">
        <v>161</v>
      </c>
      <c r="B1" s="4" t="s">
        <v>1</v>
      </c>
      <c r="C1" s="4" t="s">
        <v>2</v>
      </c>
      <c r="D1" s="4" t="s">
        <v>436</v>
      </c>
      <c r="E1" s="4" t="s">
        <v>437</v>
      </c>
      <c r="F1" s="4" t="s">
        <v>462</v>
      </c>
      <c r="G1" s="4" t="s">
        <v>461</v>
      </c>
      <c r="H1" s="4" t="s">
        <v>161</v>
      </c>
      <c r="I1" s="4" t="s">
        <v>440</v>
      </c>
      <c r="J1" s="4" t="s">
        <v>441</v>
      </c>
      <c r="K1" s="4" t="s">
        <v>442</v>
      </c>
      <c r="L1" s="4" t="s">
        <v>443</v>
      </c>
      <c r="M1" s="4" t="s">
        <v>444</v>
      </c>
      <c r="N1" s="4" t="s">
        <v>438</v>
      </c>
      <c r="O1" s="4" t="s">
        <v>445</v>
      </c>
      <c r="P1" s="4" t="s">
        <v>446</v>
      </c>
      <c r="Q1" s="4" t="s">
        <v>439</v>
      </c>
      <c r="R1" s="4" t="s">
        <v>447</v>
      </c>
      <c r="S1" s="4" t="s">
        <v>448</v>
      </c>
      <c r="T1" s="4" t="s">
        <v>449</v>
      </c>
      <c r="V1" s="4" t="s">
        <v>161</v>
      </c>
      <c r="W1" s="4" t="s">
        <v>450</v>
      </c>
      <c r="X1" s="4" t="s">
        <v>442</v>
      </c>
      <c r="Y1" s="4" t="s">
        <v>438</v>
      </c>
      <c r="Z1" s="4" t="s">
        <v>439</v>
      </c>
      <c r="AA1" s="4" t="s">
        <v>449</v>
      </c>
      <c r="AD1" s="4" t="s">
        <v>451</v>
      </c>
      <c r="AE1" s="4" t="s">
        <v>452</v>
      </c>
      <c r="AF1" s="4" t="s">
        <v>457</v>
      </c>
      <c r="AH1" s="4"/>
      <c r="AI1" s="4"/>
      <c r="AJ1" s="4"/>
    </row>
    <row r="2" spans="1:36" x14ac:dyDescent="0.2">
      <c r="A2" s="22">
        <v>42736</v>
      </c>
      <c r="B2">
        <v>2017</v>
      </c>
      <c r="C2" t="s">
        <v>31</v>
      </c>
      <c r="D2" s="2">
        <v>53.6</v>
      </c>
      <c r="E2" s="8">
        <f>(D3-D2)/D2</f>
        <v>1.4925373134328304E-2</v>
      </c>
      <c r="F2" s="8">
        <f>IF(ABS(E2)&gt;30%,NA(),E2)</f>
        <v>1.4925373134328304E-2</v>
      </c>
      <c r="G2" t="e">
        <f t="shared" ref="G2:G33" si="0">IF(A2=DATE(2020,3,1),40,NA())</f>
        <v>#N/A</v>
      </c>
      <c r="H2" s="22">
        <v>42736</v>
      </c>
      <c r="I2" cm="1">
        <f t="array" ref="I2">IFERROR(
  INDEX(All_India_Index_Upto_April23__1___1[Fuel and light],
    MATCH(1,
      (All_India_Index_Upto_April23__1___1[Date]=$A2)*
      (All_India_Index_Upto_April23__1___1[Sector]="Rural+Urban"),
    0)
  ),
"")</f>
        <v>126.8</v>
      </c>
      <c r="J2" cm="1">
        <f t="array" ref="J2">IFERROR(
  INDEX(All_India_Index_Upto_April23__1___1[Fuel and light],
    MATCH(1,
      (All_India_Index_Upto_April23__1___1[Date]=EDATE($A2,-1))*
      (All_India_Index_Upto_April23__1___1[Sector]="Rural+Urban"),
    0)
  ),
"")</f>
        <v>126.6</v>
      </c>
      <c r="K2" s="8">
        <f>IFERROR((I2-J2)/J2,"")</f>
        <v>1.5797788309636876E-3</v>
      </c>
      <c r="L2" cm="1">
        <f t="array" ref="L2">IFERROR(
  INDEX(All_India_Index_Upto_April23__1___1[Transport and communication],
    MATCH(1,
      (All_India_Index_Upto_April23__1___1[Date]=$A2)*
      (All_India_Index_Upto_April23__1___1[Sector]="Rural+Urban"),
    0)
  ),
"")</f>
        <v>117</v>
      </c>
      <c r="M2" cm="1">
        <f t="array" ref="M2">IFERROR(
  INDEX(All_India_Index_Upto_April23__1___1[Transport and communication],
    MATCH(1,
      (All_India_Index_Upto_April23__1___1[Date]=EDATE($A2,-1))*
      (All_India_Index_Upto_April23__1___1[Sector]="Rural+Urban"),
    0)
  ),
"")</f>
        <v>116</v>
      </c>
      <c r="N2" s="8">
        <f>IFERROR((L2-M2)/M2,"")</f>
        <v>8.6206896551724137E-3</v>
      </c>
      <c r="O2" s="2" cm="1">
        <f t="array" ref="O2">IFERROR(
  AVERAGE(
    INDEX(All_India_Index_Upto_April23__1___1[Cereals and products],
      MATCH(1,(All_India_Index_Upto_April23__1___1[Date]=$A2)*
              (All_India_Index_Upto_April23__1___1[Sector]="Rural+Urban"),0)),
    INDEX(All_India_Index_Upto_April23__1___1[Meat and fish],
      MATCH(1,(All_India_Index_Upto_April23__1___1[Date]=$A2)*
              (All_India_Index_Upto_April23__1___1[Sector]="Rural+Urban"),0)),
    INDEX(All_India_Index_Upto_April23__1___1[Egg],
      MATCH(1,(All_India_Index_Upto_April23__1___1[Date]=$A2)*
              (All_India_Index_Upto_April23__1___1[Sector]="Rural+Urban"),0)),
    INDEX(All_India_Index_Upto_April23__1___1[Milk and products],
      MATCH(1,(All_India_Index_Upto_April23__1___1[Date]=$A2)*
              (All_India_Index_Upto_April23__1___1[Sector]="Rural+Urban"),0)),
    INDEX(All_India_Index_Upto_April23__1___1[Oils and fats],
      MATCH(1,(All_India_Index_Upto_April23__1___1[Date]=$A2)*
              (All_India_Index_Upto_April23__1___1[Sector]="Rural+Urban"),0)),
    INDEX(All_India_Index_Upto_April23__1___1[Fruits],
      MATCH(1,(All_India_Index_Upto_April23__1___1[Date]=$A2)*
              (All_India_Index_Upto_April23__1___1[Sector]="Rural+Urban"),0)),
    INDEX(All_India_Index_Upto_April23__1___1[Vegetables],
      MATCH(1,(All_India_Index_Upto_April23__1___1[Date]=$A2)*
              (All_India_Index_Upto_April23__1___1[Sector]="Rural+Urban"),0)),
    INDEX(All_India_Index_Upto_April23__1___1[Pulses and products],
      MATCH(1,(All_India_Index_Upto_April23__1___1[Date]=$A2)*
              (All_India_Index_Upto_April23__1___1[Sector]="Rural+Urban"),0)),
    INDEX(All_India_Index_Upto_April23__1___1[Sugar and Confectionery],
      MATCH(1,(All_India_Index_Upto_April23__1___1[Date]=$A2)*
              (All_India_Index_Upto_April23__1___1[Sector]="Rural+Urban"),0)),
    INDEX(All_India_Index_Upto_April23__1___1[Spices],
      MATCH(1,(All_India_Index_Upto_April23__1___1[Date]=$A2)*
              (All_India_Index_Upto_April23__1___1[Sector]="Rural+Urban"),0)),
    INDEX(All_India_Index_Upto_April23__1___1[Non-alcoholic beverages],
      MATCH(1,(All_India_Index_Upto_April23__1___1[Date]=$A2)*
              (All_India_Index_Upto_April23__1___1[Sector]="Rural+Urban"),0)),
    INDEX(All_India_Index_Upto_April23__1___1[Prepared meals, snacks, sweets etc.],
      MATCH(1,(All_India_Index_Upto_April23__1___1[Date]=$A2)*
              (All_India_Index_Upto_April23__1___1[Sector]="Rural+Urban"),0))
  ),
"")</f>
        <v>132.84999999999997</v>
      </c>
      <c r="P2" s="2" cm="1">
        <f t="array" ref="P2">IFERROR(
  AVERAGE(
    INDEX(All_India_Index_Upto_April23__1___1[Cereals and products],
      MATCH(1,(All_India_Index_Upto_April23__1___1[Date]=EDATE($A2,-12))*
              (All_India_Index_Upto_April23__1___1[Sector]="Rural+Urban"),0)),
    INDEX(All_India_Index_Upto_April23__1___1[Meat and fish],
      MATCH(1,(All_India_Index_Upto_April23__1___1[Date]=EDATE($A2,-12))*
              (All_India_Index_Upto_April23__1___1[Sector]="Rural+Urban"),0)),
    INDEX(All_India_Index_Upto_April23__1___1[Egg],
      MATCH(1,(All_India_Index_Upto_April23__1___1[Date]=EDATE($A2,-12))*
              (All_India_Index_Upto_April23__1___1[Sector]="Rural+Urban"),0)),
    INDEX(All_India_Index_Upto_April23__1___1[Milk and products],
      MATCH(1,(All_India_Index_Upto_April23__1___1[Date]=EDATE($A2,-12))*
              (All_India_Index_Upto_April23__1___1[Sector]="Rural+Urban"),0)),
    INDEX(All_India_Index_Upto_April23__1___1[Oils and fats],
      MATCH(1,(All_India_Index_Upto_April23__1___1[Date]=EDATE($A2,-12))*
              (All_India_Index_Upto_April23__1___1[Sector]="Rural+Urban"),0)),
    INDEX(All_India_Index_Upto_April23__1___1[Fruits],
      MATCH(1,(All_India_Index_Upto_April23__1___1[Date]=EDATE($A2,-12))*
              (All_India_Index_Upto_April23__1___1[Sector]="Rural+Urban"),0)),
    INDEX(All_India_Index_Upto_April23__1___1[Vegetables],
      MATCH(1,(All_India_Index_Upto_April23__1___1[Date]=EDATE($A2,-12))*
              (All_India_Index_Upto_April23__1___1[Sector]="Rural+Urban"),0)),
    INDEX(All_India_Index_Upto_April23__1___1[Pulses and products],
      MATCH(1,(All_India_Index_Upto_April23__1___1[Date]=EDATE($A2,-12))*
              (All_India_Index_Upto_April23__1___1[Sector]="Rural+Urban"),0)),
    INDEX(All_India_Index_Upto_April23__1___1[Sugar and Confectionery],
      MATCH(1,(All_India_Index_Upto_April23__1___1[Date]=EDATE($A2,-12))*
              (All_India_Index_Upto_April23__1___1[Sector]="Rural+Urban"),0)),
    INDEX(All_India_Index_Upto_April23__1___1[Spices],
      MATCH(1,(All_India_Index_Upto_April23__1___1[Date]=EDATE($A2,-12))*
              (All_India_Index_Upto_April23__1___1[Sector]="Rural+Urban"),0)),
    INDEX(All_India_Index_Upto_April23__1___1[Non-alcoholic beverages],
      MATCH(1,(All_India_Index_Upto_April23__1___1[Date]=EDATE($A2,-12))*
              (All_India_Index_Upto_April23__1___1[Sector]="Rural+Urban"),0)),
    INDEX(All_India_Index_Upto_April23__1___1[Prepared meals, snacks, sweets etc.],
      MATCH(1,(All_India_Index_Upto_April23__1___1[Date]=EDATE($A2,-12))*
              (All_India_Index_Upto_April23__1___1[Sector]="Rural+Urban"),0))
  ),
"")</f>
        <v>130.03333333333333</v>
      </c>
      <c r="Q2" s="8">
        <f>IFERROR((O2-P2)/P2,"")</f>
        <v>2.1661112535247124E-2</v>
      </c>
      <c r="R2" cm="1">
        <f t="array" ref="R2">IFERROR(
  INDEX(All_India_Index_Upto_April23__1___1[General index],
    MATCH(1,
      (All_India_Index_Upto_April23__1___1[Date]=$A2)*
      (All_India_Index_Upto_April23__1___1[Sector]="Rural+Urban"),
    0)
  ),
"")</f>
        <v>130.30000000000001</v>
      </c>
      <c r="S2" cm="1">
        <f t="array" ref="S2">IFERROR(
  INDEX(All_India_Index_Upto_April23__1___1[General index],
    MATCH(1,
      (All_India_Index_Upto_April23__1___1[Date]=EDATE($A2,-1))*
      (All_India_Index_Upto_April23__1___1[Sector]="Rural+Urban"),
    0)
  ),
"")</f>
        <v>130.4</v>
      </c>
      <c r="T2" s="8">
        <f>IFERROR((R2-S2)/S2,"")</f>
        <v>-7.668711656441281E-4</v>
      </c>
      <c r="V2" s="77">
        <v>44197</v>
      </c>
      <c r="W2" s="94">
        <v>0.15686274509803921</v>
      </c>
      <c r="X2" s="94">
        <v>2.2821576763485556E-2</v>
      </c>
      <c r="Y2" s="94">
        <v>8.5287846481877545E-3</v>
      </c>
      <c r="Z2" s="94">
        <v>7.1968213106497106E-2</v>
      </c>
      <c r="AA2" s="94">
        <v>-1.006922592825673E-2</v>
      </c>
      <c r="AD2" s="4" t="s">
        <v>453</v>
      </c>
      <c r="AE2" s="3">
        <f>CORREL(W2:W30, X2:X30)</f>
        <v>0.20853160796286843</v>
      </c>
      <c r="AF2" t="s">
        <v>458</v>
      </c>
      <c r="AI2" s="4"/>
    </row>
    <row r="3" spans="1:36" x14ac:dyDescent="0.2">
      <c r="A3" s="22">
        <v>42767</v>
      </c>
      <c r="B3">
        <v>2017</v>
      </c>
      <c r="C3" t="s">
        <v>35</v>
      </c>
      <c r="D3" s="2">
        <v>54.4</v>
      </c>
      <c r="E3" s="8">
        <f t="shared" ref="E3:E66" si="1">(D4-D3)/D3</f>
        <v>-6.4338235294117654E-2</v>
      </c>
      <c r="F3" s="8">
        <f t="shared" ref="F3:F66" si="2">IF(ABS(E3)&gt;30%,NA(),E3)</f>
        <v>-6.4338235294117654E-2</v>
      </c>
      <c r="G3" t="e">
        <f t="shared" si="0"/>
        <v>#N/A</v>
      </c>
      <c r="H3" s="22">
        <v>42767</v>
      </c>
      <c r="I3" cm="1">
        <f t="array" ref="I3">IFERROR(
  INDEX(All_India_Index_Upto_April23__1___1[Fuel and light],
    MATCH(1,
      (All_India_Index_Upto_April23__1___1[Date]=$A3)*
      (All_India_Index_Upto_April23__1___1[Sector]="Rural+Urban"),
    0)
  ),
"")</f>
        <v>127.9</v>
      </c>
      <c r="J3" cm="1">
        <f t="array" ref="J3">IFERROR(
  INDEX(All_India_Index_Upto_April23__1___1[Fuel and light],
    MATCH(1,
      (All_India_Index_Upto_April23__1___1[Date]=EDATE($A3,-1))*
      (All_India_Index_Upto_April23__1___1[Sector]="Rural+Urban"),
    0)
  ),
"")</f>
        <v>126.8</v>
      </c>
      <c r="K3" s="8">
        <f t="shared" ref="K3:K66" si="3">IFERROR((I3-J3)/J3,"")</f>
        <v>8.6750788643533798E-3</v>
      </c>
      <c r="L3" cm="1">
        <f t="array" ref="L3">IFERROR(
  INDEX(All_India_Index_Upto_April23__1___1[Transport and communication],
    MATCH(1,
      (All_India_Index_Upto_April23__1___1[Date]=$A3)*
      (All_India_Index_Upto_April23__1___1[Sector]="Rural+Urban"),
    0)
  ),
"")</f>
        <v>117.4</v>
      </c>
      <c r="M3" cm="1">
        <f t="array" ref="M3">IFERROR(
  INDEX(All_India_Index_Upto_April23__1___1[Transport and communication],
    MATCH(1,
      (All_India_Index_Upto_April23__1___1[Date]=EDATE($A3,-1))*
      (All_India_Index_Upto_April23__1___1[Sector]="Rural+Urban"),
    0)
  ),
"")</f>
        <v>117</v>
      </c>
      <c r="N3" s="8">
        <f t="shared" ref="N3:N66" si="4">IFERROR((L3-M3)/M3,"")</f>
        <v>3.4188034188034674E-3</v>
      </c>
      <c r="O3" s="2" cm="1">
        <f t="array" ref="O3">IFERROR(
  AVERAGE(
    INDEX(All_India_Index_Upto_April23__1___1[Cereals and products],
      MATCH(1,(All_India_Index_Upto_April23__1___1[Date]=$A3)*
              (All_India_Index_Upto_April23__1___1[Sector]="Rural+Urban"),0)),
    INDEX(All_India_Index_Upto_April23__1___1[Meat and fish],
      MATCH(1,(All_India_Index_Upto_April23__1___1[Date]=$A3)*
              (All_India_Index_Upto_April23__1___1[Sector]="Rural+Urban"),0)),
    INDEX(All_India_Index_Upto_April23__1___1[Egg],
      MATCH(1,(All_India_Index_Upto_April23__1___1[Date]=$A3)*
              (All_India_Index_Upto_April23__1___1[Sector]="Rural+Urban"),0)),
    INDEX(All_India_Index_Upto_April23__1___1[Milk and products],
      MATCH(1,(All_India_Index_Upto_April23__1___1[Date]=$A3)*
              (All_India_Index_Upto_April23__1___1[Sector]="Rural+Urban"),0)),
    INDEX(All_India_Index_Upto_April23__1___1[Oils and fats],
      MATCH(1,(All_India_Index_Upto_April23__1___1[Date]=$A3)*
              (All_India_Index_Upto_April23__1___1[Sector]="Rural+Urban"),0)),
    INDEX(All_India_Index_Upto_April23__1___1[Fruits],
      MATCH(1,(All_India_Index_Upto_April23__1___1[Date]=$A3)*
              (All_India_Index_Upto_April23__1___1[Sector]="Rural+Urban"),0)),
    INDEX(All_India_Index_Upto_April23__1___1[Vegetables],
      MATCH(1,(All_India_Index_Upto_April23__1___1[Date]=$A3)*
              (All_India_Index_Upto_April23__1___1[Sector]="Rural+Urban"),0)),
    INDEX(All_India_Index_Upto_April23__1___1[Pulses and products],
      MATCH(1,(All_India_Index_Upto_April23__1___1[Date]=$A3)*
              (All_India_Index_Upto_April23__1___1[Sector]="Rural+Urban"),0)),
    INDEX(All_India_Index_Upto_April23__1___1[Sugar and Confectionery],
      MATCH(1,(All_India_Index_Upto_April23__1___1[Date]=$A3)*
              (All_India_Index_Upto_April23__1___1[Sector]="Rural+Urban"),0)),
    INDEX(All_India_Index_Upto_April23__1___1[Spices],
      MATCH(1,(All_India_Index_Upto_April23__1___1[Date]=$A3)*
              (All_India_Index_Upto_April23__1___1[Sector]="Rural+Urban"),0)),
    INDEX(All_India_Index_Upto_April23__1___1[Non-alcoholic beverages],
      MATCH(1,(All_India_Index_Upto_April23__1___1[Date]=$A3)*
              (All_India_Index_Upto_April23__1___1[Sector]="Rural+Urban"),0)),
    INDEX(All_India_Index_Upto_April23__1___1[Prepared meals, snacks, sweets etc.],
      MATCH(1,(All_India_Index_Upto_April23__1___1[Date]=$A3)*
              (All_India_Index_Upto_April23__1___1[Sector]="Rural+Urban"),0))
  ),
"")</f>
        <v>132.44166666666669</v>
      </c>
      <c r="P3" s="2" cm="1">
        <f t="array" ref="P3">IFERROR(
  AVERAGE(
    INDEX(All_India_Index_Upto_April23__1___1[Cereals and products],
      MATCH(1,(All_India_Index_Upto_April23__1___1[Date]=EDATE($A3,-12))*
              (All_India_Index_Upto_April23__1___1[Sector]="Rural+Urban"),0)),
    INDEX(All_India_Index_Upto_April23__1___1[Meat and fish],
      MATCH(1,(All_India_Index_Upto_April23__1___1[Date]=EDATE($A3,-12))*
              (All_India_Index_Upto_April23__1___1[Sector]="Rural+Urban"),0)),
    INDEX(All_India_Index_Upto_April23__1___1[Egg],
      MATCH(1,(All_India_Index_Upto_April23__1___1[Date]=EDATE($A3,-12))*
              (All_India_Index_Upto_April23__1___1[Sector]="Rural+Urban"),0)),
    INDEX(All_India_Index_Upto_April23__1___1[Milk and products],
      MATCH(1,(All_India_Index_Upto_April23__1___1[Date]=EDATE($A3,-12))*
              (All_India_Index_Upto_April23__1___1[Sector]="Rural+Urban"),0)),
    INDEX(All_India_Index_Upto_April23__1___1[Oils and fats],
      MATCH(1,(All_India_Index_Upto_April23__1___1[Date]=EDATE($A3,-12))*
              (All_India_Index_Upto_April23__1___1[Sector]="Rural+Urban"),0)),
    INDEX(All_India_Index_Upto_April23__1___1[Fruits],
      MATCH(1,(All_India_Index_Upto_April23__1___1[Date]=EDATE($A3,-12))*
              (All_India_Index_Upto_April23__1___1[Sector]="Rural+Urban"),0)),
    INDEX(All_India_Index_Upto_April23__1___1[Vegetables],
      MATCH(1,(All_India_Index_Upto_April23__1___1[Date]=EDATE($A3,-12))*
              (All_India_Index_Upto_April23__1___1[Sector]="Rural+Urban"),0)),
    INDEX(All_India_Index_Upto_April23__1___1[Pulses and products],
      MATCH(1,(All_India_Index_Upto_April23__1___1[Date]=EDATE($A3,-12))*
              (All_India_Index_Upto_April23__1___1[Sector]="Rural+Urban"),0)),
    INDEX(All_India_Index_Upto_April23__1___1[Sugar and Confectionery],
      MATCH(1,(All_India_Index_Upto_April23__1___1[Date]=EDATE($A3,-12))*
              (All_India_Index_Upto_April23__1___1[Sector]="Rural+Urban"),0)),
    INDEX(All_India_Index_Upto_April23__1___1[Spices],
      MATCH(1,(All_India_Index_Upto_April23__1___1[Date]=EDATE($A3,-12))*
              (All_India_Index_Upto_April23__1___1[Sector]="Rural+Urban"),0)),
    INDEX(All_India_Index_Upto_April23__1___1[Non-alcoholic beverages],
      MATCH(1,(All_India_Index_Upto_April23__1___1[Date]=EDATE($A3,-12))*
              (All_India_Index_Upto_April23__1___1[Sector]="Rural+Urban"),0)),
    INDEX(All_India_Index_Upto_April23__1___1[Prepared meals, snacks, sweets etc.],
      MATCH(1,(All_India_Index_Upto_April23__1___1[Date]=EDATE($A3,-12))*
              (All_India_Index_Upto_April23__1___1[Sector]="Rural+Urban"),0))
  ),
"")</f>
        <v>129.01666666666665</v>
      </c>
      <c r="Q3" s="8">
        <f t="shared" ref="Q3:Q66" si="5">IFERROR((O3-P3)/P3,"")</f>
        <v>2.6546957757395996E-2</v>
      </c>
      <c r="R3" cm="1">
        <f t="array" ref="R3">IFERROR(
  INDEX(All_India_Index_Upto_April23__1___1[General index],
    MATCH(1,
      (All_India_Index_Upto_April23__1___1[Date]=$A3)*
      (All_India_Index_Upto_April23__1___1[Sector]="Rural+Urban"),
    0)
  ),
"")</f>
        <v>130.6</v>
      </c>
      <c r="S3" cm="1">
        <f t="array" ref="S3">IFERROR(
  INDEX(All_India_Index_Upto_April23__1___1[General index],
    MATCH(1,
      (All_India_Index_Upto_April23__1___1[Date]=EDATE($A3,-1))*
      (All_India_Index_Upto_April23__1___1[Sector]="Rural+Urban"),
    0)
  ),
"")</f>
        <v>130.30000000000001</v>
      </c>
      <c r="T3" s="8">
        <f t="shared" ref="T3:T66" si="6">IFERROR((R3-S3)/S3,"")</f>
        <v>2.3023791250958016E-3</v>
      </c>
      <c r="V3" s="77">
        <v>44228</v>
      </c>
      <c r="W3" s="8">
        <v>6.7796610169491525E-2</v>
      </c>
      <c r="X3" s="8">
        <v>3.0425963488843813E-2</v>
      </c>
      <c r="Y3" s="8">
        <v>2.2551092318534097E-2</v>
      </c>
      <c r="Z3" s="8">
        <v>6.8877406166600527E-2</v>
      </c>
      <c r="AA3" s="8">
        <v>-4.4500953591863762E-3</v>
      </c>
      <c r="AD3" s="4" t="s">
        <v>454</v>
      </c>
      <c r="AE3" s="3">
        <f>CORREL(W2:W30,Y2:Y30)</f>
        <v>0.25567467017826639</v>
      </c>
      <c r="AF3" t="s">
        <v>458</v>
      </c>
      <c r="AI3" s="4"/>
    </row>
    <row r="4" spans="1:36" x14ac:dyDescent="0.2">
      <c r="A4" s="22">
        <v>42795</v>
      </c>
      <c r="B4">
        <v>2017</v>
      </c>
      <c r="C4" t="s">
        <v>37</v>
      </c>
      <c r="D4" s="2">
        <v>50.9</v>
      </c>
      <c r="E4" s="8">
        <f t="shared" si="1"/>
        <v>2.5540275049115997E-2</v>
      </c>
      <c r="F4" s="8">
        <f t="shared" si="2"/>
        <v>2.5540275049115997E-2</v>
      </c>
      <c r="G4" t="e">
        <f t="shared" si="0"/>
        <v>#N/A</v>
      </c>
      <c r="H4" s="22">
        <v>42795</v>
      </c>
      <c r="I4" cm="1">
        <f t="array" ref="I4">IFERROR(
  INDEX(All_India_Index_Upto_April23__1___1[Fuel and light],
    MATCH(1,
      (All_India_Index_Upto_April23__1___1[Date]=$A4)*
      (All_India_Index_Upto_April23__1___1[Sector]="Rural+Urban"),
    0)
  ),
"")</f>
        <v>129.1</v>
      </c>
      <c r="J4" cm="1">
        <f t="array" ref="J4">IFERROR(
  INDEX(All_India_Index_Upto_April23__1___1[Fuel and light],
    MATCH(1,
      (All_India_Index_Upto_April23__1___1[Date]=EDATE($A4,-1))*
      (All_India_Index_Upto_April23__1___1[Sector]="Rural+Urban"),
    0)
  ),
"")</f>
        <v>127.9</v>
      </c>
      <c r="K4" s="8">
        <f t="shared" si="3"/>
        <v>9.3823299452696525E-3</v>
      </c>
      <c r="L4" cm="1">
        <f t="array" ref="L4">IFERROR(
  INDEX(All_India_Index_Upto_April23__1___1[Transport and communication],
    MATCH(1,
      (All_India_Index_Upto_April23__1___1[Date]=$A4)*
      (All_India_Index_Upto_April23__1___1[Sector]="Rural+Urban"),
    0)
  ),
"")</f>
        <v>117.6</v>
      </c>
      <c r="M4" cm="1">
        <f t="array" ref="M4">IFERROR(
  INDEX(All_India_Index_Upto_April23__1___1[Transport and communication],
    MATCH(1,
      (All_India_Index_Upto_April23__1___1[Date]=EDATE($A4,-1))*
      (All_India_Index_Upto_April23__1___1[Sector]="Rural+Urban"),
    0)
  ),
"")</f>
        <v>117.4</v>
      </c>
      <c r="N4" s="8">
        <f t="shared" si="4"/>
        <v>1.7035775127767344E-3</v>
      </c>
      <c r="O4" s="2" cm="1">
        <f t="array" ref="O4">IFERROR(
  AVERAGE(
    INDEX(All_India_Index_Upto_April23__1___1[Cereals and products],
      MATCH(1,(All_India_Index_Upto_April23__1___1[Date]=$A4)*
              (All_India_Index_Upto_April23__1___1[Sector]="Rural+Urban"),0)),
    INDEX(All_India_Index_Upto_April23__1___1[Meat and fish],
      MATCH(1,(All_India_Index_Upto_April23__1___1[Date]=$A4)*
              (All_India_Index_Upto_April23__1___1[Sector]="Rural+Urban"),0)),
    INDEX(All_India_Index_Upto_April23__1___1[Egg],
      MATCH(1,(All_India_Index_Upto_April23__1___1[Date]=$A4)*
              (All_India_Index_Upto_April23__1___1[Sector]="Rural+Urban"),0)),
    INDEX(All_India_Index_Upto_April23__1___1[Milk and products],
      MATCH(1,(All_India_Index_Upto_April23__1___1[Date]=$A4)*
              (All_India_Index_Upto_April23__1___1[Sector]="Rural+Urban"),0)),
    INDEX(All_India_Index_Upto_April23__1___1[Oils and fats],
      MATCH(1,(All_India_Index_Upto_April23__1___1[Date]=$A4)*
              (All_India_Index_Upto_April23__1___1[Sector]="Rural+Urban"),0)),
    INDEX(All_India_Index_Upto_April23__1___1[Fruits],
      MATCH(1,(All_India_Index_Upto_April23__1___1[Date]=$A4)*
              (All_India_Index_Upto_April23__1___1[Sector]="Rural+Urban"),0)),
    INDEX(All_India_Index_Upto_April23__1___1[Vegetables],
      MATCH(1,(All_India_Index_Upto_April23__1___1[Date]=$A4)*
              (All_India_Index_Upto_April23__1___1[Sector]="Rural+Urban"),0)),
    INDEX(All_India_Index_Upto_April23__1___1[Pulses and products],
      MATCH(1,(All_India_Index_Upto_April23__1___1[Date]=$A4)*
              (All_India_Index_Upto_April23__1___1[Sector]="Rural+Urban"),0)),
    INDEX(All_India_Index_Upto_April23__1___1[Sugar and Confectionery],
      MATCH(1,(All_India_Index_Upto_April23__1___1[Date]=$A4)*
              (All_India_Index_Upto_April23__1___1[Sector]="Rural+Urban"),0)),
    INDEX(All_India_Index_Upto_April23__1___1[Spices],
      MATCH(1,(All_India_Index_Upto_April23__1___1[Date]=$A4)*
              (All_India_Index_Upto_April23__1___1[Sector]="Rural+Urban"),0)),
    INDEX(All_India_Index_Upto_April23__1___1[Non-alcoholic beverages],
      MATCH(1,(All_India_Index_Upto_April23__1___1[Date]=$A4)*
              (All_India_Index_Upto_April23__1___1[Sector]="Rural+Urban"),0)),
    INDEX(All_India_Index_Upto_April23__1___1[Prepared meals, snacks, sweets etc.],
      MATCH(1,(All_India_Index_Upto_April23__1___1[Date]=$A4)*
              (All_India_Index_Upto_April23__1___1[Sector]="Rural+Urban"),0))
  ),
"")</f>
        <v>132.15</v>
      </c>
      <c r="P4" s="2" cm="1">
        <f t="array" ref="P4">IFERROR(
  AVERAGE(
    INDEX(All_India_Index_Upto_April23__1___1[Cereals and products],
      MATCH(1,(All_India_Index_Upto_April23__1___1[Date]=EDATE($A4,-12))*
              (All_India_Index_Upto_April23__1___1[Sector]="Rural+Urban"),0)),
    INDEX(All_India_Index_Upto_April23__1___1[Meat and fish],
      MATCH(1,(All_India_Index_Upto_April23__1___1[Date]=EDATE($A4,-12))*
              (All_India_Index_Upto_April23__1___1[Sector]="Rural+Urban"),0)),
    INDEX(All_India_Index_Upto_April23__1___1[Egg],
      MATCH(1,(All_India_Index_Upto_April23__1___1[Date]=EDATE($A4,-12))*
              (All_India_Index_Upto_April23__1___1[Sector]="Rural+Urban"),0)),
    INDEX(All_India_Index_Upto_April23__1___1[Milk and products],
      MATCH(1,(All_India_Index_Upto_April23__1___1[Date]=EDATE($A4,-12))*
              (All_India_Index_Upto_April23__1___1[Sector]="Rural+Urban"),0)),
    INDEX(All_India_Index_Upto_April23__1___1[Oils and fats],
      MATCH(1,(All_India_Index_Upto_April23__1___1[Date]=EDATE($A4,-12))*
              (All_India_Index_Upto_April23__1___1[Sector]="Rural+Urban"),0)),
    INDEX(All_India_Index_Upto_April23__1___1[Fruits],
      MATCH(1,(All_India_Index_Upto_April23__1___1[Date]=EDATE($A4,-12))*
              (All_India_Index_Upto_April23__1___1[Sector]="Rural+Urban"),0)),
    INDEX(All_India_Index_Upto_April23__1___1[Vegetables],
      MATCH(1,(All_India_Index_Upto_April23__1___1[Date]=EDATE($A4,-12))*
              (All_India_Index_Upto_April23__1___1[Sector]="Rural+Urban"),0)),
    INDEX(All_India_Index_Upto_April23__1___1[Pulses and products],
      MATCH(1,(All_India_Index_Upto_April23__1___1[Date]=EDATE($A4,-12))*
              (All_India_Index_Upto_April23__1___1[Sector]="Rural+Urban"),0)),
    INDEX(All_India_Index_Upto_April23__1___1[Sugar and Confectionery],
      MATCH(1,(All_India_Index_Upto_April23__1___1[Date]=EDATE($A4,-12))*
              (All_India_Index_Upto_April23__1___1[Sector]="Rural+Urban"),0)),
    INDEX(All_India_Index_Upto_April23__1___1[Spices],
      MATCH(1,(All_India_Index_Upto_April23__1___1[Date]=EDATE($A4,-12))*
              (All_India_Index_Upto_April23__1___1[Sector]="Rural+Urban"),0)),
    INDEX(All_India_Index_Upto_April23__1___1[Non-alcoholic beverages],
      MATCH(1,(All_India_Index_Upto_April23__1___1[Date]=EDATE($A4,-12))*
              (All_India_Index_Upto_April23__1___1[Sector]="Rural+Urban"),0)),
    INDEX(All_India_Index_Upto_April23__1___1[Prepared meals, snacks, sweets etc.],
      MATCH(1,(All_India_Index_Upto_April23__1___1[Date]=EDATE($A4,-12))*
              (All_India_Index_Upto_April23__1___1[Sector]="Rural+Urban"),0))
  ),
"")</f>
        <v>128.78333333333333</v>
      </c>
      <c r="Q4" s="8">
        <f t="shared" si="5"/>
        <v>2.6142099132910632E-2</v>
      </c>
      <c r="R4" cm="1">
        <f t="array" ref="R4">IFERROR(
  INDEX(All_India_Index_Upto_April23__1___1[General index],
    MATCH(1,
      (All_India_Index_Upto_April23__1___1[Date]=$A4)*
      (All_India_Index_Upto_April23__1___1[Sector]="Rural+Urban"),
    0)
  ),
"")</f>
        <v>130.9</v>
      </c>
      <c r="S4" cm="1">
        <f t="array" ref="S4">IFERROR(
  INDEX(All_India_Index_Upto_April23__1___1[General index],
    MATCH(1,
      (All_India_Index_Upto_April23__1___1[Date]=EDATE($A4,-1))*
      (All_India_Index_Upto_April23__1___1[Sector]="Rural+Urban"),
    0)
  ),
"")</f>
        <v>130.6</v>
      </c>
      <c r="T4" s="8">
        <f t="shared" si="6"/>
        <v>2.2970903522206076E-3</v>
      </c>
      <c r="V4" s="77">
        <v>44256</v>
      </c>
      <c r="W4" s="8">
        <v>-1.5873015873015872E-2</v>
      </c>
      <c r="X4" s="8">
        <v>2.0341207349081326E-2</v>
      </c>
      <c r="Y4" s="8">
        <v>7.5809786354238068E-3</v>
      </c>
      <c r="Z4" s="8">
        <v>7.7984540509590569E-2</v>
      </c>
      <c r="AA4" s="8">
        <v>1.2771392081737999E-3</v>
      </c>
      <c r="AD4" s="4" t="s">
        <v>455</v>
      </c>
      <c r="AE4" s="3">
        <f>CORREL(W2:W30,Z2:Z30)</f>
        <v>4.3254790247784336E-2</v>
      </c>
      <c r="AF4" t="s">
        <v>459</v>
      </c>
      <c r="AI4" s="4"/>
    </row>
    <row r="5" spans="1:36" x14ac:dyDescent="0.2">
      <c r="A5" s="22">
        <v>42826</v>
      </c>
      <c r="B5">
        <v>2017</v>
      </c>
      <c r="C5" t="s">
        <v>38</v>
      </c>
      <c r="D5" s="2">
        <v>52.2</v>
      </c>
      <c r="E5" s="8">
        <f t="shared" si="1"/>
        <v>-4.4061302681992418E-2</v>
      </c>
      <c r="F5" s="8">
        <f t="shared" si="2"/>
        <v>-4.4061302681992418E-2</v>
      </c>
      <c r="G5" t="e">
        <f t="shared" si="0"/>
        <v>#N/A</v>
      </c>
      <c r="H5" s="22">
        <v>42826</v>
      </c>
      <c r="I5" cm="1">
        <f t="array" ref="I5">IFERROR(
  INDEX(All_India_Index_Upto_April23__1___1[Fuel and light],
    MATCH(1,
      (All_India_Index_Upto_April23__1___1[Date]=$A5)*
      (All_India_Index_Upto_April23__1___1[Sector]="Rural+Urban"),
    0)
  ),
"")</f>
        <v>129.80000000000001</v>
      </c>
      <c r="J5" cm="1">
        <f t="array" ref="J5">IFERROR(
  INDEX(All_India_Index_Upto_April23__1___1[Fuel and light],
    MATCH(1,
      (All_India_Index_Upto_April23__1___1[Date]=EDATE($A5,-1))*
      (All_India_Index_Upto_April23__1___1[Sector]="Rural+Urban"),
    0)
  ),
"")</f>
        <v>129.1</v>
      </c>
      <c r="K5" s="8">
        <f t="shared" si="3"/>
        <v>5.4221533694811547E-3</v>
      </c>
      <c r="L5" cm="1">
        <f t="array" ref="L5">IFERROR(
  INDEX(All_India_Index_Upto_April23__1___1[Transport and communication],
    MATCH(1,
      (All_India_Index_Upto_April23__1___1[Date]=$A5)*
      (All_India_Index_Upto_April23__1___1[Sector]="Rural+Urban"),
    0)
  ),
"")</f>
        <v>116.6</v>
      </c>
      <c r="M5" cm="1">
        <f t="array" ref="M5">IFERROR(
  INDEX(All_India_Index_Upto_April23__1___1[Transport and communication],
    MATCH(1,
      (All_India_Index_Upto_April23__1___1[Date]=EDATE($A5,-1))*
      (All_India_Index_Upto_April23__1___1[Sector]="Rural+Urban"),
    0)
  ),
"")</f>
        <v>117.6</v>
      </c>
      <c r="N5" s="8">
        <f t="shared" si="4"/>
        <v>-8.5034013605442185E-3</v>
      </c>
      <c r="O5" s="2" cm="1">
        <f t="array" ref="O5">IFERROR(
  AVERAGE(
    INDEX(All_India_Index_Upto_April23__1___1[Cereals and products],
      MATCH(1,(All_India_Index_Upto_April23__1___1[Date]=$A5)*
              (All_India_Index_Upto_April23__1___1[Sector]="Rural+Urban"),0)),
    INDEX(All_India_Index_Upto_April23__1___1[Meat and fish],
      MATCH(1,(All_India_Index_Upto_April23__1___1[Date]=$A5)*
              (All_India_Index_Upto_April23__1___1[Sector]="Rural+Urban"),0)),
    INDEX(All_India_Index_Upto_April23__1___1[Egg],
      MATCH(1,(All_India_Index_Upto_April23__1___1[Date]=$A5)*
              (All_India_Index_Upto_April23__1___1[Sector]="Rural+Urban"),0)),
    INDEX(All_India_Index_Upto_April23__1___1[Milk and products],
      MATCH(1,(All_India_Index_Upto_April23__1___1[Date]=$A5)*
              (All_India_Index_Upto_April23__1___1[Sector]="Rural+Urban"),0)),
    INDEX(All_India_Index_Upto_April23__1___1[Oils and fats],
      MATCH(1,(All_India_Index_Upto_April23__1___1[Date]=$A5)*
              (All_India_Index_Upto_April23__1___1[Sector]="Rural+Urban"),0)),
    INDEX(All_India_Index_Upto_April23__1___1[Fruits],
      MATCH(1,(All_India_Index_Upto_April23__1___1[Date]=$A5)*
              (All_India_Index_Upto_April23__1___1[Sector]="Rural+Urban"),0)),
    INDEX(All_India_Index_Upto_April23__1___1[Vegetables],
      MATCH(1,(All_India_Index_Upto_April23__1___1[Date]=$A5)*
              (All_India_Index_Upto_April23__1___1[Sector]="Rural+Urban"),0)),
    INDEX(All_India_Index_Upto_April23__1___1[Pulses and products],
      MATCH(1,(All_India_Index_Upto_April23__1___1[Date]=$A5)*
              (All_India_Index_Upto_April23__1___1[Sector]="Rural+Urban"),0)),
    INDEX(All_India_Index_Upto_April23__1___1[Sugar and Confectionery],
      MATCH(1,(All_India_Index_Upto_April23__1___1[Date]=$A5)*
              (All_India_Index_Upto_April23__1___1[Sector]="Rural+Urban"),0)),
    INDEX(All_India_Index_Upto_April23__1___1[Spices],
      MATCH(1,(All_India_Index_Upto_April23__1___1[Date]=$A5)*
              (All_India_Index_Upto_April23__1___1[Sector]="Rural+Urban"),0)),
    INDEX(All_India_Index_Upto_April23__1___1[Non-alcoholic beverages],
      MATCH(1,(All_India_Index_Upto_April23__1___1[Date]=$A5)*
              (All_India_Index_Upto_April23__1___1[Sector]="Rural+Urban"),0)),
    INDEX(All_India_Index_Upto_April23__1___1[Prepared meals, snacks, sweets etc.],
      MATCH(1,(All_India_Index_Upto_April23__1___1[Date]=$A5)*
              (All_India_Index_Upto_April23__1___1[Sector]="Rural+Urban"),0))
  ),
"")</f>
        <v>132.07500000000002</v>
      </c>
      <c r="P5" s="2" cm="1">
        <f t="array" ref="P5">IFERROR(
  AVERAGE(
    INDEX(All_India_Index_Upto_April23__1___1[Cereals and products],
      MATCH(1,(All_India_Index_Upto_April23__1___1[Date]=EDATE($A5,-12))*
              (All_India_Index_Upto_April23__1___1[Sector]="Rural+Urban"),0)),
    INDEX(All_India_Index_Upto_April23__1___1[Meat and fish],
      MATCH(1,(All_India_Index_Upto_April23__1___1[Date]=EDATE($A5,-12))*
              (All_India_Index_Upto_April23__1___1[Sector]="Rural+Urban"),0)),
    INDEX(All_India_Index_Upto_April23__1___1[Egg],
      MATCH(1,(All_India_Index_Upto_April23__1___1[Date]=EDATE($A5,-12))*
              (All_India_Index_Upto_April23__1___1[Sector]="Rural+Urban"),0)),
    INDEX(All_India_Index_Upto_April23__1___1[Milk and products],
      MATCH(1,(All_India_Index_Upto_April23__1___1[Date]=EDATE($A5,-12))*
              (All_India_Index_Upto_April23__1___1[Sector]="Rural+Urban"),0)),
    INDEX(All_India_Index_Upto_April23__1___1[Oils and fats],
      MATCH(1,(All_India_Index_Upto_April23__1___1[Date]=EDATE($A5,-12))*
              (All_India_Index_Upto_April23__1___1[Sector]="Rural+Urban"),0)),
    INDEX(All_India_Index_Upto_April23__1___1[Fruits],
      MATCH(1,(All_India_Index_Upto_April23__1___1[Date]=EDATE($A5,-12))*
              (All_India_Index_Upto_April23__1___1[Sector]="Rural+Urban"),0)),
    INDEX(All_India_Index_Upto_April23__1___1[Vegetables],
      MATCH(1,(All_India_Index_Upto_April23__1___1[Date]=EDATE($A5,-12))*
              (All_India_Index_Upto_April23__1___1[Sector]="Rural+Urban"),0)),
    INDEX(All_India_Index_Upto_April23__1___1[Pulses and products],
      MATCH(1,(All_India_Index_Upto_April23__1___1[Date]=EDATE($A5,-12))*
              (All_India_Index_Upto_April23__1___1[Sector]="Rural+Urban"),0)),
    INDEX(All_India_Index_Upto_April23__1___1[Sugar and Confectionery],
      MATCH(1,(All_India_Index_Upto_April23__1___1[Date]=EDATE($A5,-12))*
              (All_India_Index_Upto_April23__1___1[Sector]="Rural+Urban"),0)),
    INDEX(All_India_Index_Upto_April23__1___1[Spices],
      MATCH(1,(All_India_Index_Upto_April23__1___1[Date]=EDATE($A5,-12))*
              (All_India_Index_Upto_April23__1___1[Sector]="Rural+Urban"),0)),
    INDEX(All_India_Index_Upto_April23__1___1[Non-alcoholic beverages],
      MATCH(1,(All_India_Index_Upto_April23__1___1[Date]=EDATE($A5,-12))*
              (All_India_Index_Upto_April23__1___1[Sector]="Rural+Urban"),0)),
    INDEX(All_India_Index_Upto_April23__1___1[Prepared meals, snacks, sweets etc.],
      MATCH(1,(All_India_Index_Upto_April23__1___1[Date]=EDATE($A5,-12))*
              (All_India_Index_Upto_April23__1___1[Sector]="Rural+Urban"),0))
  ),
"")</f>
        <v>130.79166666666666</v>
      </c>
      <c r="Q5" s="8">
        <f t="shared" si="5"/>
        <v>9.8120420516089966E-3</v>
      </c>
      <c r="R5" cm="1">
        <f t="array" ref="R5">IFERROR(
  INDEX(All_India_Index_Upto_April23__1___1[General index],
    MATCH(1,
      (All_India_Index_Upto_April23__1___1[Date]=$A5)*
      (All_India_Index_Upto_April23__1___1[Sector]="Rural+Urban"),
    0)
  ),
"")</f>
        <v>131.1</v>
      </c>
      <c r="S5" cm="1">
        <f t="array" ref="S5">IFERROR(
  INDEX(All_India_Index_Upto_April23__1___1[General index],
    MATCH(1,
      (All_India_Index_Upto_April23__1___1[Date]=EDATE($A5,-1))*
      (All_India_Index_Upto_April23__1___1[Sector]="Rural+Urban"),
    0)
  ),
"")</f>
        <v>130.9</v>
      </c>
      <c r="T5" s="8">
        <f t="shared" si="6"/>
        <v>1.5278838808249703E-3</v>
      </c>
      <c r="V5" s="77">
        <v>44287</v>
      </c>
      <c r="W5" s="8">
        <v>6.4516129032258063E-2</v>
      </c>
      <c r="X5" s="8">
        <v>6.4308681672022071E-4</v>
      </c>
      <c r="Y5" s="8">
        <v>2.7359781121751416E-3</v>
      </c>
      <c r="Z5" s="8">
        <v>5.289032507526182E-2</v>
      </c>
      <c r="AA5" s="8">
        <v>6.3775510204081625E-3</v>
      </c>
      <c r="AD5" s="4" t="s">
        <v>456</v>
      </c>
      <c r="AE5" s="3">
        <f>CORREL(W2:W30,AA2:AA30)</f>
        <v>-0.37159051457101661</v>
      </c>
      <c r="AF5" t="s">
        <v>460</v>
      </c>
      <c r="AI5" s="4"/>
    </row>
    <row r="6" spans="1:36" x14ac:dyDescent="0.2">
      <c r="A6" s="22">
        <v>42856</v>
      </c>
      <c r="B6">
        <v>2017</v>
      </c>
      <c r="C6" t="s">
        <v>40</v>
      </c>
      <c r="D6" s="2">
        <v>49.9</v>
      </c>
      <c r="E6" s="8">
        <f t="shared" si="1"/>
        <v>-7.4148296593186294E-2</v>
      </c>
      <c r="F6" s="8">
        <f t="shared" si="2"/>
        <v>-7.4148296593186294E-2</v>
      </c>
      <c r="G6" t="e">
        <f t="shared" si="0"/>
        <v>#N/A</v>
      </c>
      <c r="H6" s="22">
        <v>42856</v>
      </c>
      <c r="I6" cm="1">
        <f t="array" ref="I6">IFERROR(
  INDEX(All_India_Index_Upto_April23__1___1[Fuel and light],
    MATCH(1,
      (All_India_Index_Upto_April23__1___1[Date]=$A6)*
      (All_India_Index_Upto_April23__1___1[Sector]="Rural+Urban"),
    0)
  ),
"")</f>
        <v>129.4</v>
      </c>
      <c r="J6" cm="1">
        <f t="array" ref="J6">IFERROR(
  INDEX(All_India_Index_Upto_April23__1___1[Fuel and light],
    MATCH(1,
      (All_India_Index_Upto_April23__1___1[Date]=EDATE($A6,-1))*
      (All_India_Index_Upto_April23__1___1[Sector]="Rural+Urban"),
    0)
  ),
"")</f>
        <v>129.80000000000001</v>
      </c>
      <c r="K6" s="8">
        <f t="shared" si="3"/>
        <v>-3.0816640986132946E-3</v>
      </c>
      <c r="L6" cm="1">
        <f t="array" ref="L6">IFERROR(
  INDEX(All_India_Index_Upto_April23__1___1[Transport and communication],
    MATCH(1,
      (All_India_Index_Upto_April23__1___1[Date]=$A6)*
      (All_India_Index_Upto_April23__1___1[Sector]="Rural+Urban"),
    0)
  ),
"")</f>
        <v>116.7</v>
      </c>
      <c r="M6" cm="1">
        <f t="array" ref="M6">IFERROR(
  INDEX(All_India_Index_Upto_April23__1___1[Transport and communication],
    MATCH(1,
      (All_India_Index_Upto_April23__1___1[Date]=EDATE($A6,-1))*
      (All_India_Index_Upto_April23__1___1[Sector]="Rural+Urban"),
    0)
  ),
"")</f>
        <v>116.6</v>
      </c>
      <c r="N6" s="8">
        <f t="shared" si="4"/>
        <v>8.5763293310470439E-4</v>
      </c>
      <c r="O6" s="2" cm="1">
        <f t="array" ref="O6">IFERROR(
  AVERAGE(
    INDEX(All_India_Index_Upto_April23__1___1[Cereals and products],
      MATCH(1,(All_India_Index_Upto_April23__1___1[Date]=$A6)*
              (All_India_Index_Upto_April23__1___1[Sector]="Rural+Urban"),0)),
    INDEX(All_India_Index_Upto_April23__1___1[Meat and fish],
      MATCH(1,(All_India_Index_Upto_April23__1___1[Date]=$A6)*
              (All_India_Index_Upto_April23__1___1[Sector]="Rural+Urban"),0)),
    INDEX(All_India_Index_Upto_April23__1___1[Egg],
      MATCH(1,(All_India_Index_Upto_April23__1___1[Date]=$A6)*
              (All_India_Index_Upto_April23__1___1[Sector]="Rural+Urban"),0)),
    INDEX(All_India_Index_Upto_April23__1___1[Milk and products],
      MATCH(1,(All_India_Index_Upto_April23__1___1[Date]=$A6)*
              (All_India_Index_Upto_April23__1___1[Sector]="Rural+Urban"),0)),
    INDEX(All_India_Index_Upto_April23__1___1[Oils and fats],
      MATCH(1,(All_India_Index_Upto_April23__1___1[Date]=$A6)*
              (All_India_Index_Upto_April23__1___1[Sector]="Rural+Urban"),0)),
    INDEX(All_India_Index_Upto_April23__1___1[Fruits],
      MATCH(1,(All_India_Index_Upto_April23__1___1[Date]=$A6)*
              (All_India_Index_Upto_April23__1___1[Sector]="Rural+Urban"),0)),
    INDEX(All_India_Index_Upto_April23__1___1[Vegetables],
      MATCH(1,(All_India_Index_Upto_April23__1___1[Date]=$A6)*
              (All_India_Index_Upto_April23__1___1[Sector]="Rural+Urban"),0)),
    INDEX(All_India_Index_Upto_April23__1___1[Pulses and products],
      MATCH(1,(All_India_Index_Upto_April23__1___1[Date]=$A6)*
              (All_India_Index_Upto_April23__1___1[Sector]="Rural+Urban"),0)),
    INDEX(All_India_Index_Upto_April23__1___1[Sugar and Confectionery],
      MATCH(1,(All_India_Index_Upto_April23__1___1[Date]=$A6)*
              (All_India_Index_Upto_April23__1___1[Sector]="Rural+Urban"),0)),
    INDEX(All_India_Index_Upto_April23__1___1[Spices],
      MATCH(1,(All_India_Index_Upto_April23__1___1[Date]=$A6)*
              (All_India_Index_Upto_April23__1___1[Sector]="Rural+Urban"),0)),
    INDEX(All_India_Index_Upto_April23__1___1[Non-alcoholic beverages],
      MATCH(1,(All_India_Index_Upto_April23__1___1[Date]=$A6)*
              (All_India_Index_Upto_April23__1___1[Sector]="Rural+Urban"),0)),
    INDEX(All_India_Index_Upto_April23__1___1[Prepared meals, snacks, sweets etc.],
      MATCH(1,(All_India_Index_Upto_April23__1___1[Date]=$A6)*
              (All_India_Index_Upto_April23__1___1[Sector]="Rural+Urban"),0))
  ),
"")</f>
        <v>132.15833333333333</v>
      </c>
      <c r="P6" s="2" cm="1">
        <f t="array" ref="P6">IFERROR(
  AVERAGE(
    INDEX(All_India_Index_Upto_April23__1___1[Cereals and products],
      MATCH(1,(All_India_Index_Upto_April23__1___1[Date]=EDATE($A6,-12))*
              (All_India_Index_Upto_April23__1___1[Sector]="Rural+Urban"),0)),
    INDEX(All_India_Index_Upto_April23__1___1[Meat and fish],
      MATCH(1,(All_India_Index_Upto_April23__1___1[Date]=EDATE($A6,-12))*
              (All_India_Index_Upto_April23__1___1[Sector]="Rural+Urban"),0)),
    INDEX(All_India_Index_Upto_April23__1___1[Egg],
      MATCH(1,(All_India_Index_Upto_April23__1___1[Date]=EDATE($A6,-12))*
              (All_India_Index_Upto_April23__1___1[Sector]="Rural+Urban"),0)),
    INDEX(All_India_Index_Upto_April23__1___1[Milk and products],
      MATCH(1,(All_India_Index_Upto_April23__1___1[Date]=EDATE($A6,-12))*
              (All_India_Index_Upto_April23__1___1[Sector]="Rural+Urban"),0)),
    INDEX(All_India_Index_Upto_April23__1___1[Oils and fats],
      MATCH(1,(All_India_Index_Upto_April23__1___1[Date]=EDATE($A6,-12))*
              (All_India_Index_Upto_April23__1___1[Sector]="Rural+Urban"),0)),
    INDEX(All_India_Index_Upto_April23__1___1[Fruits],
      MATCH(1,(All_India_Index_Upto_April23__1___1[Date]=EDATE($A6,-12))*
              (All_India_Index_Upto_April23__1___1[Sector]="Rural+Urban"),0)),
    INDEX(All_India_Index_Upto_April23__1___1[Vegetables],
      MATCH(1,(All_India_Index_Upto_April23__1___1[Date]=EDATE($A6,-12))*
              (All_India_Index_Upto_April23__1___1[Sector]="Rural+Urban"),0)),
    INDEX(All_India_Index_Upto_April23__1___1[Pulses and products],
      MATCH(1,(All_India_Index_Upto_April23__1___1[Date]=EDATE($A6,-12))*
              (All_India_Index_Upto_April23__1___1[Sector]="Rural+Urban"),0)),
    INDEX(All_India_Index_Upto_April23__1___1[Sugar and Confectionery],
      MATCH(1,(All_India_Index_Upto_April23__1___1[Date]=EDATE($A6,-12))*
              (All_India_Index_Upto_April23__1___1[Sector]="Rural+Urban"),0)),
    INDEX(All_India_Index_Upto_April23__1___1[Spices],
      MATCH(1,(All_India_Index_Upto_April23__1___1[Date]=EDATE($A6,-12))*
              (All_India_Index_Upto_April23__1___1[Sector]="Rural+Urban"),0)),
    INDEX(All_India_Index_Upto_April23__1___1[Non-alcoholic beverages],
      MATCH(1,(All_India_Index_Upto_April23__1___1[Date]=EDATE($A6,-12))*
              (All_India_Index_Upto_April23__1___1[Sector]="Rural+Urban"),0)),
    INDEX(All_India_Index_Upto_April23__1___1[Prepared meals, snacks, sweets etc.],
      MATCH(1,(All_India_Index_Upto_April23__1___1[Date]=EDATE($A6,-12))*
              (All_India_Index_Upto_April23__1___1[Sector]="Rural+Urban"),0))
  ),
"")</f>
        <v>133.03333333333333</v>
      </c>
      <c r="Q6" s="8">
        <f t="shared" si="5"/>
        <v>-6.5772989225757958E-3</v>
      </c>
      <c r="R6" cm="1">
        <f t="array" ref="R6">IFERROR(
  INDEX(All_India_Index_Upto_April23__1___1[General index],
    MATCH(1,
      (All_India_Index_Upto_April23__1___1[Date]=$A6)*
      (All_India_Index_Upto_April23__1___1[Sector]="Rural+Urban"),
    0)
  ),
"")</f>
        <v>131.4</v>
      </c>
      <c r="S6" cm="1">
        <f t="array" ref="S6">IFERROR(
  INDEX(All_India_Index_Upto_April23__1___1[General index],
    MATCH(1,
      (All_India_Index_Upto_April23__1___1[Date]=EDATE($A6,-1))*
      (All_India_Index_Upto_April23__1___1[Sector]="Rural+Urban"),
    0)
  ),
"")</f>
        <v>131.1</v>
      </c>
      <c r="T6" s="8">
        <f t="shared" si="6"/>
        <v>2.2883295194508877E-3</v>
      </c>
      <c r="V6" s="77">
        <v>44317</v>
      </c>
      <c r="W6" s="8">
        <v>9.0909090909090912E-2</v>
      </c>
      <c r="X6" s="8">
        <v>2.4421593830334265E-2</v>
      </c>
      <c r="Y6" s="8">
        <v>1.568894952251031E-2</v>
      </c>
      <c r="Z6" s="8">
        <v>8.091586084250299E-2</v>
      </c>
      <c r="AA6" s="8">
        <v>1.6476552598225565E-2</v>
      </c>
    </row>
    <row r="7" spans="1:36" x14ac:dyDescent="0.2">
      <c r="A7" s="22">
        <v>42887</v>
      </c>
      <c r="B7">
        <v>2017</v>
      </c>
      <c r="C7" t="s">
        <v>41</v>
      </c>
      <c r="D7" s="2">
        <v>46.2</v>
      </c>
      <c r="E7" s="8">
        <f t="shared" si="1"/>
        <v>3.2467532467532464E-2</v>
      </c>
      <c r="F7" s="8">
        <f t="shared" si="2"/>
        <v>3.2467532467532464E-2</v>
      </c>
      <c r="G7" t="e">
        <f t="shared" si="0"/>
        <v>#N/A</v>
      </c>
      <c r="H7" s="22">
        <v>42887</v>
      </c>
      <c r="I7" cm="1">
        <f t="array" ref="I7">IFERROR(
  INDEX(All_India_Index_Upto_April23__1___1[Fuel and light],
    MATCH(1,
      (All_India_Index_Upto_April23__1___1[Date]=$A7)*
      (All_India_Index_Upto_April23__1___1[Sector]="Rural+Urban"),
    0)
  ),
"")</f>
        <v>128.80000000000001</v>
      </c>
      <c r="J7" cm="1">
        <f t="array" ref="J7">IFERROR(
  INDEX(All_India_Index_Upto_April23__1___1[Fuel and light],
    MATCH(1,
      (All_India_Index_Upto_April23__1___1[Date]=EDATE($A7,-1))*
      (All_India_Index_Upto_April23__1___1[Sector]="Rural+Urban"),
    0)
  ),
"")</f>
        <v>129.4</v>
      </c>
      <c r="K7" s="8">
        <f t="shared" si="3"/>
        <v>-4.6367851622874361E-3</v>
      </c>
      <c r="L7" cm="1">
        <f t="array" ref="L7">IFERROR(
  INDEX(All_India_Index_Upto_April23__1___1[Transport and communication],
    MATCH(1,
      (All_India_Index_Upto_April23__1___1[Date]=$A7)*
      (All_India_Index_Upto_April23__1___1[Sector]="Rural+Urban"),
    0)
  ),
"")</f>
        <v>116.5</v>
      </c>
      <c r="M7" cm="1">
        <f t="array" ref="M7">IFERROR(
  INDEX(All_India_Index_Upto_April23__1___1[Transport and communication],
    MATCH(1,
      (All_India_Index_Upto_April23__1___1[Date]=EDATE($A7,-1))*
      (All_India_Index_Upto_April23__1___1[Sector]="Rural+Urban"),
    0)
  ),
"")</f>
        <v>116.7</v>
      </c>
      <c r="N7" s="8">
        <f t="shared" si="4"/>
        <v>-1.7137960582690904E-3</v>
      </c>
      <c r="O7" s="2" cm="1">
        <f t="array" ref="O7">IFERROR(
  AVERAGE(
    INDEX(All_India_Index_Upto_April23__1___1[Cereals and products],
      MATCH(1,(All_India_Index_Upto_April23__1___1[Date]=$A7)*
              (All_India_Index_Upto_April23__1___1[Sector]="Rural+Urban"),0)),
    INDEX(All_India_Index_Upto_April23__1___1[Meat and fish],
      MATCH(1,(All_India_Index_Upto_April23__1___1[Date]=$A7)*
              (All_India_Index_Upto_April23__1___1[Sector]="Rural+Urban"),0)),
    INDEX(All_India_Index_Upto_April23__1___1[Egg],
      MATCH(1,(All_India_Index_Upto_April23__1___1[Date]=$A7)*
              (All_India_Index_Upto_April23__1___1[Sector]="Rural+Urban"),0)),
    INDEX(All_India_Index_Upto_April23__1___1[Milk and products],
      MATCH(1,(All_India_Index_Upto_April23__1___1[Date]=$A7)*
              (All_India_Index_Upto_April23__1___1[Sector]="Rural+Urban"),0)),
    INDEX(All_India_Index_Upto_April23__1___1[Oils and fats],
      MATCH(1,(All_India_Index_Upto_April23__1___1[Date]=$A7)*
              (All_India_Index_Upto_April23__1___1[Sector]="Rural+Urban"),0)),
    INDEX(All_India_Index_Upto_April23__1___1[Fruits],
      MATCH(1,(All_India_Index_Upto_April23__1___1[Date]=$A7)*
              (All_India_Index_Upto_April23__1___1[Sector]="Rural+Urban"),0)),
    INDEX(All_India_Index_Upto_April23__1___1[Vegetables],
      MATCH(1,(All_India_Index_Upto_April23__1___1[Date]=$A7)*
              (All_India_Index_Upto_April23__1___1[Sector]="Rural+Urban"),0)),
    INDEX(All_India_Index_Upto_April23__1___1[Pulses and products],
      MATCH(1,(All_India_Index_Upto_April23__1___1[Date]=$A7)*
              (All_India_Index_Upto_April23__1___1[Sector]="Rural+Urban"),0)),
    INDEX(All_India_Index_Upto_April23__1___1[Sugar and Confectionery],
      MATCH(1,(All_India_Index_Upto_April23__1___1[Date]=$A7)*
              (All_India_Index_Upto_April23__1___1[Sector]="Rural+Urban"),0)),
    INDEX(All_India_Index_Upto_April23__1___1[Spices],
      MATCH(1,(All_India_Index_Upto_April23__1___1[Date]=$A7)*
              (All_India_Index_Upto_April23__1___1[Sector]="Rural+Urban"),0)),
    INDEX(All_India_Index_Upto_April23__1___1[Non-alcoholic beverages],
      MATCH(1,(All_India_Index_Upto_April23__1___1[Date]=$A7)*
              (All_India_Index_Upto_April23__1___1[Sector]="Rural+Urban"),0)),
    INDEX(All_India_Index_Upto_April23__1___1[Prepared meals, snacks, sweets etc.],
      MATCH(1,(All_India_Index_Upto_April23__1___1[Date]=$A7)*
              (All_India_Index_Upto_April23__1___1[Sector]="Rural+Urban"),0))
  ),
"")</f>
        <v>133.29166666666666</v>
      </c>
      <c r="P7" s="2" cm="1">
        <f t="array" ref="P7">IFERROR(
  AVERAGE(
    INDEX(All_India_Index_Upto_April23__1___1[Cereals and products],
      MATCH(1,(All_India_Index_Upto_April23__1___1[Date]=EDATE($A7,-12))*
              (All_India_Index_Upto_April23__1___1[Sector]="Rural+Urban"),0)),
    INDEX(All_India_Index_Upto_April23__1___1[Meat and fish],
      MATCH(1,(All_India_Index_Upto_April23__1___1[Date]=EDATE($A7,-12))*
              (All_India_Index_Upto_April23__1___1[Sector]="Rural+Urban"),0)),
    INDEX(All_India_Index_Upto_April23__1___1[Egg],
      MATCH(1,(All_India_Index_Upto_April23__1___1[Date]=EDATE($A7,-12))*
              (All_India_Index_Upto_April23__1___1[Sector]="Rural+Urban"),0)),
    INDEX(All_India_Index_Upto_April23__1___1[Milk and products],
      MATCH(1,(All_India_Index_Upto_April23__1___1[Date]=EDATE($A7,-12))*
              (All_India_Index_Upto_April23__1___1[Sector]="Rural+Urban"),0)),
    INDEX(All_India_Index_Upto_April23__1___1[Oils and fats],
      MATCH(1,(All_India_Index_Upto_April23__1___1[Date]=EDATE($A7,-12))*
              (All_India_Index_Upto_April23__1___1[Sector]="Rural+Urban"),0)),
    INDEX(All_India_Index_Upto_April23__1___1[Fruits],
      MATCH(1,(All_India_Index_Upto_April23__1___1[Date]=EDATE($A7,-12))*
              (All_India_Index_Upto_April23__1___1[Sector]="Rural+Urban"),0)),
    INDEX(All_India_Index_Upto_April23__1___1[Vegetables],
      MATCH(1,(All_India_Index_Upto_April23__1___1[Date]=EDATE($A7,-12))*
              (All_India_Index_Upto_April23__1___1[Sector]="Rural+Urban"),0)),
    INDEX(All_India_Index_Upto_April23__1___1[Pulses and products],
      MATCH(1,(All_India_Index_Upto_April23__1___1[Date]=EDATE($A7,-12))*
              (All_India_Index_Upto_April23__1___1[Sector]="Rural+Urban"),0)),
    INDEX(All_India_Index_Upto_April23__1___1[Sugar and Confectionery],
      MATCH(1,(All_India_Index_Upto_April23__1___1[Date]=EDATE($A7,-12))*
              (All_India_Index_Upto_April23__1___1[Sector]="Rural+Urban"),0)),
    INDEX(All_India_Index_Upto_April23__1___1[Spices],
      MATCH(1,(All_India_Index_Upto_April23__1___1[Date]=EDATE($A7,-12))*
              (All_India_Index_Upto_April23__1___1[Sector]="Rural+Urban"),0)),
    INDEX(All_India_Index_Upto_April23__1___1[Non-alcoholic beverages],
      MATCH(1,(All_India_Index_Upto_April23__1___1[Date]=EDATE($A7,-12))*
              (All_India_Index_Upto_April23__1___1[Sector]="Rural+Urban"),0)),
    INDEX(All_India_Index_Upto_April23__1___1[Prepared meals, snacks, sweets etc.],
      MATCH(1,(All_India_Index_Upto_April23__1___1[Date]=EDATE($A7,-12))*
              (All_India_Index_Upto_April23__1___1[Sector]="Rural+Urban"),0))
  ),
"")</f>
        <v>135.31666666666666</v>
      </c>
      <c r="Q7" s="8">
        <f t="shared" si="5"/>
        <v>-1.4964897154822064E-2</v>
      </c>
      <c r="R7" cm="1">
        <f t="array" ref="R7">IFERROR(
  INDEX(All_India_Index_Upto_April23__1___1[General index],
    MATCH(1,
      (All_India_Index_Upto_April23__1___1[Date]=$A7)*
      (All_India_Index_Upto_April23__1___1[Sector]="Rural+Urban"),
    0)
  ),
"")</f>
        <v>132</v>
      </c>
      <c r="S7" cm="1">
        <f t="array" ref="S7">IFERROR(
  INDEX(All_India_Index_Upto_April23__1___1[General index],
    MATCH(1,
      (All_India_Index_Upto_April23__1___1[Date]=EDATE($A7,-1))*
      (All_India_Index_Upto_April23__1___1[Sector]="Rural+Urban"),
    0)
  ),
"")</f>
        <v>131.4</v>
      </c>
      <c r="T7" s="8">
        <f t="shared" si="6"/>
        <v>4.5662100456620568E-3</v>
      </c>
      <c r="V7" s="77">
        <v>44348</v>
      </c>
      <c r="W7" s="8">
        <v>2.7777777777777776E-2</v>
      </c>
      <c r="X7" s="8">
        <v>2.5094102885822186E-3</v>
      </c>
      <c r="Y7" s="8">
        <v>1.2088650100738636E-2</v>
      </c>
      <c r="Z7" s="8">
        <v>8.7433804060017509E-2</v>
      </c>
      <c r="AA7" s="8">
        <v>5.6109725685785893E-3</v>
      </c>
    </row>
    <row r="8" spans="1:36" x14ac:dyDescent="0.2">
      <c r="A8" s="22">
        <v>42917</v>
      </c>
      <c r="B8">
        <v>2017</v>
      </c>
      <c r="C8" t="s">
        <v>43</v>
      </c>
      <c r="D8" s="2">
        <v>47.7</v>
      </c>
      <c r="E8" s="8">
        <f t="shared" si="1"/>
        <v>4.6121593291404521E-2</v>
      </c>
      <c r="F8" s="8">
        <f t="shared" si="2"/>
        <v>4.6121593291404521E-2</v>
      </c>
      <c r="G8" t="e">
        <f t="shared" si="0"/>
        <v>#N/A</v>
      </c>
      <c r="H8" s="22">
        <v>42917</v>
      </c>
      <c r="I8" cm="1">
        <f t="array" ref="I8">IFERROR(
  INDEX(All_India_Index_Upto_April23__1___1[Fuel and light],
    MATCH(1,
      (All_India_Index_Upto_April23__1___1[Date]=$A8)*
      (All_India_Index_Upto_April23__1___1[Sector]="Rural+Urban"),
    0)
  ),
"")</f>
        <v>129.4</v>
      </c>
      <c r="J8" cm="1">
        <f t="array" ref="J8">IFERROR(
  INDEX(All_India_Index_Upto_April23__1___1[Fuel and light],
    MATCH(1,
      (All_India_Index_Upto_April23__1___1[Date]=EDATE($A8,-1))*
      (All_India_Index_Upto_April23__1___1[Sector]="Rural+Urban"),
    0)
  ),
"")</f>
        <v>128.80000000000001</v>
      </c>
      <c r="K8" s="8">
        <f t="shared" si="3"/>
        <v>4.6583850931676577E-3</v>
      </c>
      <c r="L8" cm="1">
        <f t="array" ref="L8">IFERROR(
  INDEX(All_India_Index_Upto_April23__1___1[Transport and communication],
    MATCH(1,
      (All_India_Index_Upto_April23__1___1[Date]=$A8)*
      (All_India_Index_Upto_April23__1___1[Sector]="Rural+Urban"),
    0)
  ),
"")</f>
        <v>116</v>
      </c>
      <c r="M8" cm="1">
        <f t="array" ref="M8">IFERROR(
  INDEX(All_India_Index_Upto_April23__1___1[Transport and communication],
    MATCH(1,
      (All_India_Index_Upto_April23__1___1[Date]=EDATE($A8,-1))*
      (All_India_Index_Upto_April23__1___1[Sector]="Rural+Urban"),
    0)
  ),
"")</f>
        <v>116.5</v>
      </c>
      <c r="N8" s="8">
        <f t="shared" si="4"/>
        <v>-4.2918454935622317E-3</v>
      </c>
      <c r="O8" s="2" cm="1">
        <f t="array" ref="O8">IFERROR(
  AVERAGE(
    INDEX(All_India_Index_Upto_April23__1___1[Cereals and products],
      MATCH(1,(All_India_Index_Upto_April23__1___1[Date]=$A8)*
              (All_India_Index_Upto_April23__1___1[Sector]="Rural+Urban"),0)),
    INDEX(All_India_Index_Upto_April23__1___1[Meat and fish],
      MATCH(1,(All_India_Index_Upto_April23__1___1[Date]=$A8)*
              (All_India_Index_Upto_April23__1___1[Sector]="Rural+Urban"),0)),
    INDEX(All_India_Index_Upto_April23__1___1[Egg],
      MATCH(1,(All_India_Index_Upto_April23__1___1[Date]=$A8)*
              (All_India_Index_Upto_April23__1___1[Sector]="Rural+Urban"),0)),
    INDEX(All_India_Index_Upto_April23__1___1[Milk and products],
      MATCH(1,(All_India_Index_Upto_April23__1___1[Date]=$A8)*
              (All_India_Index_Upto_April23__1___1[Sector]="Rural+Urban"),0)),
    INDEX(All_India_Index_Upto_April23__1___1[Oils and fats],
      MATCH(1,(All_India_Index_Upto_April23__1___1[Date]=$A8)*
              (All_India_Index_Upto_April23__1___1[Sector]="Rural+Urban"),0)),
    INDEX(All_India_Index_Upto_April23__1___1[Fruits],
      MATCH(1,(All_India_Index_Upto_April23__1___1[Date]=$A8)*
              (All_India_Index_Upto_April23__1___1[Sector]="Rural+Urban"),0)),
    INDEX(All_India_Index_Upto_April23__1___1[Vegetables],
      MATCH(1,(All_India_Index_Upto_April23__1___1[Date]=$A8)*
              (All_India_Index_Upto_April23__1___1[Sector]="Rural+Urban"),0)),
    INDEX(All_India_Index_Upto_April23__1___1[Pulses and products],
      MATCH(1,(All_India_Index_Upto_April23__1___1[Date]=$A8)*
              (All_India_Index_Upto_April23__1___1[Sector]="Rural+Urban"),0)),
    INDEX(All_India_Index_Upto_April23__1___1[Sugar and Confectionery],
      MATCH(1,(All_India_Index_Upto_April23__1___1[Date]=$A8)*
              (All_India_Index_Upto_April23__1___1[Sector]="Rural+Urban"),0)),
    INDEX(All_India_Index_Upto_April23__1___1[Spices],
      MATCH(1,(All_India_Index_Upto_April23__1___1[Date]=$A8)*
              (All_India_Index_Upto_April23__1___1[Sector]="Rural+Urban"),0)),
    INDEX(All_India_Index_Upto_April23__1___1[Non-alcoholic beverages],
      MATCH(1,(All_India_Index_Upto_April23__1___1[Date]=$A8)*
              (All_India_Index_Upto_April23__1___1[Sector]="Rural+Urban"),0)),
    INDEX(All_India_Index_Upto_April23__1___1[Prepared meals, snacks, sweets etc.],
      MATCH(1,(All_India_Index_Upto_April23__1___1[Date]=$A8)*
              (All_India_Index_Upto_April23__1___1[Sector]="Rural+Urban"),0))
  ),
"")</f>
        <v>135.86666666666665</v>
      </c>
      <c r="P8" s="2" cm="1">
        <f t="array" ref="P8">IFERROR(
  AVERAGE(
    INDEX(All_India_Index_Upto_April23__1___1[Cereals and products],
      MATCH(1,(All_India_Index_Upto_April23__1___1[Date]=EDATE($A8,-12))*
              (All_India_Index_Upto_April23__1___1[Sector]="Rural+Urban"),0)),
    INDEX(All_India_Index_Upto_April23__1___1[Meat and fish],
      MATCH(1,(All_India_Index_Upto_April23__1___1[Date]=EDATE($A8,-12))*
              (All_India_Index_Upto_April23__1___1[Sector]="Rural+Urban"),0)),
    INDEX(All_India_Index_Upto_April23__1___1[Egg],
      MATCH(1,(All_India_Index_Upto_April23__1___1[Date]=EDATE($A8,-12))*
              (All_India_Index_Upto_April23__1___1[Sector]="Rural+Urban"),0)),
    INDEX(All_India_Index_Upto_April23__1___1[Milk and products],
      MATCH(1,(All_India_Index_Upto_April23__1___1[Date]=EDATE($A8,-12))*
              (All_India_Index_Upto_April23__1___1[Sector]="Rural+Urban"),0)),
    INDEX(All_India_Index_Upto_April23__1___1[Oils and fats],
      MATCH(1,(All_India_Index_Upto_April23__1___1[Date]=EDATE($A8,-12))*
              (All_India_Index_Upto_April23__1___1[Sector]="Rural+Urban"),0)),
    INDEX(All_India_Index_Upto_April23__1___1[Fruits],
      MATCH(1,(All_India_Index_Upto_April23__1___1[Date]=EDATE($A8,-12))*
              (All_India_Index_Upto_April23__1___1[Sector]="Rural+Urban"),0)),
    INDEX(All_India_Index_Upto_April23__1___1[Vegetables],
      MATCH(1,(All_India_Index_Upto_April23__1___1[Date]=EDATE($A8,-12))*
              (All_India_Index_Upto_April23__1___1[Sector]="Rural+Urban"),0)),
    INDEX(All_India_Index_Upto_April23__1___1[Pulses and products],
      MATCH(1,(All_India_Index_Upto_April23__1___1[Date]=EDATE($A8,-12))*
              (All_India_Index_Upto_April23__1___1[Sector]="Rural+Urban"),0)),
    INDEX(All_India_Index_Upto_April23__1___1[Sugar and Confectionery],
      MATCH(1,(All_India_Index_Upto_April23__1___1[Date]=EDATE($A8,-12))*
              (All_India_Index_Upto_April23__1___1[Sector]="Rural+Urban"),0)),
    INDEX(All_India_Index_Upto_April23__1___1[Spices],
      MATCH(1,(All_India_Index_Upto_April23__1___1[Date]=EDATE($A8,-12))*
              (All_India_Index_Upto_April23__1___1[Sector]="Rural+Urban"),0)),
    INDEX(All_India_Index_Upto_April23__1___1[Non-alcoholic beverages],
      MATCH(1,(All_India_Index_Upto_April23__1___1[Date]=EDATE($A8,-12))*
              (All_India_Index_Upto_April23__1___1[Sector]="Rural+Urban"),0)),
    INDEX(All_India_Index_Upto_April23__1___1[Prepared meals, snacks, sweets etc.],
      MATCH(1,(All_India_Index_Upto_April23__1___1[Date]=EDATE($A8,-12))*
              (All_India_Index_Upto_April23__1___1[Sector]="Rural+Urban"),0))
  ),
"")</f>
        <v>137.09166666666667</v>
      </c>
      <c r="Q8" s="8">
        <f t="shared" si="5"/>
        <v>-8.9356270135555731E-3</v>
      </c>
      <c r="R8" cm="1">
        <f t="array" ref="R8">IFERROR(
  INDEX(All_India_Index_Upto_April23__1___1[General index],
    MATCH(1,
      (All_India_Index_Upto_April23__1___1[Date]=$A8)*
      (All_India_Index_Upto_April23__1___1[Sector]="Rural+Urban"),
    0)
  ),
"")</f>
        <v>134.19999999999999</v>
      </c>
      <c r="S8" cm="1">
        <f t="array" ref="S8">IFERROR(
  INDEX(All_India_Index_Upto_April23__1___1[General index],
    MATCH(1,
      (All_India_Index_Upto_April23__1___1[Date]=EDATE($A8,-1))*
      (All_India_Index_Upto_April23__1___1[Sector]="Rural+Urban"),
    0)
  ),
"")</f>
        <v>132</v>
      </c>
      <c r="T8" s="8">
        <f t="shared" si="6"/>
        <v>1.666666666666658E-2</v>
      </c>
      <c r="V8" s="77">
        <v>44378</v>
      </c>
      <c r="W8" s="8">
        <v>-6.7567567567567571E-2</v>
      </c>
      <c r="X8" s="8">
        <v>5.6320400500624356E-3</v>
      </c>
      <c r="Y8" s="8">
        <v>1.5925680159256841E-2</v>
      </c>
      <c r="Z8" s="8">
        <v>9.3887908208296567E-2</v>
      </c>
      <c r="AA8" s="8">
        <v>7.439553626782322E-3</v>
      </c>
    </row>
    <row r="9" spans="1:36" x14ac:dyDescent="0.2">
      <c r="A9" s="22">
        <v>42948</v>
      </c>
      <c r="B9">
        <v>2017</v>
      </c>
      <c r="C9" t="s">
        <v>45</v>
      </c>
      <c r="D9" s="2">
        <v>49.9</v>
      </c>
      <c r="E9" s="8">
        <f t="shared" si="1"/>
        <v>6.2124248496994015E-2</v>
      </c>
      <c r="F9" s="8">
        <f t="shared" si="2"/>
        <v>6.2124248496994015E-2</v>
      </c>
      <c r="G9" t="e">
        <f t="shared" si="0"/>
        <v>#N/A</v>
      </c>
      <c r="H9" s="22">
        <v>42948</v>
      </c>
      <c r="I9" cm="1">
        <f t="array" ref="I9">IFERROR(
  INDEX(All_India_Index_Upto_April23__1___1[Fuel and light],
    MATCH(1,
      (All_India_Index_Upto_April23__1___1[Date]=$A9)*
      (All_India_Index_Upto_April23__1___1[Sector]="Rural+Urban"),
    0)
  ),
"")</f>
        <v>129.80000000000001</v>
      </c>
      <c r="J9" cm="1">
        <f t="array" ref="J9">IFERROR(
  INDEX(All_India_Index_Upto_April23__1___1[Fuel and light],
    MATCH(1,
      (All_India_Index_Upto_April23__1___1[Date]=EDATE($A9,-1))*
      (All_India_Index_Upto_April23__1___1[Sector]="Rural+Urban"),
    0)
  ),
"")</f>
        <v>129.4</v>
      </c>
      <c r="K9" s="8">
        <f t="shared" si="3"/>
        <v>3.0911901081916975E-3</v>
      </c>
      <c r="L9" cm="1">
        <f t="array" ref="L9">IFERROR(
  INDEX(All_India_Index_Upto_April23__1___1[Transport and communication],
    MATCH(1,
      (All_India_Index_Upto_April23__1___1[Date]=$A9)*
      (All_India_Index_Upto_April23__1___1[Sector]="Rural+Urban"),
    0)
  ),
"")</f>
        <v>117.3</v>
      </c>
      <c r="M9" cm="1">
        <f t="array" ref="M9">IFERROR(
  INDEX(All_India_Index_Upto_April23__1___1[Transport and communication],
    MATCH(1,
      (All_India_Index_Upto_April23__1___1[Date]=EDATE($A9,-1))*
      (All_India_Index_Upto_April23__1___1[Sector]="Rural+Urban"),
    0)
  ),
"")</f>
        <v>116</v>
      </c>
      <c r="N9" s="8">
        <f t="shared" si="4"/>
        <v>1.1206896551724113E-2</v>
      </c>
      <c r="O9" s="2" cm="1">
        <f t="array" ref="O9">IFERROR(
  AVERAGE(
    INDEX(All_India_Index_Upto_April23__1___1[Cereals and products],
      MATCH(1,(All_India_Index_Upto_April23__1___1[Date]=$A9)*
              (All_India_Index_Upto_April23__1___1[Sector]="Rural+Urban"),0)),
    INDEX(All_India_Index_Upto_April23__1___1[Meat and fish],
      MATCH(1,(All_India_Index_Upto_April23__1___1[Date]=$A9)*
              (All_India_Index_Upto_April23__1___1[Sector]="Rural+Urban"),0)),
    INDEX(All_India_Index_Upto_April23__1___1[Egg],
      MATCH(1,(All_India_Index_Upto_April23__1___1[Date]=$A9)*
              (All_India_Index_Upto_April23__1___1[Sector]="Rural+Urban"),0)),
    INDEX(All_India_Index_Upto_April23__1___1[Milk and products],
      MATCH(1,(All_India_Index_Upto_April23__1___1[Date]=$A9)*
              (All_India_Index_Upto_April23__1___1[Sector]="Rural+Urban"),0)),
    INDEX(All_India_Index_Upto_April23__1___1[Oils and fats],
      MATCH(1,(All_India_Index_Upto_April23__1___1[Date]=$A9)*
              (All_India_Index_Upto_April23__1___1[Sector]="Rural+Urban"),0)),
    INDEX(All_India_Index_Upto_April23__1___1[Fruits],
      MATCH(1,(All_India_Index_Upto_April23__1___1[Date]=$A9)*
              (All_India_Index_Upto_April23__1___1[Sector]="Rural+Urban"),0)),
    INDEX(All_India_Index_Upto_April23__1___1[Vegetables],
      MATCH(1,(All_India_Index_Upto_April23__1___1[Date]=$A9)*
              (All_India_Index_Upto_April23__1___1[Sector]="Rural+Urban"),0)),
    INDEX(All_India_Index_Upto_April23__1___1[Pulses and products],
      MATCH(1,(All_India_Index_Upto_April23__1___1[Date]=$A9)*
              (All_India_Index_Upto_April23__1___1[Sector]="Rural+Urban"),0)),
    INDEX(All_India_Index_Upto_April23__1___1[Sugar and Confectionery],
      MATCH(1,(All_India_Index_Upto_April23__1___1[Date]=$A9)*
              (All_India_Index_Upto_April23__1___1[Sector]="Rural+Urban"),0)),
    INDEX(All_India_Index_Upto_April23__1___1[Spices],
      MATCH(1,(All_India_Index_Upto_April23__1___1[Date]=$A9)*
              (All_India_Index_Upto_April23__1___1[Sector]="Rural+Urban"),0)),
    INDEX(All_India_Index_Upto_April23__1___1[Non-alcoholic beverages],
      MATCH(1,(All_India_Index_Upto_April23__1___1[Date]=$A9)*
              (All_India_Index_Upto_April23__1___1[Sector]="Rural+Urban"),0)),
    INDEX(All_India_Index_Upto_April23__1___1[Prepared meals, snacks, sweets etc.],
      MATCH(1,(All_India_Index_Upto_April23__1___1[Date]=$A9)*
              (All_India_Index_Upto_April23__1___1[Sector]="Rural+Urban"),0))
  ),
"")</f>
        <v>136.93333333333334</v>
      </c>
      <c r="P9" s="2" cm="1">
        <f t="array" ref="P9">IFERROR(
  AVERAGE(
    INDEX(All_India_Index_Upto_April23__1___1[Cereals and products],
      MATCH(1,(All_India_Index_Upto_April23__1___1[Date]=EDATE($A9,-12))*
              (All_India_Index_Upto_April23__1___1[Sector]="Rural+Urban"),0)),
    INDEX(All_India_Index_Upto_April23__1___1[Meat and fish],
      MATCH(1,(All_India_Index_Upto_April23__1___1[Date]=EDATE($A9,-12))*
              (All_India_Index_Upto_April23__1___1[Sector]="Rural+Urban"),0)),
    INDEX(All_India_Index_Upto_April23__1___1[Egg],
      MATCH(1,(All_India_Index_Upto_April23__1___1[Date]=EDATE($A9,-12))*
              (All_India_Index_Upto_April23__1___1[Sector]="Rural+Urban"),0)),
    INDEX(All_India_Index_Upto_April23__1___1[Milk and products],
      MATCH(1,(All_India_Index_Upto_April23__1___1[Date]=EDATE($A9,-12))*
              (All_India_Index_Upto_April23__1___1[Sector]="Rural+Urban"),0)),
    INDEX(All_India_Index_Upto_April23__1___1[Oils and fats],
      MATCH(1,(All_India_Index_Upto_April23__1___1[Date]=EDATE($A9,-12))*
              (All_India_Index_Upto_April23__1___1[Sector]="Rural+Urban"),0)),
    INDEX(All_India_Index_Upto_April23__1___1[Fruits],
      MATCH(1,(All_India_Index_Upto_April23__1___1[Date]=EDATE($A9,-12))*
              (All_India_Index_Upto_April23__1___1[Sector]="Rural+Urban"),0)),
    INDEX(All_India_Index_Upto_April23__1___1[Vegetables],
      MATCH(1,(All_India_Index_Upto_April23__1___1[Date]=EDATE($A9,-12))*
              (All_India_Index_Upto_April23__1___1[Sector]="Rural+Urban"),0)),
    INDEX(All_India_Index_Upto_April23__1___1[Pulses and products],
      MATCH(1,(All_India_Index_Upto_April23__1___1[Date]=EDATE($A9,-12))*
              (All_India_Index_Upto_April23__1___1[Sector]="Rural+Urban"),0)),
    INDEX(All_India_Index_Upto_April23__1___1[Sugar and Confectionery],
      MATCH(1,(All_India_Index_Upto_April23__1___1[Date]=EDATE($A9,-12))*
              (All_India_Index_Upto_April23__1___1[Sector]="Rural+Urban"),0)),
    INDEX(All_India_Index_Upto_April23__1___1[Spices],
      MATCH(1,(All_India_Index_Upto_April23__1___1[Date]=EDATE($A9,-12))*
              (All_India_Index_Upto_April23__1___1[Sector]="Rural+Urban"),0)),
    INDEX(All_India_Index_Upto_April23__1___1[Non-alcoholic beverages],
      MATCH(1,(All_India_Index_Upto_April23__1___1[Date]=EDATE($A9,-12))*
              (All_India_Index_Upto_April23__1___1[Sector]="Rural+Urban"),0)),
    INDEX(All_India_Index_Upto_April23__1___1[Prepared meals, snacks, sweets etc.],
      MATCH(1,(All_India_Index_Upto_April23__1___1[Date]=EDATE($A9,-12))*
              (All_India_Index_Upto_April23__1___1[Sector]="Rural+Urban"),0))
  ),
"")</f>
        <v>136.66666666666666</v>
      </c>
      <c r="Q9" s="8">
        <f t="shared" si="5"/>
        <v>1.9512195121952191E-3</v>
      </c>
      <c r="R9" cm="1">
        <f t="array" ref="R9">IFERROR(
  INDEX(All_India_Index_Upto_April23__1___1[General index],
    MATCH(1,
      (All_India_Index_Upto_April23__1___1[Date]=$A9)*
      (All_India_Index_Upto_April23__1___1[Sector]="Rural+Urban"),
    0)
  ),
"")</f>
        <v>135.4</v>
      </c>
      <c r="S9" cm="1">
        <f t="array" ref="S9">IFERROR(
  INDEX(All_India_Index_Upto_April23__1___1[General index],
    MATCH(1,
      (All_India_Index_Upto_April23__1___1[Date]=EDATE($A9,-1))*
      (All_India_Index_Upto_April23__1___1[Sector]="Rural+Urban"),
    0)
  ),
"")</f>
        <v>134.19999999999999</v>
      </c>
      <c r="T9" s="8">
        <f t="shared" si="6"/>
        <v>8.9418777943369391E-3</v>
      </c>
      <c r="V9" s="77">
        <v>44409</v>
      </c>
      <c r="W9" s="8">
        <v>4.3478260869565216E-2</v>
      </c>
      <c r="X9" s="8">
        <v>1.1823273179838244E-2</v>
      </c>
      <c r="Y9" s="8">
        <v>5.8785107772697954E-3</v>
      </c>
      <c r="Z9" s="8">
        <v>7.6052660211076289E-2</v>
      </c>
      <c r="AA9" s="8">
        <v>4.3076923076922381E-3</v>
      </c>
    </row>
    <row r="10" spans="1:36" x14ac:dyDescent="0.2">
      <c r="A10" s="22">
        <v>42979</v>
      </c>
      <c r="B10">
        <v>2017</v>
      </c>
      <c r="C10" t="s">
        <v>47</v>
      </c>
      <c r="D10" s="2">
        <v>53</v>
      </c>
      <c r="E10" s="8">
        <f t="shared" si="1"/>
        <v>8.6792452830188702E-2</v>
      </c>
      <c r="F10" s="8">
        <f t="shared" si="2"/>
        <v>8.6792452830188702E-2</v>
      </c>
      <c r="G10" t="e">
        <f t="shared" si="0"/>
        <v>#N/A</v>
      </c>
      <c r="H10" s="22">
        <v>42979</v>
      </c>
      <c r="I10" cm="1">
        <f t="array" ref="I10">IFERROR(
  INDEX(All_India_Index_Upto_April23__1___1[Fuel and light],
    MATCH(1,
      (All_India_Index_Upto_April23__1___1[Date]=$A10)*
      (All_India_Index_Upto_April23__1___1[Sector]="Rural+Urban"),
    0)
  ),
"")</f>
        <v>131</v>
      </c>
      <c r="J10" cm="1">
        <f t="array" ref="J10">IFERROR(
  INDEX(All_India_Index_Upto_April23__1___1[Fuel and light],
    MATCH(1,
      (All_India_Index_Upto_April23__1___1[Date]=EDATE($A10,-1))*
      (All_India_Index_Upto_April23__1___1[Sector]="Rural+Urban"),
    0)
  ),
"")</f>
        <v>129.80000000000001</v>
      </c>
      <c r="K10" s="8">
        <f t="shared" si="3"/>
        <v>9.2449922958396658E-3</v>
      </c>
      <c r="L10" cm="1">
        <f t="array" ref="L10">IFERROR(
  INDEX(All_India_Index_Upto_April23__1___1[Transport and communication],
    MATCH(1,
      (All_India_Index_Upto_April23__1___1[Date]=$A10)*
      (All_India_Index_Upto_April23__1___1[Sector]="Rural+Urban"),
    0)
  ),
"")</f>
        <v>118.3</v>
      </c>
      <c r="M10" cm="1">
        <f t="array" ref="M10">IFERROR(
  INDEX(All_India_Index_Upto_April23__1___1[Transport and communication],
    MATCH(1,
      (All_India_Index_Upto_April23__1___1[Date]=EDATE($A10,-1))*
      (All_India_Index_Upto_April23__1___1[Sector]="Rural+Urban"),
    0)
  ),
"")</f>
        <v>117.3</v>
      </c>
      <c r="N10" s="8">
        <f t="shared" si="4"/>
        <v>8.5251491901108273E-3</v>
      </c>
      <c r="O10" s="2" cm="1">
        <f t="array" ref="O10">IFERROR(
  AVERAGE(
    INDEX(All_India_Index_Upto_April23__1___1[Cereals and products],
      MATCH(1,(All_India_Index_Upto_April23__1___1[Date]=$A10)*
              (All_India_Index_Upto_April23__1___1[Sector]="Rural+Urban"),0)),
    INDEX(All_India_Index_Upto_April23__1___1[Meat and fish],
      MATCH(1,(All_India_Index_Upto_April23__1___1[Date]=$A10)*
              (All_India_Index_Upto_April23__1___1[Sector]="Rural+Urban"),0)),
    INDEX(All_India_Index_Upto_April23__1___1[Egg],
      MATCH(1,(All_India_Index_Upto_April23__1___1[Date]=$A10)*
              (All_India_Index_Upto_April23__1___1[Sector]="Rural+Urban"),0)),
    INDEX(All_India_Index_Upto_April23__1___1[Milk and products],
      MATCH(1,(All_India_Index_Upto_April23__1___1[Date]=$A10)*
              (All_India_Index_Upto_April23__1___1[Sector]="Rural+Urban"),0)),
    INDEX(All_India_Index_Upto_April23__1___1[Oils and fats],
      MATCH(1,(All_India_Index_Upto_April23__1___1[Date]=$A10)*
              (All_India_Index_Upto_April23__1___1[Sector]="Rural+Urban"),0)),
    INDEX(All_India_Index_Upto_April23__1___1[Fruits],
      MATCH(1,(All_India_Index_Upto_April23__1___1[Date]=$A10)*
              (All_India_Index_Upto_April23__1___1[Sector]="Rural+Urban"),0)),
    INDEX(All_India_Index_Upto_April23__1___1[Vegetables],
      MATCH(1,(All_India_Index_Upto_April23__1___1[Date]=$A10)*
              (All_India_Index_Upto_April23__1___1[Sector]="Rural+Urban"),0)),
    INDEX(All_India_Index_Upto_April23__1___1[Pulses and products],
      MATCH(1,(All_India_Index_Upto_April23__1___1[Date]=$A10)*
              (All_India_Index_Upto_April23__1___1[Sector]="Rural+Urban"),0)),
    INDEX(All_India_Index_Upto_April23__1___1[Sugar and Confectionery],
      MATCH(1,(All_India_Index_Upto_April23__1___1[Date]=$A10)*
              (All_India_Index_Upto_April23__1___1[Sector]="Rural+Urban"),0)),
    INDEX(All_India_Index_Upto_April23__1___1[Spices],
      MATCH(1,(All_India_Index_Upto_April23__1___1[Date]=$A10)*
              (All_India_Index_Upto_April23__1___1[Sector]="Rural+Urban"),0)),
    INDEX(All_India_Index_Upto_April23__1___1[Non-alcoholic beverages],
      MATCH(1,(All_India_Index_Upto_April23__1___1[Date]=$A10)*
              (All_India_Index_Upto_April23__1___1[Sector]="Rural+Urban"),0)),
    INDEX(All_India_Index_Upto_April23__1___1[Prepared meals, snacks, sweets etc.],
      MATCH(1,(All_India_Index_Upto_April23__1___1[Date]=$A10)*
              (All_India_Index_Upto_April23__1___1[Sector]="Rural+Urban"),0))
  ),
"")</f>
        <v>135.91666666666666</v>
      </c>
      <c r="P10" s="2" cm="1">
        <f t="array" ref="P10">IFERROR(
  AVERAGE(
    INDEX(All_India_Index_Upto_April23__1___1[Cereals and products],
      MATCH(1,(All_India_Index_Upto_April23__1___1[Date]=EDATE($A10,-12))*
              (All_India_Index_Upto_April23__1___1[Sector]="Rural+Urban"),0)),
    INDEX(All_India_Index_Upto_April23__1___1[Meat and fish],
      MATCH(1,(All_India_Index_Upto_April23__1___1[Date]=EDATE($A10,-12))*
              (All_India_Index_Upto_April23__1___1[Sector]="Rural+Urban"),0)),
    INDEX(All_India_Index_Upto_April23__1___1[Egg],
      MATCH(1,(All_India_Index_Upto_April23__1___1[Date]=EDATE($A10,-12))*
              (All_India_Index_Upto_April23__1___1[Sector]="Rural+Urban"),0)),
    INDEX(All_India_Index_Upto_April23__1___1[Milk and products],
      MATCH(1,(All_India_Index_Upto_April23__1___1[Date]=EDATE($A10,-12))*
              (All_India_Index_Upto_April23__1___1[Sector]="Rural+Urban"),0)),
    INDEX(All_India_Index_Upto_April23__1___1[Oils and fats],
      MATCH(1,(All_India_Index_Upto_April23__1___1[Date]=EDATE($A10,-12))*
              (All_India_Index_Upto_April23__1___1[Sector]="Rural+Urban"),0)),
    INDEX(All_India_Index_Upto_April23__1___1[Fruits],
      MATCH(1,(All_India_Index_Upto_April23__1___1[Date]=EDATE($A10,-12))*
              (All_India_Index_Upto_April23__1___1[Sector]="Rural+Urban"),0)),
    INDEX(All_India_Index_Upto_April23__1___1[Vegetables],
      MATCH(1,(All_India_Index_Upto_April23__1___1[Date]=EDATE($A10,-12))*
              (All_India_Index_Upto_April23__1___1[Sector]="Rural+Urban"),0)),
    INDEX(All_India_Index_Upto_April23__1___1[Pulses and products],
      MATCH(1,(All_India_Index_Upto_April23__1___1[Date]=EDATE($A10,-12))*
              (All_India_Index_Upto_April23__1___1[Sector]="Rural+Urban"),0)),
    INDEX(All_India_Index_Upto_April23__1___1[Sugar and Confectionery],
      MATCH(1,(All_India_Index_Upto_April23__1___1[Date]=EDATE($A10,-12))*
              (All_India_Index_Upto_April23__1___1[Sector]="Rural+Urban"),0)),
    INDEX(All_India_Index_Upto_April23__1___1[Spices],
      MATCH(1,(All_India_Index_Upto_April23__1___1[Date]=EDATE($A10,-12))*
              (All_India_Index_Upto_April23__1___1[Sector]="Rural+Urban"),0)),
    INDEX(All_India_Index_Upto_April23__1___1[Non-alcoholic beverages],
      MATCH(1,(All_India_Index_Upto_April23__1___1[Date]=EDATE($A10,-12))*
              (All_India_Index_Upto_April23__1___1[Sector]="Rural+Urban"),0)),
    INDEX(All_India_Index_Upto_April23__1___1[Prepared meals, snacks, sweets etc.],
      MATCH(1,(All_India_Index_Upto_April23__1___1[Date]=EDATE($A10,-12))*
              (All_India_Index_Upto_April23__1___1[Sector]="Rural+Urban"),0))
  ),
"")</f>
        <v>135.59166666666667</v>
      </c>
      <c r="Q10" s="8">
        <f t="shared" si="5"/>
        <v>2.3969024645073217E-3</v>
      </c>
      <c r="R10" cm="1">
        <f t="array" ref="R10">IFERROR(
  INDEX(All_India_Index_Upto_April23__1___1[General index],
    MATCH(1,
      (All_India_Index_Upto_April23__1___1[Date]=$A10)*
      (All_India_Index_Upto_April23__1___1[Sector]="Rural+Urban"),
    0)
  ),
"")</f>
        <v>135.19999999999999</v>
      </c>
      <c r="S10" cm="1">
        <f t="array" ref="S10">IFERROR(
  INDEX(All_India_Index_Upto_April23__1___1[General index],
    MATCH(1,
      (All_India_Index_Upto_April23__1___1[Date]=EDATE($A10,-1))*
      (All_India_Index_Upto_April23__1___1[Sector]="Rural+Urban"),
    0)
  ),
"")</f>
        <v>135.4</v>
      </c>
      <c r="T10" s="8">
        <f t="shared" si="6"/>
        <v>-1.4771048744462115E-3</v>
      </c>
      <c r="V10" s="77">
        <v>44440</v>
      </c>
      <c r="W10" s="8">
        <v>0.1388888888888889</v>
      </c>
      <c r="X10" s="8">
        <v>0</v>
      </c>
      <c r="Y10" s="8">
        <v>0</v>
      </c>
      <c r="Z10" s="8">
        <v>6.9767441860465115E-2</v>
      </c>
      <c r="AA10" s="8">
        <v>0</v>
      </c>
    </row>
    <row r="11" spans="1:36" x14ac:dyDescent="0.2">
      <c r="A11" s="22">
        <v>43009</v>
      </c>
      <c r="B11">
        <v>2017</v>
      </c>
      <c r="C11" t="s">
        <v>49</v>
      </c>
      <c r="D11" s="2">
        <v>57.6</v>
      </c>
      <c r="E11" s="8">
        <f t="shared" si="1"/>
        <v>8.6805555555555552E-2</v>
      </c>
      <c r="F11" s="8">
        <f t="shared" si="2"/>
        <v>8.6805555555555552E-2</v>
      </c>
      <c r="G11" t="e">
        <f t="shared" si="0"/>
        <v>#N/A</v>
      </c>
      <c r="H11" s="22">
        <v>43009</v>
      </c>
      <c r="I11" cm="1">
        <f t="array" ref="I11">IFERROR(
  INDEX(All_India_Index_Upto_April23__1___1[Fuel and light],
    MATCH(1,
      (All_India_Index_Upto_April23__1___1[Date]=$A11)*
      (All_India_Index_Upto_April23__1___1[Sector]="Rural+Urban"),
    0)
  ),
"")</f>
        <v>132.19999999999999</v>
      </c>
      <c r="J11" cm="1">
        <f t="array" ref="J11">IFERROR(
  INDEX(All_India_Index_Upto_April23__1___1[Fuel and light],
    MATCH(1,
      (All_India_Index_Upto_April23__1___1[Date]=EDATE($A11,-1))*
      (All_India_Index_Upto_April23__1___1[Sector]="Rural+Urban"),
    0)
  ),
"")</f>
        <v>131</v>
      </c>
      <c r="K11" s="8">
        <f t="shared" si="3"/>
        <v>9.160305343511364E-3</v>
      </c>
      <c r="L11" cm="1">
        <f t="array" ref="L11">IFERROR(
  INDEX(All_India_Index_Upto_April23__1___1[Transport and communication],
    MATCH(1,
      (All_India_Index_Upto_April23__1___1[Date]=$A11)*
      (All_India_Index_Upto_April23__1___1[Sector]="Rural+Urban"),
    0)
  ),
"")</f>
        <v>117.8</v>
      </c>
      <c r="M11" cm="1">
        <f t="array" ref="M11">IFERROR(
  INDEX(All_India_Index_Upto_April23__1___1[Transport and communication],
    MATCH(1,
      (All_India_Index_Upto_April23__1___1[Date]=EDATE($A11,-1))*
      (All_India_Index_Upto_April23__1___1[Sector]="Rural+Urban"),
    0)
  ),
"")</f>
        <v>118.3</v>
      </c>
      <c r="N11" s="8">
        <f t="shared" si="4"/>
        <v>-4.22654268808115E-3</v>
      </c>
      <c r="O11" s="2" cm="1">
        <f t="array" ref="O11">IFERROR(
  AVERAGE(
    INDEX(All_India_Index_Upto_April23__1___1[Cereals and products],
      MATCH(1,(All_India_Index_Upto_April23__1___1[Date]=$A11)*
              (All_India_Index_Upto_April23__1___1[Sector]="Rural+Urban"),0)),
    INDEX(All_India_Index_Upto_April23__1___1[Meat and fish],
      MATCH(1,(All_India_Index_Upto_April23__1___1[Date]=$A11)*
              (All_India_Index_Upto_April23__1___1[Sector]="Rural+Urban"),0)),
    INDEX(All_India_Index_Upto_April23__1___1[Egg],
      MATCH(1,(All_India_Index_Upto_April23__1___1[Date]=$A11)*
              (All_India_Index_Upto_April23__1___1[Sector]="Rural+Urban"),0)),
    INDEX(All_India_Index_Upto_April23__1___1[Milk and products],
      MATCH(1,(All_India_Index_Upto_April23__1___1[Date]=$A11)*
              (All_India_Index_Upto_April23__1___1[Sector]="Rural+Urban"),0)),
    INDEX(All_India_Index_Upto_April23__1___1[Oils and fats],
      MATCH(1,(All_India_Index_Upto_April23__1___1[Date]=$A11)*
              (All_India_Index_Upto_April23__1___1[Sector]="Rural+Urban"),0)),
    INDEX(All_India_Index_Upto_April23__1___1[Fruits],
      MATCH(1,(All_India_Index_Upto_April23__1___1[Date]=$A11)*
              (All_India_Index_Upto_April23__1___1[Sector]="Rural+Urban"),0)),
    INDEX(All_India_Index_Upto_April23__1___1[Vegetables],
      MATCH(1,(All_India_Index_Upto_April23__1___1[Date]=$A11)*
              (All_India_Index_Upto_April23__1___1[Sector]="Rural+Urban"),0)),
    INDEX(All_India_Index_Upto_April23__1___1[Pulses and products],
      MATCH(1,(All_India_Index_Upto_April23__1___1[Date]=$A11)*
              (All_India_Index_Upto_April23__1___1[Sector]="Rural+Urban"),0)),
    INDEX(All_India_Index_Upto_April23__1___1[Sugar and Confectionery],
      MATCH(1,(All_India_Index_Upto_April23__1___1[Date]=$A11)*
              (All_India_Index_Upto_April23__1___1[Sector]="Rural+Urban"),0)),
    INDEX(All_India_Index_Upto_April23__1___1[Spices],
      MATCH(1,(All_India_Index_Upto_April23__1___1[Date]=$A11)*
              (All_India_Index_Upto_April23__1___1[Sector]="Rural+Urban"),0)),
    INDEX(All_India_Index_Upto_April23__1___1[Non-alcoholic beverages],
      MATCH(1,(All_India_Index_Upto_April23__1___1[Date]=$A11)*
              (All_India_Index_Upto_April23__1___1[Sector]="Rural+Urban"),0)),
    INDEX(All_India_Index_Upto_April23__1___1[Prepared meals, snacks, sweets etc.],
      MATCH(1,(All_India_Index_Upto_April23__1___1[Date]=$A11)*
              (All_India_Index_Upto_April23__1___1[Sector]="Rural+Urban"),0))
  ),
"")</f>
        <v>136.63333333333333</v>
      </c>
      <c r="P11" s="2" cm="1">
        <f t="array" ref="P11">IFERROR(
  AVERAGE(
    INDEX(All_India_Index_Upto_April23__1___1[Cereals and products],
      MATCH(1,(All_India_Index_Upto_April23__1___1[Date]=EDATE($A11,-12))*
              (All_India_Index_Upto_April23__1___1[Sector]="Rural+Urban"),0)),
    INDEX(All_India_Index_Upto_April23__1___1[Meat and fish],
      MATCH(1,(All_India_Index_Upto_April23__1___1[Date]=EDATE($A11,-12))*
              (All_India_Index_Upto_April23__1___1[Sector]="Rural+Urban"),0)),
    INDEX(All_India_Index_Upto_April23__1___1[Egg],
      MATCH(1,(All_India_Index_Upto_April23__1___1[Date]=EDATE($A11,-12))*
              (All_India_Index_Upto_April23__1___1[Sector]="Rural+Urban"),0)),
    INDEX(All_India_Index_Upto_April23__1___1[Milk and products],
      MATCH(1,(All_India_Index_Upto_April23__1___1[Date]=EDATE($A11,-12))*
              (All_India_Index_Upto_April23__1___1[Sector]="Rural+Urban"),0)),
    INDEX(All_India_Index_Upto_April23__1___1[Oils and fats],
      MATCH(1,(All_India_Index_Upto_April23__1___1[Date]=EDATE($A11,-12))*
              (All_India_Index_Upto_April23__1___1[Sector]="Rural+Urban"),0)),
    INDEX(All_India_Index_Upto_April23__1___1[Fruits],
      MATCH(1,(All_India_Index_Upto_April23__1___1[Date]=EDATE($A11,-12))*
              (All_India_Index_Upto_April23__1___1[Sector]="Rural+Urban"),0)),
    INDEX(All_India_Index_Upto_April23__1___1[Vegetables],
      MATCH(1,(All_India_Index_Upto_April23__1___1[Date]=EDATE($A11,-12))*
              (All_India_Index_Upto_April23__1___1[Sector]="Rural+Urban"),0)),
    INDEX(All_India_Index_Upto_April23__1___1[Pulses and products],
      MATCH(1,(All_India_Index_Upto_April23__1___1[Date]=EDATE($A11,-12))*
              (All_India_Index_Upto_April23__1___1[Sector]="Rural+Urban"),0)),
    INDEX(All_India_Index_Upto_April23__1___1[Sugar and Confectionery],
      MATCH(1,(All_India_Index_Upto_April23__1___1[Date]=EDATE($A11,-12))*
              (All_India_Index_Upto_April23__1___1[Sector]="Rural+Urban"),0)),
    INDEX(All_India_Index_Upto_April23__1___1[Spices],
      MATCH(1,(All_India_Index_Upto_April23__1___1[Date]=EDATE($A11,-12))*
              (All_India_Index_Upto_April23__1___1[Sector]="Rural+Urban"),0)),
    INDEX(All_India_Index_Upto_April23__1___1[Non-alcoholic beverages],
      MATCH(1,(All_India_Index_Upto_April23__1___1[Date]=EDATE($A11,-12))*
              (All_India_Index_Upto_April23__1___1[Sector]="Rural+Urban"),0)),
    INDEX(All_India_Index_Upto_April23__1___1[Prepared meals, snacks, sweets etc.],
      MATCH(1,(All_India_Index_Upto_April23__1___1[Date]=EDATE($A11,-12))*
              (All_India_Index_Upto_April23__1___1[Sector]="Rural+Urban"),0))
  ),
"")</f>
        <v>135.81666666666663</v>
      </c>
      <c r="Q11" s="8">
        <f t="shared" si="5"/>
        <v>6.013007731010123E-3</v>
      </c>
      <c r="R11" cm="1">
        <f t="array" ref="R11">IFERROR(
  INDEX(All_India_Index_Upto_April23__1___1[General index],
    MATCH(1,
      (All_India_Index_Upto_April23__1___1[Date]=$A11)*
      (All_India_Index_Upto_April23__1___1[Sector]="Rural+Urban"),
    0)
  ),
"")</f>
        <v>136.1</v>
      </c>
      <c r="S11" cm="1">
        <f t="array" ref="S11">IFERROR(
  INDEX(All_India_Index_Upto_April23__1___1[General index],
    MATCH(1,
      (All_India_Index_Upto_April23__1___1[Date]=EDATE($A11,-1))*
      (All_India_Index_Upto_April23__1___1[Sector]="Rural+Urban"),
    0)
  ),
"")</f>
        <v>135.19999999999999</v>
      </c>
      <c r="T11" s="8">
        <f t="shared" si="6"/>
        <v>6.6568047337278533E-3</v>
      </c>
      <c r="V11" s="77">
        <v>44470</v>
      </c>
      <c r="W11" s="8">
        <v>-3.6585365853658534E-2</v>
      </c>
      <c r="X11" s="8">
        <v>9.8400984009839754E-3</v>
      </c>
      <c r="Y11" s="8">
        <v>1.1038961038960965E-2</v>
      </c>
      <c r="Z11" s="8">
        <v>6.390419669351427E-2</v>
      </c>
      <c r="AA11" s="8">
        <v>1.4093137254902032E-2</v>
      </c>
    </row>
    <row r="12" spans="1:36" x14ac:dyDescent="0.2">
      <c r="A12" s="22">
        <v>43040</v>
      </c>
      <c r="B12">
        <v>2017</v>
      </c>
      <c r="C12" t="s">
        <v>51</v>
      </c>
      <c r="D12" s="2">
        <v>62.6</v>
      </c>
      <c r="E12" s="8">
        <f t="shared" si="1"/>
        <v>2.5559105431309927E-2</v>
      </c>
      <c r="F12" s="8">
        <f t="shared" si="2"/>
        <v>2.5559105431309927E-2</v>
      </c>
      <c r="G12" t="e">
        <f t="shared" si="0"/>
        <v>#N/A</v>
      </c>
      <c r="H12" s="22">
        <v>43040</v>
      </c>
      <c r="I12" cm="1">
        <f t="array" ref="I12">IFERROR(
  INDEX(All_India_Index_Upto_April23__1___1[Fuel and light],
    MATCH(1,
      (All_India_Index_Upto_April23__1___1[Date]=$A12)*
      (All_India_Index_Upto_April23__1___1[Sector]="Rural+Urban"),
    0)
  ),
"")</f>
        <v>135.30000000000001</v>
      </c>
      <c r="J12" cm="1">
        <f t="array" ref="J12">IFERROR(
  INDEX(All_India_Index_Upto_April23__1___1[Fuel and light],
    MATCH(1,
      (All_India_Index_Upto_April23__1___1[Date]=EDATE($A12,-1))*
      (All_India_Index_Upto_April23__1___1[Sector]="Rural+Urban"),
    0)
  ),
"")</f>
        <v>132.19999999999999</v>
      </c>
      <c r="K12" s="8">
        <f t="shared" si="3"/>
        <v>2.3449319213313335E-2</v>
      </c>
      <c r="L12" cm="1">
        <f t="array" ref="L12">IFERROR(
  INDEX(All_India_Index_Upto_April23__1___1[Transport and communication],
    MATCH(1,
      (All_India_Index_Upto_April23__1___1[Date]=$A12)*
      (All_India_Index_Upto_April23__1___1[Sector]="Rural+Urban"),
    0)
  ),
"")</f>
        <v>118.3</v>
      </c>
      <c r="M12" cm="1">
        <f t="array" ref="M12">IFERROR(
  INDEX(All_India_Index_Upto_April23__1___1[Transport and communication],
    MATCH(1,
      (All_India_Index_Upto_April23__1___1[Date]=EDATE($A12,-1))*
      (All_India_Index_Upto_April23__1___1[Sector]="Rural+Urban"),
    0)
  ),
"")</f>
        <v>117.8</v>
      </c>
      <c r="N12" s="8">
        <f t="shared" si="4"/>
        <v>4.2444821731748728E-3</v>
      </c>
      <c r="O12" s="2" cm="1">
        <f t="array" ref="O12">IFERROR(
  AVERAGE(
    INDEX(All_India_Index_Upto_April23__1___1[Cereals and products],
      MATCH(1,(All_India_Index_Upto_April23__1___1[Date]=$A12)*
              (All_India_Index_Upto_April23__1___1[Sector]="Rural+Urban"),0)),
    INDEX(All_India_Index_Upto_April23__1___1[Meat and fish],
      MATCH(1,(All_India_Index_Upto_April23__1___1[Date]=$A12)*
              (All_India_Index_Upto_April23__1___1[Sector]="Rural+Urban"),0)),
    INDEX(All_India_Index_Upto_April23__1___1[Egg],
      MATCH(1,(All_India_Index_Upto_April23__1___1[Date]=$A12)*
              (All_India_Index_Upto_April23__1___1[Sector]="Rural+Urban"),0)),
    INDEX(All_India_Index_Upto_April23__1___1[Milk and products],
      MATCH(1,(All_India_Index_Upto_April23__1___1[Date]=$A12)*
              (All_India_Index_Upto_April23__1___1[Sector]="Rural+Urban"),0)),
    INDEX(All_India_Index_Upto_April23__1___1[Oils and fats],
      MATCH(1,(All_India_Index_Upto_April23__1___1[Date]=$A12)*
              (All_India_Index_Upto_April23__1___1[Sector]="Rural+Urban"),0)),
    INDEX(All_India_Index_Upto_April23__1___1[Fruits],
      MATCH(1,(All_India_Index_Upto_April23__1___1[Date]=$A12)*
              (All_India_Index_Upto_April23__1___1[Sector]="Rural+Urban"),0)),
    INDEX(All_India_Index_Upto_April23__1___1[Vegetables],
      MATCH(1,(All_India_Index_Upto_April23__1___1[Date]=$A12)*
              (All_India_Index_Upto_April23__1___1[Sector]="Rural+Urban"),0)),
    INDEX(All_India_Index_Upto_April23__1___1[Pulses and products],
      MATCH(1,(All_India_Index_Upto_April23__1___1[Date]=$A12)*
              (All_India_Index_Upto_April23__1___1[Sector]="Rural+Urban"),0)),
    INDEX(All_India_Index_Upto_April23__1___1[Sugar and Confectionery],
      MATCH(1,(All_India_Index_Upto_April23__1___1[Date]=$A12)*
              (All_India_Index_Upto_April23__1___1[Sector]="Rural+Urban"),0)),
    INDEX(All_India_Index_Upto_April23__1___1[Spices],
      MATCH(1,(All_India_Index_Upto_April23__1___1[Date]=$A12)*
              (All_India_Index_Upto_April23__1___1[Sector]="Rural+Urban"),0)),
    INDEX(All_India_Index_Upto_April23__1___1[Non-alcoholic beverages],
      MATCH(1,(All_India_Index_Upto_April23__1___1[Date]=$A12)*
              (All_India_Index_Upto_April23__1___1[Sector]="Rural+Urban"),0)),
    INDEX(All_India_Index_Upto_April23__1___1[Prepared meals, snacks, sweets etc.],
      MATCH(1,(All_India_Index_Upto_April23__1___1[Date]=$A12)*
              (All_India_Index_Upto_April23__1___1[Sector]="Rural+Urban"),0))
  ),
"")</f>
        <v>138.84166666666667</v>
      </c>
      <c r="P12" s="2" cm="1">
        <f t="array" ref="P12">IFERROR(
  AVERAGE(
    INDEX(All_India_Index_Upto_April23__1___1[Cereals and products],
      MATCH(1,(All_India_Index_Upto_April23__1___1[Date]=EDATE($A12,-12))*
              (All_India_Index_Upto_April23__1___1[Sector]="Rural+Urban"),0)),
    INDEX(All_India_Index_Upto_April23__1___1[Meat and fish],
      MATCH(1,(All_India_Index_Upto_April23__1___1[Date]=EDATE($A12,-12))*
              (All_India_Index_Upto_April23__1___1[Sector]="Rural+Urban"),0)),
    INDEX(All_India_Index_Upto_April23__1___1[Egg],
      MATCH(1,(All_India_Index_Upto_April23__1___1[Date]=EDATE($A12,-12))*
              (All_India_Index_Upto_April23__1___1[Sector]="Rural+Urban"),0)),
    INDEX(All_India_Index_Upto_April23__1___1[Milk and products],
      MATCH(1,(All_India_Index_Upto_April23__1___1[Date]=EDATE($A12,-12))*
              (All_India_Index_Upto_April23__1___1[Sector]="Rural+Urban"),0)),
    INDEX(All_India_Index_Upto_April23__1___1[Oils and fats],
      MATCH(1,(All_India_Index_Upto_April23__1___1[Date]=EDATE($A12,-12))*
              (All_India_Index_Upto_April23__1___1[Sector]="Rural+Urban"),0)),
    INDEX(All_India_Index_Upto_April23__1___1[Fruits],
      MATCH(1,(All_India_Index_Upto_April23__1___1[Date]=EDATE($A12,-12))*
              (All_India_Index_Upto_April23__1___1[Sector]="Rural+Urban"),0)),
    INDEX(All_India_Index_Upto_April23__1___1[Vegetables],
      MATCH(1,(All_India_Index_Upto_April23__1___1[Date]=EDATE($A12,-12))*
              (All_India_Index_Upto_April23__1___1[Sector]="Rural+Urban"),0)),
    INDEX(All_India_Index_Upto_April23__1___1[Pulses and products],
      MATCH(1,(All_India_Index_Upto_April23__1___1[Date]=EDATE($A12,-12))*
              (All_India_Index_Upto_April23__1___1[Sector]="Rural+Urban"),0)),
    INDEX(All_India_Index_Upto_April23__1___1[Sugar and Confectionery],
      MATCH(1,(All_India_Index_Upto_April23__1___1[Date]=EDATE($A12,-12))*
              (All_India_Index_Upto_April23__1___1[Sector]="Rural+Urban"),0)),
    INDEX(All_India_Index_Upto_April23__1___1[Spices],
      MATCH(1,(All_India_Index_Upto_April23__1___1[Date]=EDATE($A12,-12))*
              (All_India_Index_Upto_April23__1___1[Sector]="Rural+Urban"),0)),
    INDEX(All_India_Index_Upto_April23__1___1[Non-alcoholic beverages],
      MATCH(1,(All_India_Index_Upto_April23__1___1[Date]=EDATE($A12,-12))*
              (All_India_Index_Upto_April23__1___1[Sector]="Rural+Urban"),0)),
    INDEX(All_India_Index_Upto_April23__1___1[Prepared meals, snacks, sweets etc.],
      MATCH(1,(All_India_Index_Upto_April23__1___1[Date]=EDATE($A12,-12))*
              (All_India_Index_Upto_April23__1___1[Sector]="Rural+Urban"),0))
  ),
"")</f>
        <v>135.30833333333334</v>
      </c>
      <c r="Q12" s="8">
        <f t="shared" si="5"/>
        <v>2.6113198250908406E-2</v>
      </c>
      <c r="R12" cm="1">
        <f t="array" ref="R12">IFERROR(
  INDEX(All_India_Index_Upto_April23__1___1[General index],
    MATCH(1,
      (All_India_Index_Upto_April23__1___1[Date]=$A12)*
      (All_India_Index_Upto_April23__1___1[Sector]="Rural+Urban"),
    0)
  ),
"")</f>
        <v>137.6</v>
      </c>
      <c r="S12" cm="1">
        <f t="array" ref="S12">IFERROR(
  INDEX(All_India_Index_Upto_April23__1___1[General index],
    MATCH(1,
      (All_India_Index_Upto_April23__1___1[Date]=EDATE($A12,-1))*
      (All_India_Index_Upto_April23__1___1[Sector]="Rural+Urban"),
    0)
  ),
"")</f>
        <v>136.1</v>
      </c>
      <c r="T12" s="8">
        <f t="shared" si="6"/>
        <v>1.1021307861866276E-2</v>
      </c>
      <c r="V12" s="77">
        <v>44501</v>
      </c>
      <c r="W12" s="8">
        <v>-6.3291139240506333E-2</v>
      </c>
      <c r="X12" s="8">
        <v>-1.8270401948841837E-3</v>
      </c>
      <c r="Y12" s="8">
        <v>-5.7803468208091026E-3</v>
      </c>
      <c r="Z12" s="8">
        <v>4.8423015174271007E-2</v>
      </c>
      <c r="AA12" s="8">
        <v>7.2507552870089949E-3</v>
      </c>
    </row>
    <row r="13" spans="1:36" x14ac:dyDescent="0.2">
      <c r="A13" s="22">
        <v>43070</v>
      </c>
      <c r="B13">
        <v>2017</v>
      </c>
      <c r="C13" t="s">
        <v>53</v>
      </c>
      <c r="D13" s="2">
        <v>64.2</v>
      </c>
      <c r="E13" s="8">
        <f t="shared" si="1"/>
        <v>7.4766355140186869E-2</v>
      </c>
      <c r="F13" s="8">
        <f t="shared" si="2"/>
        <v>7.4766355140186869E-2</v>
      </c>
      <c r="G13" t="e">
        <f t="shared" si="0"/>
        <v>#N/A</v>
      </c>
      <c r="H13" s="22">
        <v>43070</v>
      </c>
      <c r="I13" cm="1">
        <f t="array" ref="I13">IFERROR(
  INDEX(All_India_Index_Upto_April23__1___1[Fuel and light],
    MATCH(1,
      (All_India_Index_Upto_April23__1___1[Date]=$A13)*
      (All_India_Index_Upto_April23__1___1[Sector]="Rural+Urban"),
    0)
  ),
"")</f>
        <v>136.6</v>
      </c>
      <c r="J13" cm="1">
        <f t="array" ref="J13">IFERROR(
  INDEX(All_India_Index_Upto_April23__1___1[Fuel and light],
    MATCH(1,
      (All_India_Index_Upto_April23__1___1[Date]=EDATE($A13,-1))*
      (All_India_Index_Upto_April23__1___1[Sector]="Rural+Urban"),
    0)
  ),
"")</f>
        <v>135.30000000000001</v>
      </c>
      <c r="K13" s="8">
        <f t="shared" si="3"/>
        <v>9.6082779009607003E-3</v>
      </c>
      <c r="L13" cm="1">
        <f t="array" ref="L13">IFERROR(
  INDEX(All_India_Index_Upto_April23__1___1[Transport and communication],
    MATCH(1,
      (All_India_Index_Upto_April23__1___1[Date]=$A13)*
      (All_India_Index_Upto_April23__1___1[Sector]="Rural+Urban"),
    0)
  ),
"")</f>
        <v>118.5</v>
      </c>
      <c r="M13" cm="1">
        <f t="array" ref="M13">IFERROR(
  INDEX(All_India_Index_Upto_April23__1___1[Transport and communication],
    MATCH(1,
      (All_India_Index_Upto_April23__1___1[Date]=EDATE($A13,-1))*
      (All_India_Index_Upto_April23__1___1[Sector]="Rural+Urban"),
    0)
  ),
"")</f>
        <v>118.3</v>
      </c>
      <c r="N13" s="8">
        <f t="shared" si="4"/>
        <v>1.6906170752324838E-3</v>
      </c>
      <c r="O13" s="2" cm="1">
        <f t="array" ref="O13">IFERROR(
  AVERAGE(
    INDEX(All_India_Index_Upto_April23__1___1[Cereals and products],
      MATCH(1,(All_India_Index_Upto_April23__1___1[Date]=$A13)*
              (All_India_Index_Upto_April23__1___1[Sector]="Rural+Urban"),0)),
    INDEX(All_India_Index_Upto_April23__1___1[Meat and fish],
      MATCH(1,(All_India_Index_Upto_April23__1___1[Date]=$A13)*
              (All_India_Index_Upto_April23__1___1[Sector]="Rural+Urban"),0)),
    INDEX(All_India_Index_Upto_April23__1___1[Egg],
      MATCH(1,(All_India_Index_Upto_April23__1___1[Date]=$A13)*
              (All_India_Index_Upto_April23__1___1[Sector]="Rural+Urban"),0)),
    INDEX(All_India_Index_Upto_April23__1___1[Milk and products],
      MATCH(1,(All_India_Index_Upto_April23__1___1[Date]=$A13)*
              (All_India_Index_Upto_April23__1___1[Sector]="Rural+Urban"),0)),
    INDEX(All_India_Index_Upto_April23__1___1[Oils and fats],
      MATCH(1,(All_India_Index_Upto_April23__1___1[Date]=$A13)*
              (All_India_Index_Upto_April23__1___1[Sector]="Rural+Urban"),0)),
    INDEX(All_India_Index_Upto_April23__1___1[Fruits],
      MATCH(1,(All_India_Index_Upto_April23__1___1[Date]=$A13)*
              (All_India_Index_Upto_April23__1___1[Sector]="Rural+Urban"),0)),
    INDEX(All_India_Index_Upto_April23__1___1[Vegetables],
      MATCH(1,(All_India_Index_Upto_April23__1___1[Date]=$A13)*
              (All_India_Index_Upto_April23__1___1[Sector]="Rural+Urban"),0)),
    INDEX(All_India_Index_Upto_April23__1___1[Pulses and products],
      MATCH(1,(All_India_Index_Upto_April23__1___1[Date]=$A13)*
              (All_India_Index_Upto_April23__1___1[Sector]="Rural+Urban"),0)),
    INDEX(All_India_Index_Upto_April23__1___1[Sugar and Confectionery],
      MATCH(1,(All_India_Index_Upto_April23__1___1[Date]=$A13)*
              (All_India_Index_Upto_April23__1___1[Sector]="Rural+Urban"),0)),
    INDEX(All_India_Index_Upto_April23__1___1[Spices],
      MATCH(1,(All_India_Index_Upto_April23__1___1[Date]=$A13)*
              (All_India_Index_Upto_April23__1___1[Sector]="Rural+Urban"),0)),
    INDEX(All_India_Index_Upto_April23__1___1[Non-alcoholic beverages],
      MATCH(1,(All_India_Index_Upto_April23__1___1[Date]=$A13)*
              (All_India_Index_Upto_April23__1___1[Sector]="Rural+Urban"),0)),
    INDEX(All_India_Index_Upto_April23__1___1[Prepared meals, snacks, sweets etc.],
      MATCH(1,(All_India_Index_Upto_April23__1___1[Date]=$A13)*
              (All_India_Index_Upto_April23__1___1[Sector]="Rural+Urban"),0))
  ),
"")</f>
        <v>137.87499999999997</v>
      </c>
      <c r="P13" s="2" cm="1">
        <f t="array" ref="P13">IFERROR(
  AVERAGE(
    INDEX(All_India_Index_Upto_April23__1___1[Cereals and products],
      MATCH(1,(All_India_Index_Upto_April23__1___1[Date]=EDATE($A13,-12))*
              (All_India_Index_Upto_April23__1___1[Sector]="Rural+Urban"),0)),
    INDEX(All_India_Index_Upto_April23__1___1[Meat and fish],
      MATCH(1,(All_India_Index_Upto_April23__1___1[Date]=EDATE($A13,-12))*
              (All_India_Index_Upto_April23__1___1[Sector]="Rural+Urban"),0)),
    INDEX(All_India_Index_Upto_April23__1___1[Egg],
      MATCH(1,(All_India_Index_Upto_April23__1___1[Date]=EDATE($A13,-12))*
              (All_India_Index_Upto_April23__1___1[Sector]="Rural+Urban"),0)),
    INDEX(All_India_Index_Upto_April23__1___1[Milk and products],
      MATCH(1,(All_India_Index_Upto_April23__1___1[Date]=EDATE($A13,-12))*
              (All_India_Index_Upto_April23__1___1[Sector]="Rural+Urban"),0)),
    INDEX(All_India_Index_Upto_April23__1___1[Oils and fats],
      MATCH(1,(All_India_Index_Upto_April23__1___1[Date]=EDATE($A13,-12))*
              (All_India_Index_Upto_April23__1___1[Sector]="Rural+Urban"),0)),
    INDEX(All_India_Index_Upto_April23__1___1[Fruits],
      MATCH(1,(All_India_Index_Upto_April23__1___1[Date]=EDATE($A13,-12))*
              (All_India_Index_Upto_April23__1___1[Sector]="Rural+Urban"),0)),
    INDEX(All_India_Index_Upto_April23__1___1[Vegetables],
      MATCH(1,(All_India_Index_Upto_April23__1___1[Date]=EDATE($A13,-12))*
              (All_India_Index_Upto_April23__1___1[Sector]="Rural+Urban"),0)),
    INDEX(All_India_Index_Upto_April23__1___1[Pulses and products],
      MATCH(1,(All_India_Index_Upto_April23__1___1[Date]=EDATE($A13,-12))*
              (All_India_Index_Upto_April23__1___1[Sector]="Rural+Urban"),0)),
    INDEX(All_India_Index_Upto_April23__1___1[Sugar and Confectionery],
      MATCH(1,(All_India_Index_Upto_April23__1___1[Date]=EDATE($A13,-12))*
              (All_India_Index_Upto_April23__1___1[Sector]="Rural+Urban"),0)),
    INDEX(All_India_Index_Upto_April23__1___1[Spices],
      MATCH(1,(All_India_Index_Upto_April23__1___1[Date]=EDATE($A13,-12))*
              (All_India_Index_Upto_April23__1___1[Sector]="Rural+Urban"),0)),
    INDEX(All_India_Index_Upto_April23__1___1[Non-alcoholic beverages],
      MATCH(1,(All_India_Index_Upto_April23__1___1[Date]=EDATE($A13,-12))*
              (All_India_Index_Upto_April23__1___1[Sector]="Rural+Urban"),0)),
    INDEX(All_India_Index_Upto_April23__1___1[Prepared meals, snacks, sweets etc.],
      MATCH(1,(All_India_Index_Upto_April23__1___1[Date]=EDATE($A13,-12))*
              (All_India_Index_Upto_April23__1___1[Sector]="Rural+Urban"),0))
  ),
"")</f>
        <v>133.89166666666668</v>
      </c>
      <c r="Q13" s="8">
        <f t="shared" si="5"/>
        <v>2.9750420115764918E-2</v>
      </c>
      <c r="R13" cm="1">
        <f t="array" ref="R13">IFERROR(
  INDEX(All_India_Index_Upto_April23__1___1[General index],
    MATCH(1,
      (All_India_Index_Upto_April23__1___1[Date]=$A13)*
      (All_India_Index_Upto_April23__1___1[Sector]="Rural+Urban"),
    0)
  ),
"")</f>
        <v>137.19999999999999</v>
      </c>
      <c r="S13" cm="1">
        <f t="array" ref="S13">IFERROR(
  INDEX(All_India_Index_Upto_April23__1___1[General index],
    MATCH(1,
      (All_India_Index_Upto_April23__1___1[Date]=EDATE($A13,-1))*
      (All_India_Index_Upto_April23__1___1[Sector]="Rural+Urban"),
    0)
  ),
"")</f>
        <v>137.6</v>
      </c>
      <c r="T13" s="8">
        <f t="shared" si="6"/>
        <v>-2.9069767441860881E-3</v>
      </c>
      <c r="V13" s="77">
        <v>44531</v>
      </c>
      <c r="W13" s="8">
        <v>0.13513513513513514</v>
      </c>
      <c r="X13" s="8">
        <v>1.2202562538132314E-3</v>
      </c>
      <c r="Y13" s="8">
        <v>5.8139534883719455E-3</v>
      </c>
      <c r="Z13" s="8">
        <v>3.5499305448371661E-2</v>
      </c>
      <c r="AA13" s="8">
        <v>-2.999400119976005E-3</v>
      </c>
    </row>
    <row r="14" spans="1:36" x14ac:dyDescent="0.2">
      <c r="A14" s="22">
        <v>43101</v>
      </c>
      <c r="B14">
        <v>2018</v>
      </c>
      <c r="C14" t="s">
        <v>31</v>
      </c>
      <c r="D14" s="2">
        <v>69</v>
      </c>
      <c r="E14" s="8">
        <f t="shared" si="1"/>
        <v>-5.2173913043478182E-2</v>
      </c>
      <c r="F14" s="8">
        <f t="shared" si="2"/>
        <v>-5.2173913043478182E-2</v>
      </c>
      <c r="G14" t="e">
        <f t="shared" si="0"/>
        <v>#N/A</v>
      </c>
      <c r="H14" s="22">
        <v>43101</v>
      </c>
      <c r="I14" cm="1">
        <f t="array" ref="I14">IFERROR(
  INDEX(All_India_Index_Upto_April23__1___1[Fuel and light],
    MATCH(1,
      (All_India_Index_Upto_April23__1___1[Date]=$A14)*
      (All_India_Index_Upto_April23__1___1[Sector]="Rural+Urban"),
    0)
  ),
"")</f>
        <v>136.6</v>
      </c>
      <c r="J14" cm="1">
        <f t="array" ref="J14">IFERROR(
  INDEX(All_India_Index_Upto_April23__1___1[Fuel and light],
    MATCH(1,
      (All_India_Index_Upto_April23__1___1[Date]=EDATE($A14,-1))*
      (All_India_Index_Upto_April23__1___1[Sector]="Rural+Urban"),
    0)
  ),
"")</f>
        <v>136.6</v>
      </c>
      <c r="K14" s="8">
        <f t="shared" si="3"/>
        <v>0</v>
      </c>
      <c r="L14" cm="1">
        <f t="array" ref="L14">IFERROR(
  INDEX(All_India_Index_Upto_April23__1___1[Transport and communication],
    MATCH(1,
      (All_India_Index_Upto_April23__1___1[Date]=$A14)*
      (All_India_Index_Upto_April23__1___1[Sector]="Rural+Urban"),
    0)
  ),
"")</f>
        <v>119.3</v>
      </c>
      <c r="M14" cm="1">
        <f t="array" ref="M14">IFERROR(
  INDEX(All_India_Index_Upto_April23__1___1[Transport and communication],
    MATCH(1,
      (All_India_Index_Upto_April23__1___1[Date]=EDATE($A14,-1))*
      (All_India_Index_Upto_April23__1___1[Sector]="Rural+Urban"),
    0)
  ),
"")</f>
        <v>118.5</v>
      </c>
      <c r="N14" s="8">
        <f t="shared" si="4"/>
        <v>6.7510548523206509E-3</v>
      </c>
      <c r="O14" s="2" cm="1">
        <f t="array" ref="O14">IFERROR(
  AVERAGE(
    INDEX(All_India_Index_Upto_April23__1___1[Cereals and products],
      MATCH(1,(All_India_Index_Upto_April23__1___1[Date]=$A14)*
              (All_India_Index_Upto_April23__1___1[Sector]="Rural+Urban"),0)),
    INDEX(All_India_Index_Upto_April23__1___1[Meat and fish],
      MATCH(1,(All_India_Index_Upto_April23__1___1[Date]=$A14)*
              (All_India_Index_Upto_April23__1___1[Sector]="Rural+Urban"),0)),
    INDEX(All_India_Index_Upto_April23__1___1[Egg],
      MATCH(1,(All_India_Index_Upto_April23__1___1[Date]=$A14)*
              (All_India_Index_Upto_April23__1___1[Sector]="Rural+Urban"),0)),
    INDEX(All_India_Index_Upto_April23__1___1[Milk and products],
      MATCH(1,(All_India_Index_Upto_April23__1___1[Date]=$A14)*
              (All_India_Index_Upto_April23__1___1[Sector]="Rural+Urban"),0)),
    INDEX(All_India_Index_Upto_April23__1___1[Oils and fats],
      MATCH(1,(All_India_Index_Upto_April23__1___1[Date]=$A14)*
              (All_India_Index_Upto_April23__1___1[Sector]="Rural+Urban"),0)),
    INDEX(All_India_Index_Upto_April23__1___1[Fruits],
      MATCH(1,(All_India_Index_Upto_April23__1___1[Date]=$A14)*
              (All_India_Index_Upto_April23__1___1[Sector]="Rural+Urban"),0)),
    INDEX(All_India_Index_Upto_April23__1___1[Vegetables],
      MATCH(1,(All_India_Index_Upto_April23__1___1[Date]=$A14)*
              (All_India_Index_Upto_April23__1___1[Sector]="Rural+Urban"),0)),
    INDEX(All_India_Index_Upto_April23__1___1[Pulses and products],
      MATCH(1,(All_India_Index_Upto_April23__1___1[Date]=$A14)*
              (All_India_Index_Upto_April23__1___1[Sector]="Rural+Urban"),0)),
    INDEX(All_India_Index_Upto_April23__1___1[Sugar and Confectionery],
      MATCH(1,(All_India_Index_Upto_April23__1___1[Date]=$A14)*
              (All_India_Index_Upto_April23__1___1[Sector]="Rural+Urban"),0)),
    INDEX(All_India_Index_Upto_April23__1___1[Spices],
      MATCH(1,(All_India_Index_Upto_April23__1___1[Date]=$A14)*
              (All_India_Index_Upto_April23__1___1[Sector]="Rural+Urban"),0)),
    INDEX(All_India_Index_Upto_April23__1___1[Non-alcoholic beverages],
      MATCH(1,(All_India_Index_Upto_April23__1___1[Date]=$A14)*
              (All_India_Index_Upto_April23__1___1[Sector]="Rural+Urban"),0)),
    INDEX(All_India_Index_Upto_April23__1___1[Prepared meals, snacks, sweets etc.],
      MATCH(1,(All_India_Index_Upto_April23__1___1[Date]=$A14)*
              (All_India_Index_Upto_April23__1___1[Sector]="Rural+Urban"),0))
  ),
"")</f>
        <v>136.72499999999999</v>
      </c>
      <c r="P14" s="2" cm="1">
        <f t="array" ref="P14">IFERROR(
  AVERAGE(
    INDEX(All_India_Index_Upto_April23__1___1[Cereals and products],
      MATCH(1,(All_India_Index_Upto_April23__1___1[Date]=EDATE($A14,-12))*
              (All_India_Index_Upto_April23__1___1[Sector]="Rural+Urban"),0)),
    INDEX(All_India_Index_Upto_April23__1___1[Meat and fish],
      MATCH(1,(All_India_Index_Upto_April23__1___1[Date]=EDATE($A14,-12))*
              (All_India_Index_Upto_April23__1___1[Sector]="Rural+Urban"),0)),
    INDEX(All_India_Index_Upto_April23__1___1[Egg],
      MATCH(1,(All_India_Index_Upto_April23__1___1[Date]=EDATE($A14,-12))*
              (All_India_Index_Upto_April23__1___1[Sector]="Rural+Urban"),0)),
    INDEX(All_India_Index_Upto_April23__1___1[Milk and products],
      MATCH(1,(All_India_Index_Upto_April23__1___1[Date]=EDATE($A14,-12))*
              (All_India_Index_Upto_April23__1___1[Sector]="Rural+Urban"),0)),
    INDEX(All_India_Index_Upto_April23__1___1[Oils and fats],
      MATCH(1,(All_India_Index_Upto_April23__1___1[Date]=EDATE($A14,-12))*
              (All_India_Index_Upto_April23__1___1[Sector]="Rural+Urban"),0)),
    INDEX(All_India_Index_Upto_April23__1___1[Fruits],
      MATCH(1,(All_India_Index_Upto_April23__1___1[Date]=EDATE($A14,-12))*
              (All_India_Index_Upto_April23__1___1[Sector]="Rural+Urban"),0)),
    INDEX(All_India_Index_Upto_April23__1___1[Vegetables],
      MATCH(1,(All_India_Index_Upto_April23__1___1[Date]=EDATE($A14,-12))*
              (All_India_Index_Upto_April23__1___1[Sector]="Rural+Urban"),0)),
    INDEX(All_India_Index_Upto_April23__1___1[Pulses and products],
      MATCH(1,(All_India_Index_Upto_April23__1___1[Date]=EDATE($A14,-12))*
              (All_India_Index_Upto_April23__1___1[Sector]="Rural+Urban"),0)),
    INDEX(All_India_Index_Upto_April23__1___1[Sugar and Confectionery],
      MATCH(1,(All_India_Index_Upto_April23__1___1[Date]=EDATE($A14,-12))*
              (All_India_Index_Upto_April23__1___1[Sector]="Rural+Urban"),0)),
    INDEX(All_India_Index_Upto_April23__1___1[Spices],
      MATCH(1,(All_India_Index_Upto_April23__1___1[Date]=EDATE($A14,-12))*
              (All_India_Index_Upto_April23__1___1[Sector]="Rural+Urban"),0)),
    INDEX(All_India_Index_Upto_April23__1___1[Non-alcoholic beverages],
      MATCH(1,(All_India_Index_Upto_April23__1___1[Date]=EDATE($A14,-12))*
              (All_India_Index_Upto_April23__1___1[Sector]="Rural+Urban"),0)),
    INDEX(All_India_Index_Upto_April23__1___1[Prepared meals, snacks, sweets etc.],
      MATCH(1,(All_India_Index_Upto_April23__1___1[Date]=EDATE($A14,-12))*
              (All_India_Index_Upto_April23__1___1[Sector]="Rural+Urban"),0))
  ),
"")</f>
        <v>132.84999999999997</v>
      </c>
      <c r="Q14" s="8">
        <f t="shared" si="5"/>
        <v>2.9168234851336315E-2</v>
      </c>
      <c r="R14" cm="1">
        <f t="array" ref="R14">IFERROR(
  INDEX(All_India_Index_Upto_April23__1___1[General index],
    MATCH(1,
      (All_India_Index_Upto_April23__1___1[Date]=$A14)*
      (All_India_Index_Upto_April23__1___1[Sector]="Rural+Urban"),
    0)
  ),
"")</f>
        <v>136.9</v>
      </c>
      <c r="S14" cm="1">
        <f t="array" ref="S14">IFERROR(
  INDEX(All_India_Index_Upto_April23__1___1[General index],
    MATCH(1,
      (All_India_Index_Upto_April23__1___1[Date]=EDATE($A14,-1))*
      (All_India_Index_Upto_April23__1___1[Sector]="Rural+Urban"),
    0)
  ),
"")</f>
        <v>137.19999999999999</v>
      </c>
      <c r="T14" s="8">
        <f t="shared" si="6"/>
        <v>-2.1865889212826749E-3</v>
      </c>
      <c r="V14" s="77">
        <v>44562</v>
      </c>
      <c r="W14" s="8">
        <v>0.14285714285714285</v>
      </c>
      <c r="X14" s="8">
        <v>6.0938452163311586E-4</v>
      </c>
      <c r="Y14" s="8">
        <v>5.1380860629416276E-3</v>
      </c>
      <c r="Z14" s="8">
        <v>4.2965283215870634E-2</v>
      </c>
      <c r="AA14" s="8">
        <v>-3.0084235860409147E-3</v>
      </c>
    </row>
    <row r="15" spans="1:36" x14ac:dyDescent="0.2">
      <c r="A15" s="22">
        <v>43132</v>
      </c>
      <c r="B15">
        <v>2018</v>
      </c>
      <c r="C15" t="s">
        <v>35</v>
      </c>
      <c r="D15" s="2">
        <v>65.400000000000006</v>
      </c>
      <c r="E15" s="8">
        <f t="shared" si="1"/>
        <v>1.6819571865443337E-2</v>
      </c>
      <c r="F15" s="8">
        <f t="shared" si="2"/>
        <v>1.6819571865443337E-2</v>
      </c>
      <c r="G15" t="e">
        <f t="shared" si="0"/>
        <v>#N/A</v>
      </c>
      <c r="H15" s="22">
        <v>43132</v>
      </c>
      <c r="I15" cm="1">
        <f t="array" ref="I15">IFERROR(
  INDEX(All_India_Index_Upto_April23__1___1[Fuel and light],
    MATCH(1,
      (All_India_Index_Upto_April23__1___1[Date]=$A15)*
      (All_India_Index_Upto_April23__1___1[Sector]="Rural+Urban"),
    0)
  ),
"")</f>
        <v>136.69999999999999</v>
      </c>
      <c r="J15" cm="1">
        <f t="array" ref="J15">IFERROR(
  INDEX(All_India_Index_Upto_April23__1___1[Fuel and light],
    MATCH(1,
      (All_India_Index_Upto_April23__1___1[Date]=EDATE($A15,-1))*
      (All_India_Index_Upto_April23__1___1[Sector]="Rural+Urban"),
    0)
  ),
"")</f>
        <v>136.6</v>
      </c>
      <c r="K15" s="8">
        <f t="shared" si="3"/>
        <v>7.3206442166906527E-4</v>
      </c>
      <c r="L15" cm="1">
        <f t="array" ref="L15">IFERROR(
  INDEX(All_India_Index_Upto_April23__1___1[Transport and communication],
    MATCH(1,
      (All_India_Index_Upto_April23__1___1[Date]=$A15)*
      (All_India_Index_Upto_April23__1___1[Sector]="Rural+Urban"),
    0)
  ),
"")</f>
        <v>120.2</v>
      </c>
      <c r="M15" cm="1">
        <f t="array" ref="M15">IFERROR(
  INDEX(All_India_Index_Upto_April23__1___1[Transport and communication],
    MATCH(1,
      (All_India_Index_Upto_April23__1___1[Date]=EDATE($A15,-1))*
      (All_India_Index_Upto_April23__1___1[Sector]="Rural+Urban"),
    0)
  ),
"")</f>
        <v>119.3</v>
      </c>
      <c r="N15" s="8">
        <f t="shared" si="4"/>
        <v>7.5440067057837863E-3</v>
      </c>
      <c r="O15" s="2" cm="1">
        <f t="array" ref="O15">IFERROR(
  AVERAGE(
    INDEX(All_India_Index_Upto_April23__1___1[Cereals and products],
      MATCH(1,(All_India_Index_Upto_April23__1___1[Date]=$A15)*
              (All_India_Index_Upto_April23__1___1[Sector]="Rural+Urban"),0)),
    INDEX(All_India_Index_Upto_April23__1___1[Meat and fish],
      MATCH(1,(All_India_Index_Upto_April23__1___1[Date]=$A15)*
              (All_India_Index_Upto_April23__1___1[Sector]="Rural+Urban"),0)),
    INDEX(All_India_Index_Upto_April23__1___1[Egg],
      MATCH(1,(All_India_Index_Upto_April23__1___1[Date]=$A15)*
              (All_India_Index_Upto_April23__1___1[Sector]="Rural+Urban"),0)),
    INDEX(All_India_Index_Upto_April23__1___1[Milk and products],
      MATCH(1,(All_India_Index_Upto_April23__1___1[Date]=$A15)*
              (All_India_Index_Upto_April23__1___1[Sector]="Rural+Urban"),0)),
    INDEX(All_India_Index_Upto_April23__1___1[Oils and fats],
      MATCH(1,(All_India_Index_Upto_April23__1___1[Date]=$A15)*
              (All_India_Index_Upto_April23__1___1[Sector]="Rural+Urban"),0)),
    INDEX(All_India_Index_Upto_April23__1___1[Fruits],
      MATCH(1,(All_India_Index_Upto_April23__1___1[Date]=$A15)*
              (All_India_Index_Upto_April23__1___1[Sector]="Rural+Urban"),0)),
    INDEX(All_India_Index_Upto_April23__1___1[Vegetables],
      MATCH(1,(All_India_Index_Upto_April23__1___1[Date]=$A15)*
              (All_India_Index_Upto_April23__1___1[Sector]="Rural+Urban"),0)),
    INDEX(All_India_Index_Upto_April23__1___1[Pulses and products],
      MATCH(1,(All_India_Index_Upto_April23__1___1[Date]=$A15)*
              (All_India_Index_Upto_April23__1___1[Sector]="Rural+Urban"),0)),
    INDEX(All_India_Index_Upto_April23__1___1[Sugar and Confectionery],
      MATCH(1,(All_India_Index_Upto_April23__1___1[Date]=$A15)*
              (All_India_Index_Upto_April23__1___1[Sector]="Rural+Urban"),0)),
    INDEX(All_India_Index_Upto_April23__1___1[Spices],
      MATCH(1,(All_India_Index_Upto_April23__1___1[Date]=$A15)*
              (All_India_Index_Upto_April23__1___1[Sector]="Rural+Urban"),0)),
    INDEX(All_India_Index_Upto_April23__1___1[Non-alcoholic beverages],
      MATCH(1,(All_India_Index_Upto_April23__1___1[Date]=$A15)*
              (All_India_Index_Upto_April23__1___1[Sector]="Rural+Urban"),0)),
    INDEX(All_India_Index_Upto_April23__1___1[Prepared meals, snacks, sweets etc.],
      MATCH(1,(All_India_Index_Upto_April23__1___1[Date]=$A15)*
              (All_India_Index_Upto_April23__1___1[Sector]="Rural+Urban"),0))
  ),
"")</f>
        <v>135.23333333333332</v>
      </c>
      <c r="P15" s="2" cm="1">
        <f t="array" ref="P15">IFERROR(
  AVERAGE(
    INDEX(All_India_Index_Upto_April23__1___1[Cereals and products],
      MATCH(1,(All_India_Index_Upto_April23__1___1[Date]=EDATE($A15,-12))*
              (All_India_Index_Upto_April23__1___1[Sector]="Rural+Urban"),0)),
    INDEX(All_India_Index_Upto_April23__1___1[Meat and fish],
      MATCH(1,(All_India_Index_Upto_April23__1___1[Date]=EDATE($A15,-12))*
              (All_India_Index_Upto_April23__1___1[Sector]="Rural+Urban"),0)),
    INDEX(All_India_Index_Upto_April23__1___1[Egg],
      MATCH(1,(All_India_Index_Upto_April23__1___1[Date]=EDATE($A15,-12))*
              (All_India_Index_Upto_April23__1___1[Sector]="Rural+Urban"),0)),
    INDEX(All_India_Index_Upto_April23__1___1[Milk and products],
      MATCH(1,(All_India_Index_Upto_April23__1___1[Date]=EDATE($A15,-12))*
              (All_India_Index_Upto_April23__1___1[Sector]="Rural+Urban"),0)),
    INDEX(All_India_Index_Upto_April23__1___1[Oils and fats],
      MATCH(1,(All_India_Index_Upto_April23__1___1[Date]=EDATE($A15,-12))*
              (All_India_Index_Upto_April23__1___1[Sector]="Rural+Urban"),0)),
    INDEX(All_India_Index_Upto_April23__1___1[Fruits],
      MATCH(1,(All_India_Index_Upto_April23__1___1[Date]=EDATE($A15,-12))*
              (All_India_Index_Upto_April23__1___1[Sector]="Rural+Urban"),0)),
    INDEX(All_India_Index_Upto_April23__1___1[Vegetables],
      MATCH(1,(All_India_Index_Upto_April23__1___1[Date]=EDATE($A15,-12))*
              (All_India_Index_Upto_April23__1___1[Sector]="Rural+Urban"),0)),
    INDEX(All_India_Index_Upto_April23__1___1[Pulses and products],
      MATCH(1,(All_India_Index_Upto_April23__1___1[Date]=EDATE($A15,-12))*
              (All_India_Index_Upto_April23__1___1[Sector]="Rural+Urban"),0)),
    INDEX(All_India_Index_Upto_April23__1___1[Sugar and Confectionery],
      MATCH(1,(All_India_Index_Upto_April23__1___1[Date]=EDATE($A15,-12))*
              (All_India_Index_Upto_April23__1___1[Sector]="Rural+Urban"),0)),
    INDEX(All_India_Index_Upto_April23__1___1[Spices],
      MATCH(1,(All_India_Index_Upto_April23__1___1[Date]=EDATE($A15,-12))*
              (All_India_Index_Upto_April23__1___1[Sector]="Rural+Urban"),0)),
    INDEX(All_India_Index_Upto_April23__1___1[Non-alcoholic beverages],
      MATCH(1,(All_India_Index_Upto_April23__1___1[Date]=EDATE($A15,-12))*
              (All_India_Index_Upto_April23__1___1[Sector]="Rural+Urban"),0)),
    INDEX(All_India_Index_Upto_April23__1___1[Prepared meals, snacks, sweets etc.],
      MATCH(1,(All_India_Index_Upto_April23__1___1[Date]=EDATE($A15,-12))*
              (All_India_Index_Upto_April23__1___1[Sector]="Rural+Urban"),0))
  ),
"")</f>
        <v>132.44166666666669</v>
      </c>
      <c r="Q15" s="8">
        <f t="shared" si="5"/>
        <v>2.1078462216069679E-2</v>
      </c>
      <c r="R15" cm="1">
        <f t="array" ref="R15">IFERROR(
  INDEX(All_India_Index_Upto_April23__1___1[General index],
    MATCH(1,
      (All_India_Index_Upto_April23__1___1[Date]=$A15)*
      (All_India_Index_Upto_April23__1___1[Sector]="Rural+Urban"),
    0)
  ),
"")</f>
        <v>136.4</v>
      </c>
      <c r="S15" cm="1">
        <f t="array" ref="S15">IFERROR(
  INDEX(All_India_Index_Upto_April23__1___1[General index],
    MATCH(1,
      (All_India_Index_Upto_April23__1___1[Date]=EDATE($A15,-1))*
      (All_India_Index_Upto_April23__1___1[Sector]="Rural+Urban"),
    0)
  ),
"")</f>
        <v>136.9</v>
      </c>
      <c r="T15" s="8">
        <f t="shared" si="6"/>
        <v>-3.6523009495982466E-3</v>
      </c>
      <c r="V15" s="77">
        <v>44593</v>
      </c>
      <c r="W15" s="8">
        <v>0.22916666666666666</v>
      </c>
      <c r="X15" s="8">
        <v>9.1352009744214372E-3</v>
      </c>
      <c r="Y15" s="8">
        <v>2.5559105431310269E-3</v>
      </c>
      <c r="Z15" s="8">
        <v>5.9817254568635916E-2</v>
      </c>
      <c r="AA15" s="8">
        <v>2.4140012070006378E-3</v>
      </c>
    </row>
    <row r="16" spans="1:36" x14ac:dyDescent="0.2">
      <c r="A16" s="22">
        <v>43160</v>
      </c>
      <c r="B16">
        <v>2018</v>
      </c>
      <c r="C16" t="s">
        <v>37</v>
      </c>
      <c r="D16" s="2">
        <v>66.5</v>
      </c>
      <c r="E16" s="8">
        <f t="shared" si="1"/>
        <v>7.6691729323308186E-2</v>
      </c>
      <c r="F16" s="8">
        <f t="shared" si="2"/>
        <v>7.6691729323308186E-2</v>
      </c>
      <c r="G16" t="e">
        <f t="shared" si="0"/>
        <v>#N/A</v>
      </c>
      <c r="H16" s="22">
        <v>43160</v>
      </c>
      <c r="I16" cm="1">
        <f t="array" ref="I16">IFERROR(
  INDEX(All_India_Index_Upto_April23__1___1[Fuel and light],
    MATCH(1,
      (All_India_Index_Upto_April23__1___1[Date]=$A16)*
      (All_India_Index_Upto_April23__1___1[Sector]="Rural+Urban"),
    0)
  ),
"")</f>
        <v>136.5</v>
      </c>
      <c r="J16" cm="1">
        <f t="array" ref="J16">IFERROR(
  INDEX(All_India_Index_Upto_April23__1___1[Fuel and light],
    MATCH(1,
      (All_India_Index_Upto_April23__1___1[Date]=EDATE($A16,-1))*
      (All_India_Index_Upto_April23__1___1[Sector]="Rural+Urban"),
    0)
  ),
"")</f>
        <v>136.69999999999999</v>
      </c>
      <c r="K16" s="8">
        <f t="shared" si="3"/>
        <v>-1.4630577907826529E-3</v>
      </c>
      <c r="L16" cm="1">
        <f t="array" ref="L16">IFERROR(
  INDEX(All_India_Index_Upto_April23__1___1[Transport and communication],
    MATCH(1,
      (All_India_Index_Upto_April23__1___1[Date]=$A16)*
      (All_India_Index_Upto_April23__1___1[Sector]="Rural+Urban"),
    0)
  ),
"")</f>
        <v>121</v>
      </c>
      <c r="M16" cm="1">
        <f t="array" ref="M16">IFERROR(
  INDEX(All_India_Index_Upto_April23__1___1[Transport and communication],
    MATCH(1,
      (All_India_Index_Upto_April23__1___1[Date]=EDATE($A16,-1))*
      (All_India_Index_Upto_April23__1___1[Sector]="Rural+Urban"),
    0)
  ),
"")</f>
        <v>120.2</v>
      </c>
      <c r="N16" s="8">
        <f t="shared" si="4"/>
        <v>6.6555740432612072E-3</v>
      </c>
      <c r="O16" s="2" cm="1">
        <f t="array" ref="O16">IFERROR(
  AVERAGE(
    INDEX(All_India_Index_Upto_April23__1___1[Cereals and products],
      MATCH(1,(All_India_Index_Upto_April23__1___1[Date]=$A16)*
              (All_India_Index_Upto_April23__1___1[Sector]="Rural+Urban"),0)),
    INDEX(All_India_Index_Upto_April23__1___1[Meat and fish],
      MATCH(1,(All_India_Index_Upto_April23__1___1[Date]=$A16)*
              (All_India_Index_Upto_April23__1___1[Sector]="Rural+Urban"),0)),
    INDEX(All_India_Index_Upto_April23__1___1[Egg],
      MATCH(1,(All_India_Index_Upto_April23__1___1[Date]=$A16)*
              (All_India_Index_Upto_April23__1___1[Sector]="Rural+Urban"),0)),
    INDEX(All_India_Index_Upto_April23__1___1[Milk and products],
      MATCH(1,(All_India_Index_Upto_April23__1___1[Date]=$A16)*
              (All_India_Index_Upto_April23__1___1[Sector]="Rural+Urban"),0)),
    INDEX(All_India_Index_Upto_April23__1___1[Oils and fats],
      MATCH(1,(All_India_Index_Upto_April23__1___1[Date]=$A16)*
              (All_India_Index_Upto_April23__1___1[Sector]="Rural+Urban"),0)),
    INDEX(All_India_Index_Upto_April23__1___1[Fruits],
      MATCH(1,(All_India_Index_Upto_April23__1___1[Date]=$A16)*
              (All_India_Index_Upto_April23__1___1[Sector]="Rural+Urban"),0)),
    INDEX(All_India_Index_Upto_April23__1___1[Vegetables],
      MATCH(1,(All_India_Index_Upto_April23__1___1[Date]=$A16)*
              (All_India_Index_Upto_April23__1___1[Sector]="Rural+Urban"),0)),
    INDEX(All_India_Index_Upto_April23__1___1[Pulses and products],
      MATCH(1,(All_India_Index_Upto_April23__1___1[Date]=$A16)*
              (All_India_Index_Upto_April23__1___1[Sector]="Rural+Urban"),0)),
    INDEX(All_India_Index_Upto_April23__1___1[Sugar and Confectionery],
      MATCH(1,(All_India_Index_Upto_April23__1___1[Date]=$A16)*
              (All_India_Index_Upto_April23__1___1[Sector]="Rural+Urban"),0)),
    INDEX(All_India_Index_Upto_April23__1___1[Spices],
      MATCH(1,(All_India_Index_Upto_April23__1___1[Date]=$A16)*
              (All_India_Index_Upto_April23__1___1[Sector]="Rural+Urban"),0)),
    INDEX(All_India_Index_Upto_April23__1___1[Non-alcoholic beverages],
      MATCH(1,(All_India_Index_Upto_April23__1___1[Date]=$A16)*
              (All_India_Index_Upto_April23__1___1[Sector]="Rural+Urban"),0)),
    INDEX(All_India_Index_Upto_April23__1___1[Prepared meals, snacks, sweets etc.],
      MATCH(1,(All_India_Index_Upto_April23__1___1[Date]=$A16)*
              (All_India_Index_Upto_April23__1___1[Sector]="Rural+Urban"),0))
  ),
"")</f>
        <v>134.9</v>
      </c>
      <c r="P16" s="2" cm="1">
        <f t="array" ref="P16">IFERROR(
  AVERAGE(
    INDEX(All_India_Index_Upto_April23__1___1[Cereals and products],
      MATCH(1,(All_India_Index_Upto_April23__1___1[Date]=EDATE($A16,-12))*
              (All_India_Index_Upto_April23__1___1[Sector]="Rural+Urban"),0)),
    INDEX(All_India_Index_Upto_April23__1___1[Meat and fish],
      MATCH(1,(All_India_Index_Upto_April23__1___1[Date]=EDATE($A16,-12))*
              (All_India_Index_Upto_April23__1___1[Sector]="Rural+Urban"),0)),
    INDEX(All_India_Index_Upto_April23__1___1[Egg],
      MATCH(1,(All_India_Index_Upto_April23__1___1[Date]=EDATE($A16,-12))*
              (All_India_Index_Upto_April23__1___1[Sector]="Rural+Urban"),0)),
    INDEX(All_India_Index_Upto_April23__1___1[Milk and products],
      MATCH(1,(All_India_Index_Upto_April23__1___1[Date]=EDATE($A16,-12))*
              (All_India_Index_Upto_April23__1___1[Sector]="Rural+Urban"),0)),
    INDEX(All_India_Index_Upto_April23__1___1[Oils and fats],
      MATCH(1,(All_India_Index_Upto_April23__1___1[Date]=EDATE($A16,-12))*
              (All_India_Index_Upto_April23__1___1[Sector]="Rural+Urban"),0)),
    INDEX(All_India_Index_Upto_April23__1___1[Fruits],
      MATCH(1,(All_India_Index_Upto_April23__1___1[Date]=EDATE($A16,-12))*
              (All_India_Index_Upto_April23__1___1[Sector]="Rural+Urban"),0)),
    INDEX(All_India_Index_Upto_April23__1___1[Vegetables],
      MATCH(1,(All_India_Index_Upto_April23__1___1[Date]=EDATE($A16,-12))*
              (All_India_Index_Upto_April23__1___1[Sector]="Rural+Urban"),0)),
    INDEX(All_India_Index_Upto_April23__1___1[Pulses and products],
      MATCH(1,(All_India_Index_Upto_April23__1___1[Date]=EDATE($A16,-12))*
              (All_India_Index_Upto_April23__1___1[Sector]="Rural+Urban"),0)),
    INDEX(All_India_Index_Upto_April23__1___1[Sugar and Confectionery],
      MATCH(1,(All_India_Index_Upto_April23__1___1[Date]=EDATE($A16,-12))*
              (All_India_Index_Upto_April23__1___1[Sector]="Rural+Urban"),0)),
    INDEX(All_India_Index_Upto_April23__1___1[Spices],
      MATCH(1,(All_India_Index_Upto_April23__1___1[Date]=EDATE($A16,-12))*
              (All_India_Index_Upto_April23__1___1[Sector]="Rural+Urban"),0)),
    INDEX(All_India_Index_Upto_April23__1___1[Non-alcoholic beverages],
      MATCH(1,(All_India_Index_Upto_April23__1___1[Date]=EDATE($A16,-12))*
              (All_India_Index_Upto_April23__1___1[Sector]="Rural+Urban"),0)),
    INDEX(All_India_Index_Upto_April23__1___1[Prepared meals, snacks, sweets etc.],
      MATCH(1,(All_India_Index_Upto_April23__1___1[Date]=EDATE($A16,-12))*
              (All_India_Index_Upto_April23__1___1[Sector]="Rural+Urban"),0))
  ),
"")</f>
        <v>132.15</v>
      </c>
      <c r="Q16" s="8">
        <f t="shared" si="5"/>
        <v>2.0809685962920921E-2</v>
      </c>
      <c r="R16" cm="1">
        <f t="array" ref="R16">IFERROR(
  INDEX(All_India_Index_Upto_April23__1___1[General index],
    MATCH(1,
      (All_India_Index_Upto_April23__1___1[Date]=$A16)*
      (All_India_Index_Upto_April23__1___1[Sector]="Rural+Urban"),
    0)
  ),
"")</f>
        <v>136.5</v>
      </c>
      <c r="S16" cm="1">
        <f t="array" ref="S16">IFERROR(
  INDEX(All_India_Index_Upto_April23__1___1[General index],
    MATCH(1,
      (All_India_Index_Upto_April23__1___1[Date]=EDATE($A16,-1))*
      (All_India_Index_Upto_April23__1___1[Sector]="Rural+Urban"),
    0)
  ),
"")</f>
        <v>136.4</v>
      </c>
      <c r="T16" s="8">
        <f t="shared" si="6"/>
        <v>7.3313782991198172E-4</v>
      </c>
      <c r="V16" s="77">
        <v>44621</v>
      </c>
      <c r="W16" s="8">
        <v>-0.11016949152542373</v>
      </c>
      <c r="X16" s="8">
        <v>9.0525045262522634E-3</v>
      </c>
      <c r="Y16" s="8">
        <v>6.3734862970044612E-3</v>
      </c>
      <c r="Z16" s="8">
        <v>7.069634036224591E-2</v>
      </c>
      <c r="AA16" s="8">
        <v>9.6327513546056245E-3</v>
      </c>
    </row>
    <row r="17" spans="1:27" x14ac:dyDescent="0.2">
      <c r="A17" s="22">
        <v>43191</v>
      </c>
      <c r="B17">
        <v>2018</v>
      </c>
      <c r="C17" t="s">
        <v>38</v>
      </c>
      <c r="D17" s="2">
        <v>71.599999999999994</v>
      </c>
      <c r="E17" s="8">
        <f t="shared" si="1"/>
        <v>7.1229050279329728E-2</v>
      </c>
      <c r="F17" s="8">
        <f t="shared" si="2"/>
        <v>7.1229050279329728E-2</v>
      </c>
      <c r="G17" t="e">
        <f t="shared" si="0"/>
        <v>#N/A</v>
      </c>
      <c r="H17" s="22">
        <v>43191</v>
      </c>
      <c r="I17" cm="1">
        <f t="array" ref="I17">IFERROR(
  INDEX(All_India_Index_Upto_April23__1___1[Fuel and light],
    MATCH(1,
      (All_India_Index_Upto_April23__1___1[Date]=$A17)*
      (All_India_Index_Upto_April23__1___1[Sector]="Rural+Urban"),
    0)
  ),
"")</f>
        <v>136.5</v>
      </c>
      <c r="J17" cm="1">
        <f t="array" ref="J17">IFERROR(
  INDEX(All_India_Index_Upto_April23__1___1[Fuel and light],
    MATCH(1,
      (All_India_Index_Upto_April23__1___1[Date]=EDATE($A17,-1))*
      (All_India_Index_Upto_April23__1___1[Sector]="Rural+Urban"),
    0)
  ),
"")</f>
        <v>136.5</v>
      </c>
      <c r="K17" s="8">
        <f t="shared" si="3"/>
        <v>0</v>
      </c>
      <c r="L17" cm="1">
        <f t="array" ref="L17">IFERROR(
  INDEX(All_India_Index_Upto_April23__1___1[Transport and communication],
    MATCH(1,
      (All_India_Index_Upto_April23__1___1[Date]=$A17)*
      (All_India_Index_Upto_April23__1___1[Sector]="Rural+Urban"),
    0)
  ),
"")</f>
        <v>121.9</v>
      </c>
      <c r="M17" cm="1">
        <f t="array" ref="M17">IFERROR(
  INDEX(All_India_Index_Upto_April23__1___1[Transport and communication],
    MATCH(1,
      (All_India_Index_Upto_April23__1___1[Date]=EDATE($A17,-1))*
      (All_India_Index_Upto_April23__1___1[Sector]="Rural+Urban"),
    0)
  ),
"")</f>
        <v>121</v>
      </c>
      <c r="N17" s="8">
        <f t="shared" si="4"/>
        <v>7.4380165289256667E-3</v>
      </c>
      <c r="O17" s="2" cm="1">
        <f t="array" ref="O17">IFERROR(
  AVERAGE(
    INDEX(All_India_Index_Upto_April23__1___1[Cereals and products],
      MATCH(1,(All_India_Index_Upto_April23__1___1[Date]=$A17)*
              (All_India_Index_Upto_April23__1___1[Sector]="Rural+Urban"),0)),
    INDEX(All_India_Index_Upto_April23__1___1[Meat and fish],
      MATCH(1,(All_India_Index_Upto_April23__1___1[Date]=$A17)*
              (All_India_Index_Upto_April23__1___1[Sector]="Rural+Urban"),0)),
    INDEX(All_India_Index_Upto_April23__1___1[Egg],
      MATCH(1,(All_India_Index_Upto_April23__1___1[Date]=$A17)*
              (All_India_Index_Upto_April23__1___1[Sector]="Rural+Urban"),0)),
    INDEX(All_India_Index_Upto_April23__1___1[Milk and products],
      MATCH(1,(All_India_Index_Upto_April23__1___1[Date]=$A17)*
              (All_India_Index_Upto_April23__1___1[Sector]="Rural+Urban"),0)),
    INDEX(All_India_Index_Upto_April23__1___1[Oils and fats],
      MATCH(1,(All_India_Index_Upto_April23__1___1[Date]=$A17)*
              (All_India_Index_Upto_April23__1___1[Sector]="Rural+Urban"),0)),
    INDEX(All_India_Index_Upto_April23__1___1[Fruits],
      MATCH(1,(All_India_Index_Upto_April23__1___1[Date]=$A17)*
              (All_India_Index_Upto_April23__1___1[Sector]="Rural+Urban"),0)),
    INDEX(All_India_Index_Upto_April23__1___1[Vegetables],
      MATCH(1,(All_India_Index_Upto_April23__1___1[Date]=$A17)*
              (All_India_Index_Upto_April23__1___1[Sector]="Rural+Urban"),0)),
    INDEX(All_India_Index_Upto_April23__1___1[Pulses and products],
      MATCH(1,(All_India_Index_Upto_April23__1___1[Date]=$A17)*
              (All_India_Index_Upto_April23__1___1[Sector]="Rural+Urban"),0)),
    INDEX(All_India_Index_Upto_April23__1___1[Sugar and Confectionery],
      MATCH(1,(All_India_Index_Upto_April23__1___1[Date]=$A17)*
              (All_India_Index_Upto_April23__1___1[Sector]="Rural+Urban"),0)),
    INDEX(All_India_Index_Upto_April23__1___1[Spices],
      MATCH(1,(All_India_Index_Upto_April23__1___1[Date]=$A17)*
              (All_India_Index_Upto_April23__1___1[Sector]="Rural+Urban"),0)),
    INDEX(All_India_Index_Upto_April23__1___1[Non-alcoholic beverages],
      MATCH(1,(All_India_Index_Upto_April23__1___1[Date]=$A17)*
              (All_India_Index_Upto_April23__1___1[Sector]="Rural+Urban"),0)),
    INDEX(All_India_Index_Upto_April23__1___1[Prepared meals, snacks, sweets etc.],
      MATCH(1,(All_India_Index_Upto_April23__1___1[Date]=$A17)*
              (All_India_Index_Upto_April23__1___1[Sector]="Rural+Urban"),0))
  ),
"")</f>
        <v>134.96666666666667</v>
      </c>
      <c r="P17" s="2" cm="1">
        <f t="array" ref="P17">IFERROR(
  AVERAGE(
    INDEX(All_India_Index_Upto_April23__1___1[Cereals and products],
      MATCH(1,(All_India_Index_Upto_April23__1___1[Date]=EDATE($A17,-12))*
              (All_India_Index_Upto_April23__1___1[Sector]="Rural+Urban"),0)),
    INDEX(All_India_Index_Upto_April23__1___1[Meat and fish],
      MATCH(1,(All_India_Index_Upto_April23__1___1[Date]=EDATE($A17,-12))*
              (All_India_Index_Upto_April23__1___1[Sector]="Rural+Urban"),0)),
    INDEX(All_India_Index_Upto_April23__1___1[Egg],
      MATCH(1,(All_India_Index_Upto_April23__1___1[Date]=EDATE($A17,-12))*
              (All_India_Index_Upto_April23__1___1[Sector]="Rural+Urban"),0)),
    INDEX(All_India_Index_Upto_April23__1___1[Milk and products],
      MATCH(1,(All_India_Index_Upto_April23__1___1[Date]=EDATE($A17,-12))*
              (All_India_Index_Upto_April23__1___1[Sector]="Rural+Urban"),0)),
    INDEX(All_India_Index_Upto_April23__1___1[Oils and fats],
      MATCH(1,(All_India_Index_Upto_April23__1___1[Date]=EDATE($A17,-12))*
              (All_India_Index_Upto_April23__1___1[Sector]="Rural+Urban"),0)),
    INDEX(All_India_Index_Upto_April23__1___1[Fruits],
      MATCH(1,(All_India_Index_Upto_April23__1___1[Date]=EDATE($A17,-12))*
              (All_India_Index_Upto_April23__1___1[Sector]="Rural+Urban"),0)),
    INDEX(All_India_Index_Upto_April23__1___1[Vegetables],
      MATCH(1,(All_India_Index_Upto_April23__1___1[Date]=EDATE($A17,-12))*
              (All_India_Index_Upto_April23__1___1[Sector]="Rural+Urban"),0)),
    INDEX(All_India_Index_Upto_April23__1___1[Pulses and products],
      MATCH(1,(All_India_Index_Upto_April23__1___1[Date]=EDATE($A17,-12))*
              (All_India_Index_Upto_April23__1___1[Sector]="Rural+Urban"),0)),
    INDEX(All_India_Index_Upto_April23__1___1[Sugar and Confectionery],
      MATCH(1,(All_India_Index_Upto_April23__1___1[Date]=EDATE($A17,-12))*
              (All_India_Index_Upto_April23__1___1[Sector]="Rural+Urban"),0)),
    INDEX(All_India_Index_Upto_April23__1___1[Spices],
      MATCH(1,(All_India_Index_Upto_April23__1___1[Date]=EDATE($A17,-12))*
              (All_India_Index_Upto_April23__1___1[Sector]="Rural+Urban"),0)),
    INDEX(All_India_Index_Upto_April23__1___1[Non-alcoholic beverages],
      MATCH(1,(All_India_Index_Upto_April23__1___1[Date]=EDATE($A17,-12))*
              (All_India_Index_Upto_April23__1___1[Sector]="Rural+Urban"),0)),
    INDEX(All_India_Index_Upto_April23__1___1[Prepared meals, snacks, sweets etc.],
      MATCH(1,(All_India_Index_Upto_April23__1___1[Date]=EDATE($A17,-12))*
              (All_India_Index_Upto_April23__1___1[Sector]="Rural+Urban"),0))
  ),
"")</f>
        <v>132.07500000000002</v>
      </c>
      <c r="Q17" s="8">
        <f t="shared" si="5"/>
        <v>2.1894125812353973E-2</v>
      </c>
      <c r="R17" cm="1">
        <f t="array" ref="R17">IFERROR(
  INDEX(All_India_Index_Upto_April23__1___1[General index],
    MATCH(1,
      (All_India_Index_Upto_April23__1___1[Date]=$A17)*
      (All_India_Index_Upto_April23__1___1[Sector]="Rural+Urban"),
    0)
  ),
"")</f>
        <v>137.1</v>
      </c>
      <c r="S17" cm="1">
        <f t="array" ref="S17">IFERROR(
  INDEX(All_India_Index_Upto_April23__1___1[General index],
    MATCH(1,
      (All_India_Index_Upto_April23__1___1[Date]=EDATE($A17,-1))*
      (All_India_Index_Upto_April23__1___1[Sector]="Rural+Urban"),
    0)
  ),
"")</f>
        <v>136.5</v>
      </c>
      <c r="T17" s="8">
        <f t="shared" si="6"/>
        <v>4.395604395604354E-3</v>
      </c>
      <c r="V17" s="77">
        <v>44652</v>
      </c>
      <c r="W17" s="8">
        <v>7.6190476190476197E-2</v>
      </c>
      <c r="X17" s="8">
        <v>2.9904306220095697E-2</v>
      </c>
      <c r="Y17" s="8">
        <v>2.9765674477517344E-2</v>
      </c>
      <c r="Z17" s="8">
        <v>7.2084360736582656E-2</v>
      </c>
      <c r="AA17" s="8">
        <v>1.4311270125223648E-2</v>
      </c>
    </row>
    <row r="18" spans="1:27" x14ac:dyDescent="0.2">
      <c r="A18" s="22">
        <v>43221</v>
      </c>
      <c r="B18">
        <v>2018</v>
      </c>
      <c r="C18" t="s">
        <v>40</v>
      </c>
      <c r="D18" s="2">
        <v>76.7</v>
      </c>
      <c r="E18" s="8">
        <f t="shared" si="1"/>
        <v>-1.955671447196871E-2</v>
      </c>
      <c r="F18" s="8">
        <f t="shared" si="2"/>
        <v>-1.955671447196871E-2</v>
      </c>
      <c r="G18" t="e">
        <f t="shared" si="0"/>
        <v>#N/A</v>
      </c>
      <c r="H18" s="22">
        <v>43221</v>
      </c>
      <c r="I18" cm="1">
        <f t="array" ref="I18">IFERROR(
  INDEX(All_India_Index_Upto_April23__1___1[Fuel and light],
    MATCH(1,
      (All_India_Index_Upto_April23__1___1[Date]=$A18)*
      (All_India_Index_Upto_April23__1___1[Sector]="Rural+Urban"),
    0)
  ),
"")</f>
        <v>136.9</v>
      </c>
      <c r="J18" cm="1">
        <f t="array" ref="J18">IFERROR(
  INDEX(All_India_Index_Upto_April23__1___1[Fuel and light],
    MATCH(1,
      (All_India_Index_Upto_April23__1___1[Date]=EDATE($A18,-1))*
      (All_India_Index_Upto_April23__1___1[Sector]="Rural+Urban"),
    0)
  ),
"")</f>
        <v>136.5</v>
      </c>
      <c r="K18" s="8">
        <f t="shared" si="3"/>
        <v>2.930402930402972E-3</v>
      </c>
      <c r="L18" cm="1">
        <f t="array" ref="L18">IFERROR(
  INDEX(All_India_Index_Upto_April23__1___1[Transport and communication],
    MATCH(1,
      (All_India_Index_Upto_April23__1___1[Date]=$A18)*
      (All_India_Index_Upto_April23__1___1[Sector]="Rural+Urban"),
    0)
  ),
"")</f>
        <v>122.9</v>
      </c>
      <c r="M18" cm="1">
        <f t="array" ref="M18">IFERROR(
  INDEX(All_India_Index_Upto_April23__1___1[Transport and communication],
    MATCH(1,
      (All_India_Index_Upto_April23__1___1[Date]=EDATE($A18,-1))*
      (All_India_Index_Upto_April23__1___1[Sector]="Rural+Urban"),
    0)
  ),
"")</f>
        <v>121.9</v>
      </c>
      <c r="N18" s="8">
        <f t="shared" si="4"/>
        <v>8.2034454470877767E-3</v>
      </c>
      <c r="O18" s="2" cm="1">
        <f t="array" ref="O18">IFERROR(
  AVERAGE(
    INDEX(All_India_Index_Upto_April23__1___1[Cereals and products],
      MATCH(1,(All_India_Index_Upto_April23__1___1[Date]=$A18)*
              (All_India_Index_Upto_April23__1___1[Sector]="Rural+Urban"),0)),
    INDEX(All_India_Index_Upto_April23__1___1[Meat and fish],
      MATCH(1,(All_India_Index_Upto_April23__1___1[Date]=$A18)*
              (All_India_Index_Upto_April23__1___1[Sector]="Rural+Urban"),0)),
    INDEX(All_India_Index_Upto_April23__1___1[Egg],
      MATCH(1,(All_India_Index_Upto_April23__1___1[Date]=$A18)*
              (All_India_Index_Upto_April23__1___1[Sector]="Rural+Urban"),0)),
    INDEX(All_India_Index_Upto_April23__1___1[Milk and products],
      MATCH(1,(All_India_Index_Upto_April23__1___1[Date]=$A18)*
              (All_India_Index_Upto_April23__1___1[Sector]="Rural+Urban"),0)),
    INDEX(All_India_Index_Upto_April23__1___1[Oils and fats],
      MATCH(1,(All_India_Index_Upto_April23__1___1[Date]=$A18)*
              (All_India_Index_Upto_April23__1___1[Sector]="Rural+Urban"),0)),
    INDEX(All_India_Index_Upto_April23__1___1[Fruits],
      MATCH(1,(All_India_Index_Upto_April23__1___1[Date]=$A18)*
              (All_India_Index_Upto_April23__1___1[Sector]="Rural+Urban"),0)),
    INDEX(All_India_Index_Upto_April23__1___1[Vegetables],
      MATCH(1,(All_India_Index_Upto_April23__1___1[Date]=$A18)*
              (All_India_Index_Upto_April23__1___1[Sector]="Rural+Urban"),0)),
    INDEX(All_India_Index_Upto_April23__1___1[Pulses and products],
      MATCH(1,(All_India_Index_Upto_April23__1___1[Date]=$A18)*
              (All_India_Index_Upto_April23__1___1[Sector]="Rural+Urban"),0)),
    INDEX(All_India_Index_Upto_April23__1___1[Sugar and Confectionery],
      MATCH(1,(All_India_Index_Upto_April23__1___1[Date]=$A18)*
              (All_India_Index_Upto_April23__1___1[Sector]="Rural+Urban"),0)),
    INDEX(All_India_Index_Upto_April23__1___1[Spices],
      MATCH(1,(All_India_Index_Upto_April23__1___1[Date]=$A18)*
              (All_India_Index_Upto_April23__1___1[Sector]="Rural+Urban"),0)),
    INDEX(All_India_Index_Upto_April23__1___1[Non-alcoholic beverages],
      MATCH(1,(All_India_Index_Upto_April23__1___1[Date]=$A18)*
              (All_India_Index_Upto_April23__1___1[Sector]="Rural+Urban"),0)),
    INDEX(All_India_Index_Upto_April23__1___1[Prepared meals, snacks, sweets etc.],
      MATCH(1,(All_India_Index_Upto_April23__1___1[Date]=$A18)*
              (All_India_Index_Upto_April23__1___1[Sector]="Rural+Urban"),0))
  ),
"")</f>
        <v>135.14166666666668</v>
      </c>
      <c r="P18" s="2" cm="1">
        <f t="array" ref="P18">IFERROR(
  AVERAGE(
    INDEX(All_India_Index_Upto_April23__1___1[Cereals and products],
      MATCH(1,(All_India_Index_Upto_April23__1___1[Date]=EDATE($A18,-12))*
              (All_India_Index_Upto_April23__1___1[Sector]="Rural+Urban"),0)),
    INDEX(All_India_Index_Upto_April23__1___1[Meat and fish],
      MATCH(1,(All_India_Index_Upto_April23__1___1[Date]=EDATE($A18,-12))*
              (All_India_Index_Upto_April23__1___1[Sector]="Rural+Urban"),0)),
    INDEX(All_India_Index_Upto_April23__1___1[Egg],
      MATCH(1,(All_India_Index_Upto_April23__1___1[Date]=EDATE($A18,-12))*
              (All_India_Index_Upto_April23__1___1[Sector]="Rural+Urban"),0)),
    INDEX(All_India_Index_Upto_April23__1___1[Milk and products],
      MATCH(1,(All_India_Index_Upto_April23__1___1[Date]=EDATE($A18,-12))*
              (All_India_Index_Upto_April23__1___1[Sector]="Rural+Urban"),0)),
    INDEX(All_India_Index_Upto_April23__1___1[Oils and fats],
      MATCH(1,(All_India_Index_Upto_April23__1___1[Date]=EDATE($A18,-12))*
              (All_India_Index_Upto_April23__1___1[Sector]="Rural+Urban"),0)),
    INDEX(All_India_Index_Upto_April23__1___1[Fruits],
      MATCH(1,(All_India_Index_Upto_April23__1___1[Date]=EDATE($A18,-12))*
              (All_India_Index_Upto_April23__1___1[Sector]="Rural+Urban"),0)),
    INDEX(All_India_Index_Upto_April23__1___1[Vegetables],
      MATCH(1,(All_India_Index_Upto_April23__1___1[Date]=EDATE($A18,-12))*
              (All_India_Index_Upto_April23__1___1[Sector]="Rural+Urban"),0)),
    INDEX(All_India_Index_Upto_April23__1___1[Pulses and products],
      MATCH(1,(All_India_Index_Upto_April23__1___1[Date]=EDATE($A18,-12))*
              (All_India_Index_Upto_April23__1___1[Sector]="Rural+Urban"),0)),
    INDEX(All_India_Index_Upto_April23__1___1[Sugar and Confectionery],
      MATCH(1,(All_India_Index_Upto_April23__1___1[Date]=EDATE($A18,-12))*
              (All_India_Index_Upto_April23__1___1[Sector]="Rural+Urban"),0)),
    INDEX(All_India_Index_Upto_April23__1___1[Spices],
      MATCH(1,(All_India_Index_Upto_April23__1___1[Date]=EDATE($A18,-12))*
              (All_India_Index_Upto_April23__1___1[Sector]="Rural+Urban"),0)),
    INDEX(All_India_Index_Upto_April23__1___1[Non-alcoholic beverages],
      MATCH(1,(All_India_Index_Upto_April23__1___1[Date]=EDATE($A18,-12))*
              (All_India_Index_Upto_April23__1___1[Sector]="Rural+Urban"),0)),
    INDEX(All_India_Index_Upto_April23__1___1[Prepared meals, snacks, sweets etc.],
      MATCH(1,(All_India_Index_Upto_April23__1___1[Date]=EDATE($A18,-12))*
              (All_India_Index_Upto_April23__1___1[Sector]="Rural+Urban"),0))
  ),
"")</f>
        <v>132.15833333333333</v>
      </c>
      <c r="Q18" s="8">
        <f t="shared" si="5"/>
        <v>2.2573932782647192E-2</v>
      </c>
      <c r="R18" cm="1">
        <f t="array" ref="R18">IFERROR(
  INDEX(All_India_Index_Upto_April23__1___1[General index],
    MATCH(1,
      (All_India_Index_Upto_April23__1___1[Date]=$A18)*
      (All_India_Index_Upto_April23__1___1[Sector]="Rural+Urban"),
    0)
  ),
"")</f>
        <v>137.80000000000001</v>
      </c>
      <c r="S18" cm="1">
        <f t="array" ref="S18">IFERROR(
  INDEX(All_India_Index_Upto_April23__1___1[General index],
    MATCH(1,
      (All_India_Index_Upto_April23__1___1[Date]=EDATE($A18,-1))*
      (All_India_Index_Upto_April23__1___1[Sector]="Rural+Urban"),
    0)
  ),
"")</f>
        <v>137.1</v>
      </c>
      <c r="T18" s="8">
        <f t="shared" si="6"/>
        <v>5.105762217359716E-3</v>
      </c>
      <c r="V18" s="77">
        <v>44682</v>
      </c>
      <c r="W18" s="8">
        <v>3.5398230088495575E-2</v>
      </c>
      <c r="X18" s="8">
        <v>1.3937282229965191E-2</v>
      </c>
      <c r="Y18" s="8">
        <v>2.4600246002460377E-3</v>
      </c>
      <c r="Z18" s="8">
        <v>6.2005141388174874E-2</v>
      </c>
      <c r="AA18" s="8">
        <v>9.4062316284538178E-3</v>
      </c>
    </row>
    <row r="19" spans="1:27" x14ac:dyDescent="0.2">
      <c r="A19" s="22">
        <v>43252</v>
      </c>
      <c r="B19">
        <v>2018</v>
      </c>
      <c r="C19" t="s">
        <v>41</v>
      </c>
      <c r="D19" s="2">
        <v>75.2</v>
      </c>
      <c r="E19" s="8">
        <f t="shared" si="1"/>
        <v>-1.0638297872340387E-2</v>
      </c>
      <c r="F19" s="8">
        <f t="shared" si="2"/>
        <v>-1.0638297872340387E-2</v>
      </c>
      <c r="G19" t="e">
        <f t="shared" si="0"/>
        <v>#N/A</v>
      </c>
      <c r="H19" s="22">
        <v>43252</v>
      </c>
      <c r="I19" cm="1">
        <f t="array" ref="I19">IFERROR(
  INDEX(All_India_Index_Upto_April23__1___1[Fuel and light],
    MATCH(1,
      (All_India_Index_Upto_April23__1___1[Date]=$A19)*
      (All_India_Index_Upto_April23__1___1[Sector]="Rural+Urban"),
    0)
  ),
"")</f>
        <v>138.1</v>
      </c>
      <c r="J19" cm="1">
        <f t="array" ref="J19">IFERROR(
  INDEX(All_India_Index_Upto_April23__1___1[Fuel and light],
    MATCH(1,
      (All_India_Index_Upto_April23__1___1[Date]=EDATE($A19,-1))*
      (All_India_Index_Upto_April23__1___1[Sector]="Rural+Urban"),
    0)
  ),
"")</f>
        <v>136.9</v>
      </c>
      <c r="K19" s="8">
        <f t="shared" si="3"/>
        <v>8.765522279035709E-3</v>
      </c>
      <c r="L19" cm="1">
        <f t="array" ref="L19">IFERROR(
  INDEX(All_India_Index_Upto_April23__1___1[Transport and communication],
    MATCH(1,
      (All_India_Index_Upto_April23__1___1[Date]=$A19)*
      (All_India_Index_Upto_April23__1___1[Sector]="Rural+Urban"),
    0)
  ),
"")</f>
        <v>123.7</v>
      </c>
      <c r="M19" cm="1">
        <f t="array" ref="M19">IFERROR(
  INDEX(All_India_Index_Upto_April23__1___1[Transport and communication],
    MATCH(1,
      (All_India_Index_Upto_April23__1___1[Date]=EDATE($A19,-1))*
      (All_India_Index_Upto_April23__1___1[Sector]="Rural+Urban"),
    0)
  ),
"")</f>
        <v>122.9</v>
      </c>
      <c r="N19" s="8">
        <f t="shared" si="4"/>
        <v>6.50935720097638E-3</v>
      </c>
      <c r="O19" s="2" cm="1">
        <f t="array" ref="O19">IFERROR(
  AVERAGE(
    INDEX(All_India_Index_Upto_April23__1___1[Cereals and products],
      MATCH(1,(All_India_Index_Upto_April23__1___1[Date]=$A19)*
              (All_India_Index_Upto_April23__1___1[Sector]="Rural+Urban"),0)),
    INDEX(All_India_Index_Upto_April23__1___1[Meat and fish],
      MATCH(1,(All_India_Index_Upto_April23__1___1[Date]=$A19)*
              (All_India_Index_Upto_April23__1___1[Sector]="Rural+Urban"),0)),
    INDEX(All_India_Index_Upto_April23__1___1[Egg],
      MATCH(1,(All_India_Index_Upto_April23__1___1[Date]=$A19)*
              (All_India_Index_Upto_April23__1___1[Sector]="Rural+Urban"),0)),
    INDEX(All_India_Index_Upto_April23__1___1[Milk and products],
      MATCH(1,(All_India_Index_Upto_April23__1___1[Date]=$A19)*
              (All_India_Index_Upto_April23__1___1[Sector]="Rural+Urban"),0)),
    INDEX(All_India_Index_Upto_April23__1___1[Oils and fats],
      MATCH(1,(All_India_Index_Upto_April23__1___1[Date]=$A19)*
              (All_India_Index_Upto_April23__1___1[Sector]="Rural+Urban"),0)),
    INDEX(All_India_Index_Upto_April23__1___1[Fruits],
      MATCH(1,(All_India_Index_Upto_April23__1___1[Date]=$A19)*
              (All_India_Index_Upto_April23__1___1[Sector]="Rural+Urban"),0)),
    INDEX(All_India_Index_Upto_April23__1___1[Vegetables],
      MATCH(1,(All_India_Index_Upto_April23__1___1[Date]=$A19)*
              (All_India_Index_Upto_April23__1___1[Sector]="Rural+Urban"),0)),
    INDEX(All_India_Index_Upto_April23__1___1[Pulses and products],
      MATCH(1,(All_India_Index_Upto_April23__1___1[Date]=$A19)*
              (All_India_Index_Upto_April23__1___1[Sector]="Rural+Urban"),0)),
    INDEX(All_India_Index_Upto_April23__1___1[Sugar and Confectionery],
      MATCH(1,(All_India_Index_Upto_April23__1___1[Date]=$A19)*
              (All_India_Index_Upto_April23__1___1[Sector]="Rural+Urban"),0)),
    INDEX(All_India_Index_Upto_April23__1___1[Spices],
      MATCH(1,(All_India_Index_Upto_April23__1___1[Date]=$A19)*
              (All_India_Index_Upto_April23__1___1[Sector]="Rural+Urban"),0)),
    INDEX(All_India_Index_Upto_April23__1___1[Non-alcoholic beverages],
      MATCH(1,(All_India_Index_Upto_April23__1___1[Date]=$A19)*
              (All_India_Index_Upto_April23__1___1[Sector]="Rural+Urban"),0)),
    INDEX(All_India_Index_Upto_April23__1___1[Prepared meals, snacks, sweets etc.],
      MATCH(1,(All_India_Index_Upto_April23__1___1[Date]=$A19)*
              (All_India_Index_Upto_April23__1___1[Sector]="Rural+Urban"),0))
  ),
"")</f>
        <v>136.22499999999999</v>
      </c>
      <c r="P19" s="2" cm="1">
        <f t="array" ref="P19">IFERROR(
  AVERAGE(
    INDEX(All_India_Index_Upto_April23__1___1[Cereals and products],
      MATCH(1,(All_India_Index_Upto_April23__1___1[Date]=EDATE($A19,-12))*
              (All_India_Index_Upto_April23__1___1[Sector]="Rural+Urban"),0)),
    INDEX(All_India_Index_Upto_April23__1___1[Meat and fish],
      MATCH(1,(All_India_Index_Upto_April23__1___1[Date]=EDATE($A19,-12))*
              (All_India_Index_Upto_April23__1___1[Sector]="Rural+Urban"),0)),
    INDEX(All_India_Index_Upto_April23__1___1[Egg],
      MATCH(1,(All_India_Index_Upto_April23__1___1[Date]=EDATE($A19,-12))*
              (All_India_Index_Upto_April23__1___1[Sector]="Rural+Urban"),0)),
    INDEX(All_India_Index_Upto_April23__1___1[Milk and products],
      MATCH(1,(All_India_Index_Upto_April23__1___1[Date]=EDATE($A19,-12))*
              (All_India_Index_Upto_April23__1___1[Sector]="Rural+Urban"),0)),
    INDEX(All_India_Index_Upto_April23__1___1[Oils and fats],
      MATCH(1,(All_India_Index_Upto_April23__1___1[Date]=EDATE($A19,-12))*
              (All_India_Index_Upto_April23__1___1[Sector]="Rural+Urban"),0)),
    INDEX(All_India_Index_Upto_April23__1___1[Fruits],
      MATCH(1,(All_India_Index_Upto_April23__1___1[Date]=EDATE($A19,-12))*
              (All_India_Index_Upto_April23__1___1[Sector]="Rural+Urban"),0)),
    INDEX(All_India_Index_Upto_April23__1___1[Vegetables],
      MATCH(1,(All_India_Index_Upto_April23__1___1[Date]=EDATE($A19,-12))*
              (All_India_Index_Upto_April23__1___1[Sector]="Rural+Urban"),0)),
    INDEX(All_India_Index_Upto_April23__1___1[Pulses and products],
      MATCH(1,(All_India_Index_Upto_April23__1___1[Date]=EDATE($A19,-12))*
              (All_India_Index_Upto_April23__1___1[Sector]="Rural+Urban"),0)),
    INDEX(All_India_Index_Upto_April23__1___1[Sugar and Confectionery],
      MATCH(1,(All_India_Index_Upto_April23__1___1[Date]=EDATE($A19,-12))*
              (All_India_Index_Upto_April23__1___1[Sector]="Rural+Urban"),0)),
    INDEX(All_India_Index_Upto_April23__1___1[Spices],
      MATCH(1,(All_India_Index_Upto_April23__1___1[Date]=EDATE($A19,-12))*
              (All_India_Index_Upto_April23__1___1[Sector]="Rural+Urban"),0)),
    INDEX(All_India_Index_Upto_April23__1___1[Non-alcoholic beverages],
      MATCH(1,(All_India_Index_Upto_April23__1___1[Date]=EDATE($A19,-12))*
              (All_India_Index_Upto_April23__1___1[Sector]="Rural+Urban"),0)),
    INDEX(All_India_Index_Upto_April23__1___1[Prepared meals, snacks, sweets etc.],
      MATCH(1,(All_India_Index_Upto_April23__1___1[Date]=EDATE($A19,-12))*
              (All_India_Index_Upto_April23__1___1[Sector]="Rural+Urban"),0))
  ),
"")</f>
        <v>133.29166666666666</v>
      </c>
      <c r="Q19" s="8">
        <f t="shared" si="5"/>
        <v>2.2006877149109125E-2</v>
      </c>
      <c r="R19" cm="1">
        <f t="array" ref="R19">IFERROR(
  INDEX(All_India_Index_Upto_April23__1___1[General index],
    MATCH(1,
      (All_India_Index_Upto_April23__1___1[Date]=$A19)*
      (All_India_Index_Upto_April23__1___1[Sector]="Rural+Urban"),
    0)
  ),
"")</f>
        <v>138.5</v>
      </c>
      <c r="S19" cm="1">
        <f t="array" ref="S19">IFERROR(
  INDEX(All_India_Index_Upto_April23__1___1[General index],
    MATCH(1,
      (All_India_Index_Upto_April23__1___1[Date]=EDATE($A19,-1))*
      (All_India_Index_Upto_April23__1___1[Sector]="Rural+Urban"),
    0)
  ),
"")</f>
        <v>137.80000000000001</v>
      </c>
      <c r="T19" s="8">
        <f t="shared" si="6"/>
        <v>5.0798258345427331E-3</v>
      </c>
      <c r="V19" s="77">
        <v>44713</v>
      </c>
      <c r="W19" s="8">
        <v>-0.10256410256410256</v>
      </c>
      <c r="X19" s="8">
        <v>8.0183276059565042E-3</v>
      </c>
      <c r="Y19" s="8">
        <v>-1.1656441717791446E-2</v>
      </c>
      <c r="Z19" s="8">
        <v>5.8692233551463406E-2</v>
      </c>
      <c r="AA19" s="8">
        <v>5.2417006406523343E-3</v>
      </c>
    </row>
    <row r="20" spans="1:27" x14ac:dyDescent="0.2">
      <c r="A20" s="22">
        <v>43282</v>
      </c>
      <c r="B20">
        <v>2018</v>
      </c>
      <c r="C20" t="s">
        <v>43</v>
      </c>
      <c r="D20" s="2">
        <v>74.400000000000006</v>
      </c>
      <c r="E20" s="8">
        <f t="shared" si="1"/>
        <v>-1.7473118279570043E-2</v>
      </c>
      <c r="F20" s="8">
        <f t="shared" si="2"/>
        <v>-1.7473118279570043E-2</v>
      </c>
      <c r="G20" t="e">
        <f t="shared" si="0"/>
        <v>#N/A</v>
      </c>
      <c r="H20" s="22">
        <v>43282</v>
      </c>
      <c r="I20" cm="1">
        <f t="array" ref="I20">IFERROR(
  INDEX(All_India_Index_Upto_April23__1___1[Fuel and light],
    MATCH(1,
      (All_India_Index_Upto_April23__1___1[Date]=$A20)*
      (All_India_Index_Upto_April23__1___1[Sector]="Rural+Urban"),
    0)
  ),
"")</f>
        <v>139.69999999999999</v>
      </c>
      <c r="J20" cm="1">
        <f t="array" ref="J20">IFERROR(
  INDEX(All_India_Index_Upto_April23__1___1[Fuel and light],
    MATCH(1,
      (All_India_Index_Upto_April23__1___1[Date]=EDATE($A20,-1))*
      (All_India_Index_Upto_April23__1___1[Sector]="Rural+Urban"),
    0)
  ),
"")</f>
        <v>138.1</v>
      </c>
      <c r="K20" s="8">
        <f t="shared" si="3"/>
        <v>1.1585807385952168E-2</v>
      </c>
      <c r="L20" cm="1">
        <f t="array" ref="L20">IFERROR(
  INDEX(All_India_Index_Upto_April23__1___1[Transport and communication],
    MATCH(1,
      (All_India_Index_Upto_April23__1___1[Date]=$A20)*
      (All_India_Index_Upto_April23__1___1[Sector]="Rural+Urban"),
    0)
  ),
"")</f>
        <v>123.6</v>
      </c>
      <c r="M20" cm="1">
        <f t="array" ref="M20">IFERROR(
  INDEX(All_India_Index_Upto_April23__1___1[Transport and communication],
    MATCH(1,
      (All_India_Index_Upto_April23__1___1[Date]=EDATE($A20,-1))*
      (All_India_Index_Upto_April23__1___1[Sector]="Rural+Urban"),
    0)
  ),
"")</f>
        <v>123.7</v>
      </c>
      <c r="N20" s="8">
        <f t="shared" si="4"/>
        <v>-8.0840743734849252E-4</v>
      </c>
      <c r="O20" s="2" cm="1">
        <f t="array" ref="O20">IFERROR(
  AVERAGE(
    INDEX(All_India_Index_Upto_April23__1___1[Cereals and products],
      MATCH(1,(All_India_Index_Upto_April23__1___1[Date]=$A20)*
              (All_India_Index_Upto_April23__1___1[Sector]="Rural+Urban"),0)),
    INDEX(All_India_Index_Upto_April23__1___1[Meat and fish],
      MATCH(1,(All_India_Index_Upto_April23__1___1[Date]=$A20)*
              (All_India_Index_Upto_April23__1___1[Sector]="Rural+Urban"),0)),
    INDEX(All_India_Index_Upto_April23__1___1[Egg],
      MATCH(1,(All_India_Index_Upto_April23__1___1[Date]=$A20)*
              (All_India_Index_Upto_April23__1___1[Sector]="Rural+Urban"),0)),
    INDEX(All_India_Index_Upto_April23__1___1[Milk and products],
      MATCH(1,(All_India_Index_Upto_April23__1___1[Date]=$A20)*
              (All_India_Index_Upto_April23__1___1[Sector]="Rural+Urban"),0)),
    INDEX(All_India_Index_Upto_April23__1___1[Oils and fats],
      MATCH(1,(All_India_Index_Upto_April23__1___1[Date]=$A20)*
              (All_India_Index_Upto_April23__1___1[Sector]="Rural+Urban"),0)),
    INDEX(All_India_Index_Upto_April23__1___1[Fruits],
      MATCH(1,(All_India_Index_Upto_April23__1___1[Date]=$A20)*
              (All_India_Index_Upto_April23__1___1[Sector]="Rural+Urban"),0)),
    INDEX(All_India_Index_Upto_April23__1___1[Vegetables],
      MATCH(1,(All_India_Index_Upto_April23__1___1[Date]=$A20)*
              (All_India_Index_Upto_April23__1___1[Sector]="Rural+Urban"),0)),
    INDEX(All_India_Index_Upto_April23__1___1[Pulses and products],
      MATCH(1,(All_India_Index_Upto_April23__1___1[Date]=$A20)*
              (All_India_Index_Upto_April23__1___1[Sector]="Rural+Urban"),0)),
    INDEX(All_India_Index_Upto_April23__1___1[Sugar and Confectionery],
      MATCH(1,(All_India_Index_Upto_April23__1___1[Date]=$A20)*
              (All_India_Index_Upto_April23__1___1[Sector]="Rural+Urban"),0)),
    INDEX(All_India_Index_Upto_April23__1___1[Spices],
      MATCH(1,(All_India_Index_Upto_April23__1___1[Date]=$A20)*
              (All_India_Index_Upto_April23__1___1[Sector]="Rural+Urban"),0)),
    INDEX(All_India_Index_Upto_April23__1___1[Non-alcoholic beverages],
      MATCH(1,(All_India_Index_Upto_April23__1___1[Date]=$A20)*
              (All_India_Index_Upto_April23__1___1[Sector]="Rural+Urban"),0)),
    INDEX(All_India_Index_Upto_April23__1___1[Prepared meals, snacks, sweets etc.],
      MATCH(1,(All_India_Index_Upto_April23__1___1[Date]=$A20)*
              (All_India_Index_Upto_April23__1___1[Sector]="Rural+Urban"),0))
  ),
"")</f>
        <v>137.82499999999999</v>
      </c>
      <c r="P20" s="2" cm="1">
        <f t="array" ref="P20">IFERROR(
  AVERAGE(
    INDEX(All_India_Index_Upto_April23__1___1[Cereals and products],
      MATCH(1,(All_India_Index_Upto_April23__1___1[Date]=EDATE($A20,-12))*
              (All_India_Index_Upto_April23__1___1[Sector]="Rural+Urban"),0)),
    INDEX(All_India_Index_Upto_April23__1___1[Meat and fish],
      MATCH(1,(All_India_Index_Upto_April23__1___1[Date]=EDATE($A20,-12))*
              (All_India_Index_Upto_April23__1___1[Sector]="Rural+Urban"),0)),
    INDEX(All_India_Index_Upto_April23__1___1[Egg],
      MATCH(1,(All_India_Index_Upto_April23__1___1[Date]=EDATE($A20,-12))*
              (All_India_Index_Upto_April23__1___1[Sector]="Rural+Urban"),0)),
    INDEX(All_India_Index_Upto_April23__1___1[Milk and products],
      MATCH(1,(All_India_Index_Upto_April23__1___1[Date]=EDATE($A20,-12))*
              (All_India_Index_Upto_April23__1___1[Sector]="Rural+Urban"),0)),
    INDEX(All_India_Index_Upto_April23__1___1[Oils and fats],
      MATCH(1,(All_India_Index_Upto_April23__1___1[Date]=EDATE($A20,-12))*
              (All_India_Index_Upto_April23__1___1[Sector]="Rural+Urban"),0)),
    INDEX(All_India_Index_Upto_April23__1___1[Fruits],
      MATCH(1,(All_India_Index_Upto_April23__1___1[Date]=EDATE($A20,-12))*
              (All_India_Index_Upto_April23__1___1[Sector]="Rural+Urban"),0)),
    INDEX(All_India_Index_Upto_April23__1___1[Vegetables],
      MATCH(1,(All_India_Index_Upto_April23__1___1[Date]=EDATE($A20,-12))*
              (All_India_Index_Upto_April23__1___1[Sector]="Rural+Urban"),0)),
    INDEX(All_India_Index_Upto_April23__1___1[Pulses and products],
      MATCH(1,(All_India_Index_Upto_April23__1___1[Date]=EDATE($A20,-12))*
              (All_India_Index_Upto_April23__1___1[Sector]="Rural+Urban"),0)),
    INDEX(All_India_Index_Upto_April23__1___1[Sugar and Confectionery],
      MATCH(1,(All_India_Index_Upto_April23__1___1[Date]=EDATE($A20,-12))*
              (All_India_Index_Upto_April23__1___1[Sector]="Rural+Urban"),0)),
    INDEX(All_India_Index_Upto_April23__1___1[Spices],
      MATCH(1,(All_India_Index_Upto_April23__1___1[Date]=EDATE($A20,-12))*
              (All_India_Index_Upto_April23__1___1[Sector]="Rural+Urban"),0)),
    INDEX(All_India_Index_Upto_April23__1___1[Non-alcoholic beverages],
      MATCH(1,(All_India_Index_Upto_April23__1___1[Date]=EDATE($A20,-12))*
              (All_India_Index_Upto_April23__1___1[Sector]="Rural+Urban"),0)),
    INDEX(All_India_Index_Upto_April23__1___1[Prepared meals, snacks, sweets etc.],
      MATCH(1,(All_India_Index_Upto_April23__1___1[Date]=EDATE($A20,-12))*
              (All_India_Index_Upto_April23__1___1[Sector]="Rural+Urban"),0))
  ),
"")</f>
        <v>135.86666666666665</v>
      </c>
      <c r="Q20" s="8">
        <f t="shared" si="5"/>
        <v>1.4413640824337657E-2</v>
      </c>
      <c r="R20" cm="1">
        <f t="array" ref="R20">IFERROR(
  INDEX(All_India_Index_Upto_April23__1___1[General index],
    MATCH(1,
      (All_India_Index_Upto_April23__1___1[Date]=$A20)*
      (All_India_Index_Upto_April23__1___1[Sector]="Rural+Urban"),
    0)
  ),
"")</f>
        <v>139.80000000000001</v>
      </c>
      <c r="S20" cm="1">
        <f t="array" ref="S20">IFERROR(
  INDEX(All_India_Index_Upto_April23__1___1[General index],
    MATCH(1,
      (All_India_Index_Upto_April23__1___1[Date]=EDATE($A20,-1))*
      (All_India_Index_Upto_April23__1___1[Sector]="Rural+Urban"),
    0)
  ),
"")</f>
        <v>138.5</v>
      </c>
      <c r="T20" s="8">
        <f t="shared" si="6"/>
        <v>9.3862815884477348E-3</v>
      </c>
      <c r="V20" s="77">
        <v>44743</v>
      </c>
      <c r="W20" s="8">
        <v>-7.6190476190476197E-2</v>
      </c>
      <c r="X20" s="8">
        <v>2.0454545454545423E-2</v>
      </c>
      <c r="Y20" s="8">
        <v>3.1036623215394167E-3</v>
      </c>
      <c r="Z20" s="8">
        <v>5.461422087745825E-2</v>
      </c>
      <c r="AA20" s="8">
        <v>4.634994206257308E-3</v>
      </c>
    </row>
    <row r="21" spans="1:27" x14ac:dyDescent="0.2">
      <c r="A21" s="22">
        <v>43313</v>
      </c>
      <c r="B21">
        <v>2018</v>
      </c>
      <c r="C21" t="s">
        <v>45</v>
      </c>
      <c r="D21" s="2">
        <v>73.099999999999994</v>
      </c>
      <c r="E21" s="8">
        <f t="shared" si="1"/>
        <v>7.9343365253078141E-2</v>
      </c>
      <c r="F21" s="8">
        <f t="shared" si="2"/>
        <v>7.9343365253078141E-2</v>
      </c>
      <c r="G21" t="e">
        <f t="shared" si="0"/>
        <v>#N/A</v>
      </c>
      <c r="H21" s="22">
        <v>43313</v>
      </c>
      <c r="I21" cm="1">
        <f t="array" ref="I21">IFERROR(
  INDEX(All_India_Index_Upto_April23__1___1[Fuel and light],
    MATCH(1,
      (All_India_Index_Upto_April23__1___1[Date]=$A21)*
      (All_India_Index_Upto_April23__1___1[Sector]="Rural+Urban"),
    0)
  ),
"")</f>
        <v>140.9</v>
      </c>
      <c r="J21" cm="1">
        <f t="array" ref="J21">IFERROR(
  INDEX(All_India_Index_Upto_April23__1___1[Fuel and light],
    MATCH(1,
      (All_India_Index_Upto_April23__1___1[Date]=EDATE($A21,-1))*
      (All_India_Index_Upto_April23__1___1[Sector]="Rural+Urban"),
    0)
  ),
"")</f>
        <v>139.69999999999999</v>
      </c>
      <c r="K21" s="8">
        <f t="shared" si="3"/>
        <v>8.5898353614890267E-3</v>
      </c>
      <c r="L21" cm="1">
        <f t="array" ref="L21">IFERROR(
  INDEX(All_India_Index_Upto_April23__1___1[Transport and communication],
    MATCH(1,
      (All_India_Index_Upto_April23__1___1[Date]=$A21)*
      (All_India_Index_Upto_April23__1___1[Sector]="Rural+Urban"),
    0)
  ),
"")</f>
        <v>124.3</v>
      </c>
      <c r="M21" cm="1">
        <f t="array" ref="M21">IFERROR(
  INDEX(All_India_Index_Upto_April23__1___1[Transport and communication],
    MATCH(1,
      (All_India_Index_Upto_April23__1___1[Date]=EDATE($A21,-1))*
      (All_India_Index_Upto_April23__1___1[Sector]="Rural+Urban"),
    0)
  ),
"")</f>
        <v>123.6</v>
      </c>
      <c r="N21" s="8">
        <f t="shared" si="4"/>
        <v>5.663430420711997E-3</v>
      </c>
      <c r="O21" s="2" cm="1">
        <f t="array" ref="O21">IFERROR(
  AVERAGE(
    INDEX(All_India_Index_Upto_April23__1___1[Cereals and products],
      MATCH(1,(All_India_Index_Upto_April23__1___1[Date]=$A21)*
              (All_India_Index_Upto_April23__1___1[Sector]="Rural+Urban"),0)),
    INDEX(All_India_Index_Upto_April23__1___1[Meat and fish],
      MATCH(1,(All_India_Index_Upto_April23__1___1[Date]=$A21)*
              (All_India_Index_Upto_April23__1___1[Sector]="Rural+Urban"),0)),
    INDEX(All_India_Index_Upto_April23__1___1[Egg],
      MATCH(1,(All_India_Index_Upto_April23__1___1[Date]=$A21)*
              (All_India_Index_Upto_April23__1___1[Sector]="Rural+Urban"),0)),
    INDEX(All_India_Index_Upto_April23__1___1[Milk and products],
      MATCH(1,(All_India_Index_Upto_April23__1___1[Date]=$A21)*
              (All_India_Index_Upto_April23__1___1[Sector]="Rural+Urban"),0)),
    INDEX(All_India_Index_Upto_April23__1___1[Oils and fats],
      MATCH(1,(All_India_Index_Upto_April23__1___1[Date]=$A21)*
              (All_India_Index_Upto_April23__1___1[Sector]="Rural+Urban"),0)),
    INDEX(All_India_Index_Upto_April23__1___1[Fruits],
      MATCH(1,(All_India_Index_Upto_April23__1___1[Date]=$A21)*
              (All_India_Index_Upto_April23__1___1[Sector]="Rural+Urban"),0)),
    INDEX(All_India_Index_Upto_April23__1___1[Vegetables],
      MATCH(1,(All_India_Index_Upto_April23__1___1[Date]=$A21)*
              (All_India_Index_Upto_April23__1___1[Sector]="Rural+Urban"),0)),
    INDEX(All_India_Index_Upto_April23__1___1[Pulses and products],
      MATCH(1,(All_India_Index_Upto_April23__1___1[Date]=$A21)*
              (All_India_Index_Upto_April23__1___1[Sector]="Rural+Urban"),0)),
    INDEX(All_India_Index_Upto_April23__1___1[Sugar and Confectionery],
      MATCH(1,(All_India_Index_Upto_April23__1___1[Date]=$A21)*
              (All_India_Index_Upto_April23__1___1[Sector]="Rural+Urban"),0)),
    INDEX(All_India_Index_Upto_April23__1___1[Spices],
      MATCH(1,(All_India_Index_Upto_April23__1___1[Date]=$A21)*
              (All_India_Index_Upto_April23__1___1[Sector]="Rural+Urban"),0)),
    INDEX(All_India_Index_Upto_April23__1___1[Non-alcoholic beverages],
      MATCH(1,(All_India_Index_Upto_April23__1___1[Date]=$A21)*
              (All_India_Index_Upto_April23__1___1[Sector]="Rural+Urban"),0)),
    INDEX(All_India_Index_Upto_April23__1___1[Prepared meals, snacks, sweets etc.],
      MATCH(1,(All_India_Index_Upto_April23__1___1[Date]=$A21)*
              (All_India_Index_Upto_April23__1___1[Sector]="Rural+Urban"),0))
  ),
"")</f>
        <v>138.08333333333334</v>
      </c>
      <c r="P21" s="2" cm="1">
        <f t="array" ref="P21">IFERROR(
  AVERAGE(
    INDEX(All_India_Index_Upto_April23__1___1[Cereals and products],
      MATCH(1,(All_India_Index_Upto_April23__1___1[Date]=EDATE($A21,-12))*
              (All_India_Index_Upto_April23__1___1[Sector]="Rural+Urban"),0)),
    INDEX(All_India_Index_Upto_April23__1___1[Meat and fish],
      MATCH(1,(All_India_Index_Upto_April23__1___1[Date]=EDATE($A21,-12))*
              (All_India_Index_Upto_April23__1___1[Sector]="Rural+Urban"),0)),
    INDEX(All_India_Index_Upto_April23__1___1[Egg],
      MATCH(1,(All_India_Index_Upto_April23__1___1[Date]=EDATE($A21,-12))*
              (All_India_Index_Upto_April23__1___1[Sector]="Rural+Urban"),0)),
    INDEX(All_India_Index_Upto_April23__1___1[Milk and products],
      MATCH(1,(All_India_Index_Upto_April23__1___1[Date]=EDATE($A21,-12))*
              (All_India_Index_Upto_April23__1___1[Sector]="Rural+Urban"),0)),
    INDEX(All_India_Index_Upto_April23__1___1[Oils and fats],
      MATCH(1,(All_India_Index_Upto_April23__1___1[Date]=EDATE($A21,-12))*
              (All_India_Index_Upto_April23__1___1[Sector]="Rural+Urban"),0)),
    INDEX(All_India_Index_Upto_April23__1___1[Fruits],
      MATCH(1,(All_India_Index_Upto_April23__1___1[Date]=EDATE($A21,-12))*
              (All_India_Index_Upto_April23__1___1[Sector]="Rural+Urban"),0)),
    INDEX(All_India_Index_Upto_April23__1___1[Vegetables],
      MATCH(1,(All_India_Index_Upto_April23__1___1[Date]=EDATE($A21,-12))*
              (All_India_Index_Upto_April23__1___1[Sector]="Rural+Urban"),0)),
    INDEX(All_India_Index_Upto_April23__1___1[Pulses and products],
      MATCH(1,(All_India_Index_Upto_April23__1___1[Date]=EDATE($A21,-12))*
              (All_India_Index_Upto_April23__1___1[Sector]="Rural+Urban"),0)),
    INDEX(All_India_Index_Upto_April23__1___1[Sugar and Confectionery],
      MATCH(1,(All_India_Index_Upto_April23__1___1[Date]=EDATE($A21,-12))*
              (All_India_Index_Upto_April23__1___1[Sector]="Rural+Urban"),0)),
    INDEX(All_India_Index_Upto_April23__1___1[Spices],
      MATCH(1,(All_India_Index_Upto_April23__1___1[Date]=EDATE($A21,-12))*
              (All_India_Index_Upto_April23__1___1[Sector]="Rural+Urban"),0)),
    INDEX(All_India_Index_Upto_April23__1___1[Non-alcoholic beverages],
      MATCH(1,(All_India_Index_Upto_April23__1___1[Date]=EDATE($A21,-12))*
              (All_India_Index_Upto_April23__1___1[Sector]="Rural+Urban"),0)),
    INDEX(All_India_Index_Upto_April23__1___1[Prepared meals, snacks, sweets etc.],
      MATCH(1,(All_India_Index_Upto_April23__1___1[Date]=EDATE($A21,-12))*
              (All_India_Index_Upto_April23__1___1[Sector]="Rural+Urban"),0))
  ),
"")</f>
        <v>136.93333333333334</v>
      </c>
      <c r="Q21" s="8">
        <f t="shared" si="5"/>
        <v>8.3982473222979966E-3</v>
      </c>
      <c r="R21" cm="1">
        <f t="array" ref="R21">IFERROR(
  INDEX(All_India_Index_Upto_April23__1___1[General index],
    MATCH(1,
      (All_India_Index_Upto_April23__1___1[Date]=$A21)*
      (All_India_Index_Upto_April23__1___1[Sector]="Rural+Urban"),
    0)
  ),
"")</f>
        <v>140.4</v>
      </c>
      <c r="S21" cm="1">
        <f t="array" ref="S21">IFERROR(
  INDEX(All_India_Index_Upto_April23__1___1[General index],
    MATCH(1,
      (All_India_Index_Upto_April23__1___1[Date]=EDATE($A21,-1))*
      (All_India_Index_Upto_April23__1___1[Sector]="Rural+Urban"),
    0)
  ),
"")</f>
        <v>139.80000000000001</v>
      </c>
      <c r="T21" s="8">
        <f t="shared" si="6"/>
        <v>4.291845493562191E-3</v>
      </c>
      <c r="V21" s="77">
        <v>44774</v>
      </c>
      <c r="W21" s="8">
        <v>-7.2164948453608241E-2</v>
      </c>
      <c r="X21" s="8">
        <v>-4.4543429844097048E-3</v>
      </c>
      <c r="Y21" s="8">
        <v>1.8564356435644268E-3</v>
      </c>
      <c r="Z21" s="8">
        <v>5.8088978766430668E-2</v>
      </c>
      <c r="AA21" s="8">
        <v>5.1903114186851538E-3</v>
      </c>
    </row>
    <row r="22" spans="1:27" x14ac:dyDescent="0.2">
      <c r="A22" s="22">
        <v>43344</v>
      </c>
      <c r="B22">
        <v>2018</v>
      </c>
      <c r="C22" t="s">
        <v>47</v>
      </c>
      <c r="D22" s="2">
        <v>78.900000000000006</v>
      </c>
      <c r="E22" s="8">
        <f t="shared" si="1"/>
        <v>2.0278833967046821E-2</v>
      </c>
      <c r="F22" s="8">
        <f t="shared" si="2"/>
        <v>2.0278833967046821E-2</v>
      </c>
      <c r="G22" t="e">
        <f t="shared" si="0"/>
        <v>#N/A</v>
      </c>
      <c r="H22" s="22">
        <v>43344</v>
      </c>
      <c r="I22" cm="1">
        <f t="array" ref="I22">IFERROR(
  INDEX(All_India_Index_Upto_April23__1___1[Fuel and light],
    MATCH(1,
      (All_India_Index_Upto_April23__1___1[Date]=$A22)*
      (All_India_Index_Upto_April23__1___1[Sector]="Rural+Urban"),
    0)
  ),
"")</f>
        <v>142.30000000000001</v>
      </c>
      <c r="J22" cm="1">
        <f t="array" ref="J22">IFERROR(
  INDEX(All_India_Index_Upto_April23__1___1[Fuel and light],
    MATCH(1,
      (All_India_Index_Upto_April23__1___1[Date]=EDATE($A22,-1))*
      (All_India_Index_Upto_April23__1___1[Sector]="Rural+Urban"),
    0)
  ),
"")</f>
        <v>140.9</v>
      </c>
      <c r="K22" s="8">
        <f t="shared" si="3"/>
        <v>9.9361249112846391E-3</v>
      </c>
      <c r="L22" cm="1">
        <f t="array" ref="L22">IFERROR(
  INDEX(All_India_Index_Upto_April23__1___1[Transport and communication],
    MATCH(1,
      (All_India_Index_Upto_April23__1___1[Date]=$A22)*
      (All_India_Index_Upto_April23__1___1[Sector]="Rural+Urban"),
    0)
  ),
"")</f>
        <v>126</v>
      </c>
      <c r="M22" cm="1">
        <f t="array" ref="M22">IFERROR(
  INDEX(All_India_Index_Upto_April23__1___1[Transport and communication],
    MATCH(1,
      (All_India_Index_Upto_April23__1___1[Date]=EDATE($A22,-1))*
      (All_India_Index_Upto_April23__1___1[Sector]="Rural+Urban"),
    0)
  ),
"")</f>
        <v>124.3</v>
      </c>
      <c r="N22" s="8">
        <f t="shared" si="4"/>
        <v>1.3676588897827859E-2</v>
      </c>
      <c r="O22" s="2" cm="1">
        <f t="array" ref="O22">IFERROR(
  AVERAGE(
    INDEX(All_India_Index_Upto_April23__1___1[Cereals and products],
      MATCH(1,(All_India_Index_Upto_April23__1___1[Date]=$A22)*
              (All_India_Index_Upto_April23__1___1[Sector]="Rural+Urban"),0)),
    INDEX(All_India_Index_Upto_April23__1___1[Meat and fish],
      MATCH(1,(All_India_Index_Upto_April23__1___1[Date]=$A22)*
              (All_India_Index_Upto_April23__1___1[Sector]="Rural+Urban"),0)),
    INDEX(All_India_Index_Upto_April23__1___1[Egg],
      MATCH(1,(All_India_Index_Upto_April23__1___1[Date]=$A22)*
              (All_India_Index_Upto_April23__1___1[Sector]="Rural+Urban"),0)),
    INDEX(All_India_Index_Upto_April23__1___1[Milk and products],
      MATCH(1,(All_India_Index_Upto_April23__1___1[Date]=$A22)*
              (All_India_Index_Upto_April23__1___1[Sector]="Rural+Urban"),0)),
    INDEX(All_India_Index_Upto_April23__1___1[Oils and fats],
      MATCH(1,(All_India_Index_Upto_April23__1___1[Date]=$A22)*
              (All_India_Index_Upto_April23__1___1[Sector]="Rural+Urban"),0)),
    INDEX(All_India_Index_Upto_April23__1___1[Fruits],
      MATCH(1,(All_India_Index_Upto_April23__1___1[Date]=$A22)*
              (All_India_Index_Upto_April23__1___1[Sector]="Rural+Urban"),0)),
    INDEX(All_India_Index_Upto_April23__1___1[Vegetables],
      MATCH(1,(All_India_Index_Upto_April23__1___1[Date]=$A22)*
              (All_India_Index_Upto_April23__1___1[Sector]="Rural+Urban"),0)),
    INDEX(All_India_Index_Upto_April23__1___1[Pulses and products],
      MATCH(1,(All_India_Index_Upto_April23__1___1[Date]=$A22)*
              (All_India_Index_Upto_April23__1___1[Sector]="Rural+Urban"),0)),
    INDEX(All_India_Index_Upto_April23__1___1[Sugar and Confectionery],
      MATCH(1,(All_India_Index_Upto_April23__1___1[Date]=$A22)*
              (All_India_Index_Upto_April23__1___1[Sector]="Rural+Urban"),0)),
    INDEX(All_India_Index_Upto_April23__1___1[Spices],
      MATCH(1,(All_India_Index_Upto_April23__1___1[Date]=$A22)*
              (All_India_Index_Upto_April23__1___1[Sector]="Rural+Urban"),0)),
    INDEX(All_India_Index_Upto_April23__1___1[Non-alcoholic beverages],
      MATCH(1,(All_India_Index_Upto_April23__1___1[Date]=$A22)*
              (All_India_Index_Upto_April23__1___1[Sector]="Rural+Urban"),0)),
    INDEX(All_India_Index_Upto_April23__1___1[Prepared meals, snacks, sweets etc.],
      MATCH(1,(All_India_Index_Upto_April23__1___1[Date]=$A22)*
              (All_India_Index_Upto_April23__1___1[Sector]="Rural+Urban"),0))
  ),
"")</f>
        <v>136.59166666666667</v>
      </c>
      <c r="P22" s="2" cm="1">
        <f t="array" ref="P22">IFERROR(
  AVERAGE(
    INDEX(All_India_Index_Upto_April23__1___1[Cereals and products],
      MATCH(1,(All_India_Index_Upto_April23__1___1[Date]=EDATE($A22,-12))*
              (All_India_Index_Upto_April23__1___1[Sector]="Rural+Urban"),0)),
    INDEX(All_India_Index_Upto_April23__1___1[Meat and fish],
      MATCH(1,(All_India_Index_Upto_April23__1___1[Date]=EDATE($A22,-12))*
              (All_India_Index_Upto_April23__1___1[Sector]="Rural+Urban"),0)),
    INDEX(All_India_Index_Upto_April23__1___1[Egg],
      MATCH(1,(All_India_Index_Upto_April23__1___1[Date]=EDATE($A22,-12))*
              (All_India_Index_Upto_April23__1___1[Sector]="Rural+Urban"),0)),
    INDEX(All_India_Index_Upto_April23__1___1[Milk and products],
      MATCH(1,(All_India_Index_Upto_April23__1___1[Date]=EDATE($A22,-12))*
              (All_India_Index_Upto_April23__1___1[Sector]="Rural+Urban"),0)),
    INDEX(All_India_Index_Upto_April23__1___1[Oils and fats],
      MATCH(1,(All_India_Index_Upto_April23__1___1[Date]=EDATE($A22,-12))*
              (All_India_Index_Upto_April23__1___1[Sector]="Rural+Urban"),0)),
    INDEX(All_India_Index_Upto_April23__1___1[Fruits],
      MATCH(1,(All_India_Index_Upto_April23__1___1[Date]=EDATE($A22,-12))*
              (All_India_Index_Upto_April23__1___1[Sector]="Rural+Urban"),0)),
    INDEX(All_India_Index_Upto_April23__1___1[Vegetables],
      MATCH(1,(All_India_Index_Upto_April23__1___1[Date]=EDATE($A22,-12))*
              (All_India_Index_Upto_April23__1___1[Sector]="Rural+Urban"),0)),
    INDEX(All_India_Index_Upto_April23__1___1[Pulses and products],
      MATCH(1,(All_India_Index_Upto_April23__1___1[Date]=EDATE($A22,-12))*
              (All_India_Index_Upto_April23__1___1[Sector]="Rural+Urban"),0)),
    INDEX(All_India_Index_Upto_April23__1___1[Sugar and Confectionery],
      MATCH(1,(All_India_Index_Upto_April23__1___1[Date]=EDATE($A22,-12))*
              (All_India_Index_Upto_April23__1___1[Sector]="Rural+Urban"),0)),
    INDEX(All_India_Index_Upto_April23__1___1[Spices],
      MATCH(1,(All_India_Index_Upto_April23__1___1[Date]=EDATE($A22,-12))*
              (All_India_Index_Upto_April23__1___1[Sector]="Rural+Urban"),0)),
    INDEX(All_India_Index_Upto_April23__1___1[Non-alcoholic beverages],
      MATCH(1,(All_India_Index_Upto_April23__1___1[Date]=EDATE($A22,-12))*
              (All_India_Index_Upto_April23__1___1[Sector]="Rural+Urban"),0)),
    INDEX(All_India_Index_Upto_April23__1___1[Prepared meals, snacks, sweets etc.],
      MATCH(1,(All_India_Index_Upto_April23__1___1[Date]=EDATE($A22,-12))*
              (All_India_Index_Upto_April23__1___1[Sector]="Rural+Urban"),0))
  ),
"")</f>
        <v>135.91666666666666</v>
      </c>
      <c r="Q22" s="8">
        <f t="shared" si="5"/>
        <v>4.9662783568363809E-3</v>
      </c>
      <c r="R22" cm="1">
        <f t="array" ref="R22">IFERROR(
  INDEX(All_India_Index_Upto_April23__1___1[General index],
    MATCH(1,
      (All_India_Index_Upto_April23__1___1[Date]=$A22)*
      (All_India_Index_Upto_April23__1___1[Sector]="Rural+Urban"),
    0)
  ),
"")</f>
        <v>140.19999999999999</v>
      </c>
      <c r="S22" cm="1">
        <f t="array" ref="S22">IFERROR(
  INDEX(All_India_Index_Upto_April23__1___1[General index],
    MATCH(1,
      (All_India_Index_Upto_April23__1___1[Date]=EDATE($A22,-1))*
      (All_India_Index_Upto_April23__1___1[Sector]="Rural+Urban"),
    0)
  ),
"")</f>
        <v>140.4</v>
      </c>
      <c r="T22" s="8">
        <f t="shared" si="6"/>
        <v>-1.424501424501546E-3</v>
      </c>
      <c r="V22" s="77">
        <v>44805</v>
      </c>
      <c r="W22" s="8">
        <v>3.3333333333333333E-2</v>
      </c>
      <c r="X22" s="8">
        <v>3.9149888143176093E-3</v>
      </c>
      <c r="Y22" s="8">
        <v>2.470660901791264E-3</v>
      </c>
      <c r="Z22" s="8">
        <v>6.3245702730030232E-2</v>
      </c>
      <c r="AA22" s="8">
        <v>5.737234652897303E-3</v>
      </c>
    </row>
    <row r="23" spans="1:27" x14ac:dyDescent="0.2">
      <c r="A23" s="22">
        <v>43374</v>
      </c>
      <c r="B23">
        <v>2018</v>
      </c>
      <c r="C23" t="s">
        <v>49</v>
      </c>
      <c r="D23" s="2">
        <v>80.5</v>
      </c>
      <c r="E23" s="8">
        <f t="shared" si="1"/>
        <v>-0.19006211180124219</v>
      </c>
      <c r="F23" s="8">
        <f t="shared" si="2"/>
        <v>-0.19006211180124219</v>
      </c>
      <c r="G23" t="e">
        <f t="shared" si="0"/>
        <v>#N/A</v>
      </c>
      <c r="H23" s="22">
        <v>43374</v>
      </c>
      <c r="I23" cm="1">
        <f t="array" ref="I23">IFERROR(
  INDEX(All_India_Index_Upto_April23__1___1[Fuel and light],
    MATCH(1,
      (All_India_Index_Upto_April23__1___1[Date]=$A23)*
      (All_India_Index_Upto_April23__1___1[Sector]="Rural+Urban"),
    0)
  ),
"")</f>
        <v>145.30000000000001</v>
      </c>
      <c r="J23" cm="1">
        <f t="array" ref="J23">IFERROR(
  INDEX(All_India_Index_Upto_April23__1___1[Fuel and light],
    MATCH(1,
      (All_India_Index_Upto_April23__1___1[Date]=EDATE($A23,-1))*
      (All_India_Index_Upto_April23__1___1[Sector]="Rural+Urban"),
    0)
  ),
"")</f>
        <v>142.30000000000001</v>
      </c>
      <c r="K23" s="8">
        <f t="shared" si="3"/>
        <v>2.1082220660576245E-2</v>
      </c>
      <c r="L23" cm="1">
        <f t="array" ref="L23">IFERROR(
  INDEX(All_India_Index_Upto_April23__1___1[Transport and communication],
    MATCH(1,
      (All_India_Index_Upto_April23__1___1[Date]=$A23)*
      (All_India_Index_Upto_April23__1___1[Sector]="Rural+Urban"),
    0)
  ),
"")</f>
        <v>125.5</v>
      </c>
      <c r="M23" cm="1">
        <f t="array" ref="M23">IFERROR(
  INDEX(All_India_Index_Upto_April23__1___1[Transport and communication],
    MATCH(1,
      (All_India_Index_Upto_April23__1___1[Date]=EDATE($A23,-1))*
      (All_India_Index_Upto_April23__1___1[Sector]="Rural+Urban"),
    0)
  ),
"")</f>
        <v>126</v>
      </c>
      <c r="N23" s="8">
        <f t="shared" si="4"/>
        <v>-3.968253968253968E-3</v>
      </c>
      <c r="O23" s="2" cm="1">
        <f t="array" ref="O23">IFERROR(
  AVERAGE(
    INDEX(All_India_Index_Upto_April23__1___1[Cereals and products],
      MATCH(1,(All_India_Index_Upto_April23__1___1[Date]=$A23)*
              (All_India_Index_Upto_April23__1___1[Sector]="Rural+Urban"),0)),
    INDEX(All_India_Index_Upto_April23__1___1[Meat and fish],
      MATCH(1,(All_India_Index_Upto_April23__1___1[Date]=$A23)*
              (All_India_Index_Upto_April23__1___1[Sector]="Rural+Urban"),0)),
    INDEX(All_India_Index_Upto_April23__1___1[Egg],
      MATCH(1,(All_India_Index_Upto_April23__1___1[Date]=$A23)*
              (All_India_Index_Upto_April23__1___1[Sector]="Rural+Urban"),0)),
    INDEX(All_India_Index_Upto_April23__1___1[Milk and products],
      MATCH(1,(All_India_Index_Upto_April23__1___1[Date]=$A23)*
              (All_India_Index_Upto_April23__1___1[Sector]="Rural+Urban"),0)),
    INDEX(All_India_Index_Upto_April23__1___1[Oils and fats],
      MATCH(1,(All_India_Index_Upto_April23__1___1[Date]=$A23)*
              (All_India_Index_Upto_April23__1___1[Sector]="Rural+Urban"),0)),
    INDEX(All_India_Index_Upto_April23__1___1[Fruits],
      MATCH(1,(All_India_Index_Upto_April23__1___1[Date]=$A23)*
              (All_India_Index_Upto_April23__1___1[Sector]="Rural+Urban"),0)),
    INDEX(All_India_Index_Upto_April23__1___1[Vegetables],
      MATCH(1,(All_India_Index_Upto_April23__1___1[Date]=$A23)*
              (All_India_Index_Upto_April23__1___1[Sector]="Rural+Urban"),0)),
    INDEX(All_India_Index_Upto_April23__1___1[Pulses and products],
      MATCH(1,(All_India_Index_Upto_April23__1___1[Date]=$A23)*
              (All_India_Index_Upto_April23__1___1[Sector]="Rural+Urban"),0)),
    INDEX(All_India_Index_Upto_April23__1___1[Sugar and Confectionery],
      MATCH(1,(All_India_Index_Upto_April23__1___1[Date]=$A23)*
              (All_India_Index_Upto_April23__1___1[Sector]="Rural+Urban"),0)),
    INDEX(All_India_Index_Upto_April23__1___1[Spices],
      MATCH(1,(All_India_Index_Upto_April23__1___1[Date]=$A23)*
              (All_India_Index_Upto_April23__1___1[Sector]="Rural+Urban"),0)),
    INDEX(All_India_Index_Upto_April23__1___1[Non-alcoholic beverages],
      MATCH(1,(All_India_Index_Upto_April23__1___1[Date]=$A23)*
              (All_India_Index_Upto_April23__1___1[Sector]="Rural+Urban"),0)),
    INDEX(All_India_Index_Upto_April23__1___1[Prepared meals, snacks, sweets etc.],
      MATCH(1,(All_India_Index_Upto_April23__1___1[Date]=$A23)*
              (All_India_Index_Upto_April23__1___1[Sector]="Rural+Urban"),0))
  ),
"")</f>
        <v>136.375</v>
      </c>
      <c r="P23" s="2" cm="1">
        <f t="array" ref="P23">IFERROR(
  AVERAGE(
    INDEX(All_India_Index_Upto_April23__1___1[Cereals and products],
      MATCH(1,(All_India_Index_Upto_April23__1___1[Date]=EDATE($A23,-12))*
              (All_India_Index_Upto_April23__1___1[Sector]="Rural+Urban"),0)),
    INDEX(All_India_Index_Upto_April23__1___1[Meat and fish],
      MATCH(1,(All_India_Index_Upto_April23__1___1[Date]=EDATE($A23,-12))*
              (All_India_Index_Upto_April23__1___1[Sector]="Rural+Urban"),0)),
    INDEX(All_India_Index_Upto_April23__1___1[Egg],
      MATCH(1,(All_India_Index_Upto_April23__1___1[Date]=EDATE($A23,-12))*
              (All_India_Index_Upto_April23__1___1[Sector]="Rural+Urban"),0)),
    INDEX(All_India_Index_Upto_April23__1___1[Milk and products],
      MATCH(1,(All_India_Index_Upto_April23__1___1[Date]=EDATE($A23,-12))*
              (All_India_Index_Upto_April23__1___1[Sector]="Rural+Urban"),0)),
    INDEX(All_India_Index_Upto_April23__1___1[Oils and fats],
      MATCH(1,(All_India_Index_Upto_April23__1___1[Date]=EDATE($A23,-12))*
              (All_India_Index_Upto_April23__1___1[Sector]="Rural+Urban"),0)),
    INDEX(All_India_Index_Upto_April23__1___1[Fruits],
      MATCH(1,(All_India_Index_Upto_April23__1___1[Date]=EDATE($A23,-12))*
              (All_India_Index_Upto_April23__1___1[Sector]="Rural+Urban"),0)),
    INDEX(All_India_Index_Upto_April23__1___1[Vegetables],
      MATCH(1,(All_India_Index_Upto_April23__1___1[Date]=EDATE($A23,-12))*
              (All_India_Index_Upto_April23__1___1[Sector]="Rural+Urban"),0)),
    INDEX(All_India_Index_Upto_April23__1___1[Pulses and products],
      MATCH(1,(All_India_Index_Upto_April23__1___1[Date]=EDATE($A23,-12))*
              (All_India_Index_Upto_April23__1___1[Sector]="Rural+Urban"),0)),
    INDEX(All_India_Index_Upto_April23__1___1[Sugar and Confectionery],
      MATCH(1,(All_India_Index_Upto_April23__1___1[Date]=EDATE($A23,-12))*
              (All_India_Index_Upto_April23__1___1[Sector]="Rural+Urban"),0)),
    INDEX(All_India_Index_Upto_April23__1___1[Spices],
      MATCH(1,(All_India_Index_Upto_April23__1___1[Date]=EDATE($A23,-12))*
              (All_India_Index_Upto_April23__1___1[Sector]="Rural+Urban"),0)),
    INDEX(All_India_Index_Upto_April23__1___1[Non-alcoholic beverages],
      MATCH(1,(All_India_Index_Upto_April23__1___1[Date]=EDATE($A23,-12))*
              (All_India_Index_Upto_April23__1___1[Sector]="Rural+Urban"),0)),
    INDEX(All_India_Index_Upto_April23__1___1[Prepared meals, snacks, sweets etc.],
      MATCH(1,(All_India_Index_Upto_April23__1___1[Date]=EDATE($A23,-12))*
              (All_India_Index_Upto_April23__1___1[Sector]="Rural+Urban"),0))
  ),
"")</f>
        <v>136.63333333333333</v>
      </c>
      <c r="Q23" s="8">
        <f t="shared" si="5"/>
        <v>-1.8907050500121428E-3</v>
      </c>
      <c r="R23" cm="1">
        <f t="array" ref="R23">IFERROR(
  INDEX(All_India_Index_Upto_April23__1___1[General index],
    MATCH(1,
      (All_India_Index_Upto_April23__1___1[Date]=$A23)*
      (All_India_Index_Upto_April23__1___1[Sector]="Rural+Urban"),
    0)
  ),
"")</f>
        <v>140.80000000000001</v>
      </c>
      <c r="S23" cm="1">
        <f t="array" ref="S23">IFERROR(
  INDEX(All_India_Index_Upto_April23__1___1[General index],
    MATCH(1,
      (All_India_Index_Upto_April23__1___1[Date]=EDATE($A23,-1))*
      (All_India_Index_Upto_April23__1___1[Sector]="Rural+Urban"),
    0)
  ),
"")</f>
        <v>140.19999999999999</v>
      </c>
      <c r="T23" s="8">
        <f t="shared" si="6"/>
        <v>4.2796005706135717E-3</v>
      </c>
      <c r="V23" s="77">
        <v>44835</v>
      </c>
      <c r="W23" s="8">
        <v>-5.3763440860215055E-2</v>
      </c>
      <c r="X23" s="8">
        <v>5.5710306406685237E-3</v>
      </c>
      <c r="Y23" s="8">
        <v>3.6968576709796321E-3</v>
      </c>
      <c r="Z23" s="8">
        <v>5.4736527542583902E-2</v>
      </c>
      <c r="AA23" s="8">
        <v>7.9863091842554308E-3</v>
      </c>
    </row>
    <row r="24" spans="1:27" x14ac:dyDescent="0.2">
      <c r="A24" s="22">
        <v>43405</v>
      </c>
      <c r="B24">
        <v>2018</v>
      </c>
      <c r="C24" t="s">
        <v>51</v>
      </c>
      <c r="D24" s="2">
        <v>65.2</v>
      </c>
      <c r="E24" s="8">
        <f t="shared" si="1"/>
        <v>-0.13343558282208592</v>
      </c>
      <c r="F24" s="8">
        <f t="shared" si="2"/>
        <v>-0.13343558282208592</v>
      </c>
      <c r="G24" t="e">
        <f t="shared" si="0"/>
        <v>#N/A</v>
      </c>
      <c r="H24" s="22">
        <v>43405</v>
      </c>
      <c r="I24" cm="1">
        <f t="array" ref="I24">IFERROR(
  INDEX(All_India_Index_Upto_April23__1___1[Fuel and light],
    MATCH(1,
      (All_India_Index_Upto_April23__1___1[Date]=$A24)*
      (All_India_Index_Upto_April23__1___1[Sector]="Rural+Urban"),
    0)
  ),
"")</f>
        <v>145.1</v>
      </c>
      <c r="J24" cm="1">
        <f t="array" ref="J24">IFERROR(
  INDEX(All_India_Index_Upto_April23__1___1[Fuel and light],
    MATCH(1,
      (All_India_Index_Upto_April23__1___1[Date]=EDATE($A24,-1))*
      (All_India_Index_Upto_April23__1___1[Sector]="Rural+Urban"),
    0)
  ),
"")</f>
        <v>145.30000000000001</v>
      </c>
      <c r="K24" s="8">
        <f t="shared" si="3"/>
        <v>-1.3764624913972267E-3</v>
      </c>
      <c r="L24" cm="1">
        <f t="array" ref="L24">IFERROR(
  INDEX(All_India_Index_Upto_April23__1___1[Transport and communication],
    MATCH(1,
      (All_India_Index_Upto_April23__1___1[Date]=$A24)*
      (All_India_Index_Upto_April23__1___1[Sector]="Rural+Urban"),
    0)
  ),
"")</f>
        <v>125.5</v>
      </c>
      <c r="M24" cm="1">
        <f t="array" ref="M24">IFERROR(
  INDEX(All_India_Index_Upto_April23__1___1[Transport and communication],
    MATCH(1,
      (All_India_Index_Upto_April23__1___1[Date]=EDATE($A24,-1))*
      (All_India_Index_Upto_April23__1___1[Sector]="Rural+Urban"),
    0)
  ),
"")</f>
        <v>125.5</v>
      </c>
      <c r="N24" s="8">
        <f t="shared" si="4"/>
        <v>0</v>
      </c>
      <c r="O24" s="2" cm="1">
        <f t="array" ref="O24">IFERROR(
  AVERAGE(
    INDEX(All_India_Index_Upto_April23__1___1[Cereals and products],
      MATCH(1,(All_India_Index_Upto_April23__1___1[Date]=$A24)*
              (All_India_Index_Upto_April23__1___1[Sector]="Rural+Urban"),0)),
    INDEX(All_India_Index_Upto_April23__1___1[Meat and fish],
      MATCH(1,(All_India_Index_Upto_April23__1___1[Date]=$A24)*
              (All_India_Index_Upto_April23__1___1[Sector]="Rural+Urban"),0)),
    INDEX(All_India_Index_Upto_April23__1___1[Egg],
      MATCH(1,(All_India_Index_Upto_April23__1___1[Date]=$A24)*
              (All_India_Index_Upto_April23__1___1[Sector]="Rural+Urban"),0)),
    INDEX(All_India_Index_Upto_April23__1___1[Milk and products],
      MATCH(1,(All_India_Index_Upto_April23__1___1[Date]=$A24)*
              (All_India_Index_Upto_April23__1___1[Sector]="Rural+Urban"),0)),
    INDEX(All_India_Index_Upto_April23__1___1[Oils and fats],
      MATCH(1,(All_India_Index_Upto_April23__1___1[Date]=$A24)*
              (All_India_Index_Upto_April23__1___1[Sector]="Rural+Urban"),0)),
    INDEX(All_India_Index_Upto_April23__1___1[Fruits],
      MATCH(1,(All_India_Index_Upto_April23__1___1[Date]=$A24)*
              (All_India_Index_Upto_April23__1___1[Sector]="Rural+Urban"),0)),
    INDEX(All_India_Index_Upto_April23__1___1[Vegetables],
      MATCH(1,(All_India_Index_Upto_April23__1___1[Date]=$A24)*
              (All_India_Index_Upto_April23__1___1[Sector]="Rural+Urban"),0)),
    INDEX(All_India_Index_Upto_April23__1___1[Pulses and products],
      MATCH(1,(All_India_Index_Upto_April23__1___1[Date]=$A24)*
              (All_India_Index_Upto_April23__1___1[Sector]="Rural+Urban"),0)),
    INDEX(All_India_Index_Upto_April23__1___1[Sugar and Confectionery],
      MATCH(1,(All_India_Index_Upto_April23__1___1[Date]=$A24)*
              (All_India_Index_Upto_April23__1___1[Sector]="Rural+Urban"),0)),
    INDEX(All_India_Index_Upto_April23__1___1[Spices],
      MATCH(1,(All_India_Index_Upto_April23__1___1[Date]=$A24)*
              (All_India_Index_Upto_April23__1___1[Sector]="Rural+Urban"),0)),
    INDEX(All_India_Index_Upto_April23__1___1[Non-alcoholic beverages],
      MATCH(1,(All_India_Index_Upto_April23__1___1[Date]=$A24)*
              (All_India_Index_Upto_April23__1___1[Sector]="Rural+Urban"),0)),
    INDEX(All_India_Index_Upto_April23__1___1[Prepared meals, snacks, sweets etc.],
      MATCH(1,(All_India_Index_Upto_April23__1___1[Date]=$A24)*
              (All_India_Index_Upto_April23__1___1[Sector]="Rural+Urban"),0))
  ),
"")</f>
        <v>136.33333333333334</v>
      </c>
      <c r="P24" s="2" cm="1">
        <f t="array" ref="P24">IFERROR(
  AVERAGE(
    INDEX(All_India_Index_Upto_April23__1___1[Cereals and products],
      MATCH(1,(All_India_Index_Upto_April23__1___1[Date]=EDATE($A24,-12))*
              (All_India_Index_Upto_April23__1___1[Sector]="Rural+Urban"),0)),
    INDEX(All_India_Index_Upto_April23__1___1[Meat and fish],
      MATCH(1,(All_India_Index_Upto_April23__1___1[Date]=EDATE($A24,-12))*
              (All_India_Index_Upto_April23__1___1[Sector]="Rural+Urban"),0)),
    INDEX(All_India_Index_Upto_April23__1___1[Egg],
      MATCH(1,(All_India_Index_Upto_April23__1___1[Date]=EDATE($A24,-12))*
              (All_India_Index_Upto_April23__1___1[Sector]="Rural+Urban"),0)),
    INDEX(All_India_Index_Upto_April23__1___1[Milk and products],
      MATCH(1,(All_India_Index_Upto_April23__1___1[Date]=EDATE($A24,-12))*
              (All_India_Index_Upto_April23__1___1[Sector]="Rural+Urban"),0)),
    INDEX(All_India_Index_Upto_April23__1___1[Oils and fats],
      MATCH(1,(All_India_Index_Upto_April23__1___1[Date]=EDATE($A24,-12))*
              (All_India_Index_Upto_April23__1___1[Sector]="Rural+Urban"),0)),
    INDEX(All_India_Index_Upto_April23__1___1[Fruits],
      MATCH(1,(All_India_Index_Upto_April23__1___1[Date]=EDATE($A24,-12))*
              (All_India_Index_Upto_April23__1___1[Sector]="Rural+Urban"),0)),
    INDEX(All_India_Index_Upto_April23__1___1[Vegetables],
      MATCH(1,(All_India_Index_Upto_April23__1___1[Date]=EDATE($A24,-12))*
              (All_India_Index_Upto_April23__1___1[Sector]="Rural+Urban"),0)),
    INDEX(All_India_Index_Upto_April23__1___1[Pulses and products],
      MATCH(1,(All_India_Index_Upto_April23__1___1[Date]=EDATE($A24,-12))*
              (All_India_Index_Upto_April23__1___1[Sector]="Rural+Urban"),0)),
    INDEX(All_India_Index_Upto_April23__1___1[Sugar and Confectionery],
      MATCH(1,(All_India_Index_Upto_April23__1___1[Date]=EDATE($A24,-12))*
              (All_India_Index_Upto_April23__1___1[Sector]="Rural+Urban"),0)),
    INDEX(All_India_Index_Upto_April23__1___1[Spices],
      MATCH(1,(All_India_Index_Upto_April23__1___1[Date]=EDATE($A24,-12))*
              (All_India_Index_Upto_April23__1___1[Sector]="Rural+Urban"),0)),
    INDEX(All_India_Index_Upto_April23__1___1[Non-alcoholic beverages],
      MATCH(1,(All_India_Index_Upto_April23__1___1[Date]=EDATE($A24,-12))*
              (All_India_Index_Upto_April23__1___1[Sector]="Rural+Urban"),0)),
    INDEX(All_India_Index_Upto_April23__1___1[Prepared meals, snacks, sweets etc.],
      MATCH(1,(All_India_Index_Upto_April23__1___1[Date]=EDATE($A24,-12))*
              (All_India_Index_Upto_April23__1___1[Sector]="Rural+Urban"),0))
  ),
"")</f>
        <v>138.84166666666667</v>
      </c>
      <c r="Q24" s="8">
        <f t="shared" si="5"/>
        <v>-1.8066142488446017E-2</v>
      </c>
      <c r="R24" cm="1">
        <f t="array" ref="R24">IFERROR(
  INDEX(All_India_Index_Upto_April23__1___1[General index],
    MATCH(1,
      (All_India_Index_Upto_April23__1___1[Date]=$A24)*
      (All_India_Index_Upto_April23__1___1[Sector]="Rural+Urban"),
    0)
  ),
"")</f>
        <v>140.80000000000001</v>
      </c>
      <c r="S24" cm="1">
        <f t="array" ref="S24">IFERROR(
  INDEX(All_India_Index_Upto_April23__1___1[General index],
    MATCH(1,
      (All_India_Index_Upto_April23__1___1[Date]=EDATE($A24,-1))*
      (All_India_Index_Upto_April23__1___1[Sector]="Rural+Urban"),
    0)
  ),
"")</f>
        <v>140.80000000000001</v>
      </c>
      <c r="T24" s="8">
        <f t="shared" si="6"/>
        <v>0</v>
      </c>
      <c r="V24" s="77">
        <v>44866</v>
      </c>
      <c r="W24" s="8">
        <v>-6.8181818181818177E-2</v>
      </c>
      <c r="X24" s="8">
        <v>4.4321329639889825E-3</v>
      </c>
      <c r="Y24" s="8">
        <v>6.1387354205030267E-4</v>
      </c>
      <c r="Z24" s="8">
        <v>4.6482908516103552E-2</v>
      </c>
      <c r="AA24" s="8">
        <v>-1.1318619128465684E-3</v>
      </c>
    </row>
    <row r="25" spans="1:27" x14ac:dyDescent="0.2">
      <c r="A25" s="22">
        <v>43435</v>
      </c>
      <c r="B25">
        <v>2018</v>
      </c>
      <c r="C25" t="s">
        <v>53</v>
      </c>
      <c r="D25" s="2">
        <v>56.5</v>
      </c>
      <c r="E25" s="8">
        <f t="shared" si="1"/>
        <v>4.9557522123893756E-2</v>
      </c>
      <c r="F25" s="8">
        <f t="shared" si="2"/>
        <v>4.9557522123893756E-2</v>
      </c>
      <c r="G25" t="e">
        <f t="shared" si="0"/>
        <v>#N/A</v>
      </c>
      <c r="H25" s="22">
        <v>43435</v>
      </c>
      <c r="I25" cm="1">
        <f t="array" ref="I25">IFERROR(
  INDEX(All_India_Index_Upto_April23__1___1[Fuel and light],
    MATCH(1,
      (All_India_Index_Upto_April23__1___1[Date]=$A25)*
      (All_India_Index_Upto_April23__1___1[Sector]="Rural+Urban"),
    0)
  ),
"")</f>
        <v>142.69999999999999</v>
      </c>
      <c r="J25" cm="1">
        <f t="array" ref="J25">IFERROR(
  INDEX(All_India_Index_Upto_April23__1___1[Fuel and light],
    MATCH(1,
      (All_India_Index_Upto_April23__1___1[Date]=EDATE($A25,-1))*
      (All_India_Index_Upto_April23__1___1[Sector]="Rural+Urban"),
    0)
  ),
"")</f>
        <v>145.1</v>
      </c>
      <c r="K25" s="8">
        <f t="shared" si="3"/>
        <v>-1.6540317022742976E-2</v>
      </c>
      <c r="L25" cm="1">
        <f t="array" ref="L25">IFERROR(
  INDEX(All_India_Index_Upto_April23__1___1[Transport and communication],
    MATCH(1,
      (All_India_Index_Upto_April23__1___1[Date]=$A25)*
      (All_India_Index_Upto_April23__1___1[Sector]="Rural+Urban"),
    0)
  ),
"")</f>
        <v>123.6</v>
      </c>
      <c r="M25" cm="1">
        <f t="array" ref="M25">IFERROR(
  INDEX(All_India_Index_Upto_April23__1___1[Transport and communication],
    MATCH(1,
      (All_India_Index_Upto_April23__1___1[Date]=EDATE($A25,-1))*
      (All_India_Index_Upto_April23__1___1[Sector]="Rural+Urban"),
    0)
  ),
"")</f>
        <v>125.5</v>
      </c>
      <c r="N25" s="8">
        <f t="shared" si="4"/>
        <v>-1.5139442231075743E-2</v>
      </c>
      <c r="O25" s="2" cm="1">
        <f t="array" ref="O25">IFERROR(
  AVERAGE(
    INDEX(All_India_Index_Upto_April23__1___1[Cereals and products],
      MATCH(1,(All_India_Index_Upto_April23__1___1[Date]=$A25)*
              (All_India_Index_Upto_April23__1___1[Sector]="Rural+Urban"),0)),
    INDEX(All_India_Index_Upto_April23__1___1[Meat and fish],
      MATCH(1,(All_India_Index_Upto_April23__1___1[Date]=$A25)*
              (All_India_Index_Upto_April23__1___1[Sector]="Rural+Urban"),0)),
    INDEX(All_India_Index_Upto_April23__1___1[Egg],
      MATCH(1,(All_India_Index_Upto_April23__1___1[Date]=$A25)*
              (All_India_Index_Upto_April23__1___1[Sector]="Rural+Urban"),0)),
    INDEX(All_India_Index_Upto_April23__1___1[Milk and products],
      MATCH(1,(All_India_Index_Upto_April23__1___1[Date]=$A25)*
              (All_India_Index_Upto_April23__1___1[Sector]="Rural+Urban"),0)),
    INDEX(All_India_Index_Upto_April23__1___1[Oils and fats],
      MATCH(1,(All_India_Index_Upto_April23__1___1[Date]=$A25)*
              (All_India_Index_Upto_April23__1___1[Sector]="Rural+Urban"),0)),
    INDEX(All_India_Index_Upto_April23__1___1[Fruits],
      MATCH(1,(All_India_Index_Upto_April23__1___1[Date]=$A25)*
              (All_India_Index_Upto_April23__1___1[Sector]="Rural+Urban"),0)),
    INDEX(All_India_Index_Upto_April23__1___1[Vegetables],
      MATCH(1,(All_India_Index_Upto_April23__1___1[Date]=$A25)*
              (All_India_Index_Upto_April23__1___1[Sector]="Rural+Urban"),0)),
    INDEX(All_India_Index_Upto_April23__1___1[Pulses and products],
      MATCH(1,(All_India_Index_Upto_April23__1___1[Date]=$A25)*
              (All_India_Index_Upto_April23__1___1[Sector]="Rural+Urban"),0)),
    INDEX(All_India_Index_Upto_April23__1___1[Sugar and Confectionery],
      MATCH(1,(All_India_Index_Upto_April23__1___1[Date]=$A25)*
              (All_India_Index_Upto_April23__1___1[Sector]="Rural+Urban"),0)),
    INDEX(All_India_Index_Upto_April23__1___1[Spices],
      MATCH(1,(All_India_Index_Upto_April23__1___1[Date]=$A25)*
              (All_India_Index_Upto_April23__1___1[Sector]="Rural+Urban"),0)),
    INDEX(All_India_Index_Upto_April23__1___1[Non-alcoholic beverages],
      MATCH(1,(All_India_Index_Upto_April23__1___1[Date]=$A25)*
              (All_India_Index_Upto_April23__1___1[Sector]="Rural+Urban"),0)),
    INDEX(All_India_Index_Upto_April23__1___1[Prepared meals, snacks, sweets etc.],
      MATCH(1,(All_India_Index_Upto_April23__1___1[Date]=$A25)*
              (All_India_Index_Upto_April23__1___1[Sector]="Rural+Urban"),0))
  ),
"")</f>
        <v>135.3833333333333</v>
      </c>
      <c r="P25" s="2" cm="1">
        <f t="array" ref="P25">IFERROR(
  AVERAGE(
    INDEX(All_India_Index_Upto_April23__1___1[Cereals and products],
      MATCH(1,(All_India_Index_Upto_April23__1___1[Date]=EDATE($A25,-12))*
              (All_India_Index_Upto_April23__1___1[Sector]="Rural+Urban"),0)),
    INDEX(All_India_Index_Upto_April23__1___1[Meat and fish],
      MATCH(1,(All_India_Index_Upto_April23__1___1[Date]=EDATE($A25,-12))*
              (All_India_Index_Upto_April23__1___1[Sector]="Rural+Urban"),0)),
    INDEX(All_India_Index_Upto_April23__1___1[Egg],
      MATCH(1,(All_India_Index_Upto_April23__1___1[Date]=EDATE($A25,-12))*
              (All_India_Index_Upto_April23__1___1[Sector]="Rural+Urban"),0)),
    INDEX(All_India_Index_Upto_April23__1___1[Milk and products],
      MATCH(1,(All_India_Index_Upto_April23__1___1[Date]=EDATE($A25,-12))*
              (All_India_Index_Upto_April23__1___1[Sector]="Rural+Urban"),0)),
    INDEX(All_India_Index_Upto_April23__1___1[Oils and fats],
      MATCH(1,(All_India_Index_Upto_April23__1___1[Date]=EDATE($A25,-12))*
              (All_India_Index_Upto_April23__1___1[Sector]="Rural+Urban"),0)),
    INDEX(All_India_Index_Upto_April23__1___1[Fruits],
      MATCH(1,(All_India_Index_Upto_April23__1___1[Date]=EDATE($A25,-12))*
              (All_India_Index_Upto_April23__1___1[Sector]="Rural+Urban"),0)),
    INDEX(All_India_Index_Upto_April23__1___1[Vegetables],
      MATCH(1,(All_India_Index_Upto_April23__1___1[Date]=EDATE($A25,-12))*
              (All_India_Index_Upto_April23__1___1[Sector]="Rural+Urban"),0)),
    INDEX(All_India_Index_Upto_April23__1___1[Pulses and products],
      MATCH(1,(All_India_Index_Upto_April23__1___1[Date]=EDATE($A25,-12))*
              (All_India_Index_Upto_April23__1___1[Sector]="Rural+Urban"),0)),
    INDEX(All_India_Index_Upto_April23__1___1[Sugar and Confectionery],
      MATCH(1,(All_India_Index_Upto_April23__1___1[Date]=EDATE($A25,-12))*
              (All_India_Index_Upto_April23__1___1[Sector]="Rural+Urban"),0)),
    INDEX(All_India_Index_Upto_April23__1___1[Spices],
      MATCH(1,(All_India_Index_Upto_April23__1___1[Date]=EDATE($A25,-12))*
              (All_India_Index_Upto_April23__1___1[Sector]="Rural+Urban"),0)),
    INDEX(All_India_Index_Upto_April23__1___1[Non-alcoholic beverages],
      MATCH(1,(All_India_Index_Upto_April23__1___1[Date]=EDATE($A25,-12))*
              (All_India_Index_Upto_April23__1___1[Sector]="Rural+Urban"),0)),
    INDEX(All_India_Index_Upto_April23__1___1[Prepared meals, snacks, sweets etc.],
      MATCH(1,(All_India_Index_Upto_April23__1___1[Date]=EDATE($A25,-12))*
              (All_India_Index_Upto_April23__1___1[Sector]="Rural+Urban"),0))
  ),
"")</f>
        <v>137.87499999999997</v>
      </c>
      <c r="Q25" s="8">
        <f t="shared" si="5"/>
        <v>-1.8071925052886129E-2</v>
      </c>
      <c r="R25" cm="1">
        <f t="array" ref="R25">IFERROR(
  INDEX(All_India_Index_Upto_April23__1___1[General index],
    MATCH(1,
      (All_India_Index_Upto_April23__1___1[Date]=$A25)*
      (All_India_Index_Upto_April23__1___1[Sector]="Rural+Urban"),
    0)
  ),
"")</f>
        <v>140.1</v>
      </c>
      <c r="S25" cm="1">
        <f t="array" ref="S25">IFERROR(
  INDEX(All_India_Index_Upto_April23__1___1[General index],
    MATCH(1,
      (All_India_Index_Upto_April23__1___1[Date]=EDATE($A25,-1))*
      (All_India_Index_Upto_April23__1___1[Sector]="Rural+Urban"),
    0)
  ),
"")</f>
        <v>140.80000000000001</v>
      </c>
      <c r="T25" s="8">
        <f t="shared" si="6"/>
        <v>-4.9715909090910296E-3</v>
      </c>
      <c r="V25" s="77">
        <v>44896</v>
      </c>
      <c r="W25" s="8">
        <v>3.6585365853658534E-2</v>
      </c>
      <c r="X25" s="8">
        <v>3.8610038610037982E-3</v>
      </c>
      <c r="Y25" s="8">
        <v>2.4539877300613845E-3</v>
      </c>
      <c r="Z25" s="8">
        <v>4.7100909226412316E-2</v>
      </c>
      <c r="AA25" s="8">
        <v>-4.5325779036827843E-3</v>
      </c>
    </row>
    <row r="26" spans="1:27" x14ac:dyDescent="0.2">
      <c r="A26" s="22">
        <v>43466</v>
      </c>
      <c r="B26">
        <v>2019</v>
      </c>
      <c r="C26" t="s">
        <v>31</v>
      </c>
      <c r="D26" s="2">
        <v>59.3</v>
      </c>
      <c r="E26" s="8">
        <f t="shared" si="1"/>
        <v>8.0944350758853242E-2</v>
      </c>
      <c r="F26" s="8">
        <f t="shared" si="2"/>
        <v>8.0944350758853242E-2</v>
      </c>
      <c r="G26" t="e">
        <f t="shared" si="0"/>
        <v>#N/A</v>
      </c>
      <c r="H26" s="22">
        <v>43466</v>
      </c>
      <c r="I26" cm="1">
        <f t="array" ref="I26">IFERROR(
  INDEX(All_India_Index_Upto_April23__1___1[Fuel and light],
    MATCH(1,
      (All_India_Index_Upto_April23__1___1[Date]=$A26)*
      (All_India_Index_Upto_April23__1___1[Sector]="Rural+Urban"),
    0)
  ),
"")</f>
        <v>139.5</v>
      </c>
      <c r="J26" cm="1">
        <f t="array" ref="J26">IFERROR(
  INDEX(All_India_Index_Upto_April23__1___1[Fuel and light],
    MATCH(1,
      (All_India_Index_Upto_April23__1___1[Date]=EDATE($A26,-1))*
      (All_India_Index_Upto_April23__1___1[Sector]="Rural+Urban"),
    0)
  ),
"")</f>
        <v>142.69999999999999</v>
      </c>
      <c r="K26" s="8">
        <f t="shared" si="3"/>
        <v>-2.2424667133847154E-2</v>
      </c>
      <c r="L26" cm="1">
        <f t="array" ref="L26">IFERROR(
  INDEX(All_India_Index_Upto_April23__1___1[Transport and communication],
    MATCH(1,
      (All_India_Index_Upto_April23__1___1[Date]=$A26)*
      (All_India_Index_Upto_April23__1___1[Sector]="Rural+Urban"),
    0)
  ),
"")</f>
        <v>123.3</v>
      </c>
      <c r="M26" cm="1">
        <f t="array" ref="M26">IFERROR(
  INDEX(All_India_Index_Upto_April23__1___1[Transport and communication],
    MATCH(1,
      (All_India_Index_Upto_April23__1___1[Date]=EDATE($A26,-1))*
      (All_India_Index_Upto_April23__1___1[Sector]="Rural+Urban"),
    0)
  ),
"")</f>
        <v>123.6</v>
      </c>
      <c r="N26" s="8">
        <f t="shared" si="4"/>
        <v>-2.4271844660193947E-3</v>
      </c>
      <c r="O26" s="2" cm="1">
        <f t="array" ref="O26">IFERROR(
  AVERAGE(
    INDEX(All_India_Index_Upto_April23__1___1[Cereals and products],
      MATCH(1,(All_India_Index_Upto_April23__1___1[Date]=$A26)*
              (All_India_Index_Upto_April23__1___1[Sector]="Rural+Urban"),0)),
    INDEX(All_India_Index_Upto_April23__1___1[Meat and fish],
      MATCH(1,(All_India_Index_Upto_April23__1___1[Date]=$A26)*
              (All_India_Index_Upto_April23__1___1[Sector]="Rural+Urban"),0)),
    INDEX(All_India_Index_Upto_April23__1___1[Egg],
      MATCH(1,(All_India_Index_Upto_April23__1___1[Date]=$A26)*
              (All_India_Index_Upto_April23__1___1[Sector]="Rural+Urban"),0)),
    INDEX(All_India_Index_Upto_April23__1___1[Milk and products],
      MATCH(1,(All_India_Index_Upto_April23__1___1[Date]=$A26)*
              (All_India_Index_Upto_April23__1___1[Sector]="Rural+Urban"),0)),
    INDEX(All_India_Index_Upto_April23__1___1[Oils and fats],
      MATCH(1,(All_India_Index_Upto_April23__1___1[Date]=$A26)*
              (All_India_Index_Upto_April23__1___1[Sector]="Rural+Urban"),0)),
    INDEX(All_India_Index_Upto_April23__1___1[Fruits],
      MATCH(1,(All_India_Index_Upto_April23__1___1[Date]=$A26)*
              (All_India_Index_Upto_April23__1___1[Sector]="Rural+Urban"),0)),
    INDEX(All_India_Index_Upto_April23__1___1[Vegetables],
      MATCH(1,(All_India_Index_Upto_April23__1___1[Date]=$A26)*
              (All_India_Index_Upto_April23__1___1[Sector]="Rural+Urban"),0)),
    INDEX(All_India_Index_Upto_April23__1___1[Pulses and products],
      MATCH(1,(All_India_Index_Upto_April23__1___1[Date]=$A26)*
              (All_India_Index_Upto_April23__1___1[Sector]="Rural+Urban"),0)),
    INDEX(All_India_Index_Upto_April23__1___1[Sugar and Confectionery],
      MATCH(1,(All_India_Index_Upto_April23__1___1[Date]=$A26)*
              (All_India_Index_Upto_April23__1___1[Sector]="Rural+Urban"),0)),
    INDEX(All_India_Index_Upto_April23__1___1[Spices],
      MATCH(1,(All_India_Index_Upto_April23__1___1[Date]=$A26)*
              (All_India_Index_Upto_April23__1___1[Sector]="Rural+Urban"),0)),
    INDEX(All_India_Index_Upto_April23__1___1[Non-alcoholic beverages],
      MATCH(1,(All_India_Index_Upto_April23__1___1[Date]=$A26)*
              (All_India_Index_Upto_April23__1___1[Sector]="Rural+Urban"),0)),
    INDEX(All_India_Index_Upto_April23__1___1[Prepared meals, snacks, sweets etc.],
      MATCH(1,(All_India_Index_Upto_April23__1___1[Date]=$A26)*
              (All_India_Index_Upto_April23__1___1[Sector]="Rural+Urban"),0))
  ),
"")</f>
        <v>134.66666666666666</v>
      </c>
      <c r="P26" s="2" cm="1">
        <f t="array" ref="P26">IFERROR(
  AVERAGE(
    INDEX(All_India_Index_Upto_April23__1___1[Cereals and products],
      MATCH(1,(All_India_Index_Upto_April23__1___1[Date]=EDATE($A26,-12))*
              (All_India_Index_Upto_April23__1___1[Sector]="Rural+Urban"),0)),
    INDEX(All_India_Index_Upto_April23__1___1[Meat and fish],
      MATCH(1,(All_India_Index_Upto_April23__1___1[Date]=EDATE($A26,-12))*
              (All_India_Index_Upto_April23__1___1[Sector]="Rural+Urban"),0)),
    INDEX(All_India_Index_Upto_April23__1___1[Egg],
      MATCH(1,(All_India_Index_Upto_April23__1___1[Date]=EDATE($A26,-12))*
              (All_India_Index_Upto_April23__1___1[Sector]="Rural+Urban"),0)),
    INDEX(All_India_Index_Upto_April23__1___1[Milk and products],
      MATCH(1,(All_India_Index_Upto_April23__1___1[Date]=EDATE($A26,-12))*
              (All_India_Index_Upto_April23__1___1[Sector]="Rural+Urban"),0)),
    INDEX(All_India_Index_Upto_April23__1___1[Oils and fats],
      MATCH(1,(All_India_Index_Upto_April23__1___1[Date]=EDATE($A26,-12))*
              (All_India_Index_Upto_April23__1___1[Sector]="Rural+Urban"),0)),
    INDEX(All_India_Index_Upto_April23__1___1[Fruits],
      MATCH(1,(All_India_Index_Upto_April23__1___1[Date]=EDATE($A26,-12))*
              (All_India_Index_Upto_April23__1___1[Sector]="Rural+Urban"),0)),
    INDEX(All_India_Index_Upto_April23__1___1[Vegetables],
      MATCH(1,(All_India_Index_Upto_April23__1___1[Date]=EDATE($A26,-12))*
              (All_India_Index_Upto_April23__1___1[Sector]="Rural+Urban"),0)),
    INDEX(All_India_Index_Upto_April23__1___1[Pulses and products],
      MATCH(1,(All_India_Index_Upto_April23__1___1[Date]=EDATE($A26,-12))*
              (All_India_Index_Upto_April23__1___1[Sector]="Rural+Urban"),0)),
    INDEX(All_India_Index_Upto_April23__1___1[Sugar and Confectionery],
      MATCH(1,(All_India_Index_Upto_April23__1___1[Date]=EDATE($A26,-12))*
              (All_India_Index_Upto_April23__1___1[Sector]="Rural+Urban"),0)),
    INDEX(All_India_Index_Upto_April23__1___1[Spices],
      MATCH(1,(All_India_Index_Upto_April23__1___1[Date]=EDATE($A26,-12))*
              (All_India_Index_Upto_April23__1___1[Sector]="Rural+Urban"),0)),
    INDEX(All_India_Index_Upto_April23__1___1[Non-alcoholic beverages],
      MATCH(1,(All_India_Index_Upto_April23__1___1[Date]=EDATE($A26,-12))*
              (All_India_Index_Upto_April23__1___1[Sector]="Rural+Urban"),0)),
    INDEX(All_India_Index_Upto_April23__1___1[Prepared meals, snacks, sweets etc.],
      MATCH(1,(All_India_Index_Upto_April23__1___1[Date]=EDATE($A26,-12))*
              (All_India_Index_Upto_April23__1___1[Sector]="Rural+Urban"),0))
  ),
"")</f>
        <v>136.72499999999999</v>
      </c>
      <c r="Q26" s="8">
        <f t="shared" si="5"/>
        <v>-1.5054549887243278E-2</v>
      </c>
      <c r="R26" cm="1">
        <f t="array" ref="R26">IFERROR(
  INDEX(All_India_Index_Upto_April23__1___1[General index],
    MATCH(1,
      (All_India_Index_Upto_April23__1___1[Date]=$A26)*
      (All_India_Index_Upto_April23__1___1[Sector]="Rural+Urban"),
    0)
  ),
"")</f>
        <v>139.6</v>
      </c>
      <c r="S26" cm="1">
        <f t="array" ref="S26">IFERROR(
  INDEX(All_India_Index_Upto_April23__1___1[General index],
    MATCH(1,
      (All_India_Index_Upto_April23__1___1[Date]=EDATE($A26,-1))*
      (All_India_Index_Upto_April23__1___1[Sector]="Rural+Urban"),
    0)
  ),
"")</f>
        <v>140.1</v>
      </c>
      <c r="T26" s="8">
        <f t="shared" si="6"/>
        <v>-3.5688793718772309E-3</v>
      </c>
      <c r="V26" s="77">
        <v>44927</v>
      </c>
      <c r="W26" s="8">
        <v>-2.3529411764705882E-2</v>
      </c>
      <c r="X26" s="8">
        <v>0</v>
      </c>
      <c r="Y26" s="8">
        <v>1.2239902080782657E-3</v>
      </c>
      <c r="Z26" s="8">
        <v>5.9165081589748862E-2</v>
      </c>
      <c r="AA26" s="8">
        <v>4.5532157085942599E-3</v>
      </c>
    </row>
    <row r="27" spans="1:27" x14ac:dyDescent="0.2">
      <c r="A27" s="22">
        <v>43497</v>
      </c>
      <c r="B27">
        <v>2019</v>
      </c>
      <c r="C27" t="s">
        <v>35</v>
      </c>
      <c r="D27" s="2">
        <v>64.099999999999994</v>
      </c>
      <c r="E27" s="8">
        <f t="shared" si="1"/>
        <v>3.5881435257410478E-2</v>
      </c>
      <c r="F27" s="8">
        <f t="shared" si="2"/>
        <v>3.5881435257410478E-2</v>
      </c>
      <c r="G27" t="e">
        <f t="shared" si="0"/>
        <v>#N/A</v>
      </c>
      <c r="H27" s="22">
        <v>43497</v>
      </c>
      <c r="I27" cm="1">
        <f t="array" ref="I27">IFERROR(
  INDEX(All_India_Index_Upto_April23__1___1[Fuel and light],
    MATCH(1,
      (All_India_Index_Upto_April23__1___1[Date]=$A27)*
      (All_India_Index_Upto_April23__1___1[Sector]="Rural+Urban"),
    0)
  ),
"")</f>
        <v>138.4</v>
      </c>
      <c r="J27" cm="1">
        <f t="array" ref="J27">IFERROR(
  INDEX(All_India_Index_Upto_April23__1___1[Fuel and light],
    MATCH(1,
      (All_India_Index_Upto_April23__1___1[Date]=EDATE($A27,-1))*
      (All_India_Index_Upto_April23__1___1[Sector]="Rural+Urban"),
    0)
  ),
"")</f>
        <v>139.5</v>
      </c>
      <c r="K27" s="8">
        <f t="shared" si="3"/>
        <v>-7.8853046594981671E-3</v>
      </c>
      <c r="L27" cm="1">
        <f t="array" ref="L27">IFERROR(
  INDEX(All_India_Index_Upto_April23__1___1[Transport and communication],
    MATCH(1,
      (All_India_Index_Upto_April23__1___1[Date]=$A27)*
      (All_India_Index_Upto_April23__1___1[Sector]="Rural+Urban"),
    0)
  ),
"")</f>
        <v>123.9</v>
      </c>
      <c r="M27" cm="1">
        <f t="array" ref="M27">IFERROR(
  INDEX(All_India_Index_Upto_April23__1___1[Transport and communication],
    MATCH(1,
      (All_India_Index_Upto_April23__1___1[Date]=EDATE($A27,-1))*
      (All_India_Index_Upto_April23__1___1[Sector]="Rural+Urban"),
    0)
  ),
"")</f>
        <v>123.3</v>
      </c>
      <c r="N27" s="8">
        <f t="shared" si="4"/>
        <v>4.86618004866187E-3</v>
      </c>
      <c r="O27" s="2" cm="1">
        <f t="array" ref="O27">IFERROR(
  AVERAGE(
    INDEX(All_India_Index_Upto_April23__1___1[Cereals and products],
      MATCH(1,(All_India_Index_Upto_April23__1___1[Date]=$A27)*
              (All_India_Index_Upto_April23__1___1[Sector]="Rural+Urban"),0)),
    INDEX(All_India_Index_Upto_April23__1___1[Meat and fish],
      MATCH(1,(All_India_Index_Upto_April23__1___1[Date]=$A27)*
              (All_India_Index_Upto_April23__1___1[Sector]="Rural+Urban"),0)),
    INDEX(All_India_Index_Upto_April23__1___1[Egg],
      MATCH(1,(All_India_Index_Upto_April23__1___1[Date]=$A27)*
              (All_India_Index_Upto_April23__1___1[Sector]="Rural+Urban"),0)),
    INDEX(All_India_Index_Upto_April23__1___1[Milk and products],
      MATCH(1,(All_India_Index_Upto_April23__1___1[Date]=$A27)*
              (All_India_Index_Upto_April23__1___1[Sector]="Rural+Urban"),0)),
    INDEX(All_India_Index_Upto_April23__1___1[Oils and fats],
      MATCH(1,(All_India_Index_Upto_April23__1___1[Date]=$A27)*
              (All_India_Index_Upto_April23__1___1[Sector]="Rural+Urban"),0)),
    INDEX(All_India_Index_Upto_April23__1___1[Fruits],
      MATCH(1,(All_India_Index_Upto_April23__1___1[Date]=$A27)*
              (All_India_Index_Upto_April23__1___1[Sector]="Rural+Urban"),0)),
    INDEX(All_India_Index_Upto_April23__1___1[Vegetables],
      MATCH(1,(All_India_Index_Upto_April23__1___1[Date]=$A27)*
              (All_India_Index_Upto_April23__1___1[Sector]="Rural+Urban"),0)),
    INDEX(All_India_Index_Upto_April23__1___1[Pulses and products],
      MATCH(1,(All_India_Index_Upto_April23__1___1[Date]=$A27)*
              (All_India_Index_Upto_April23__1___1[Sector]="Rural+Urban"),0)),
    INDEX(All_India_Index_Upto_April23__1___1[Sugar and Confectionery],
      MATCH(1,(All_India_Index_Upto_April23__1___1[Date]=$A27)*
              (All_India_Index_Upto_April23__1___1[Sector]="Rural+Urban"),0)),
    INDEX(All_India_Index_Upto_April23__1___1[Spices],
      MATCH(1,(All_India_Index_Upto_April23__1___1[Date]=$A27)*
              (All_India_Index_Upto_April23__1___1[Sector]="Rural+Urban"),0)),
    INDEX(All_India_Index_Upto_April23__1___1[Non-alcoholic beverages],
      MATCH(1,(All_India_Index_Upto_April23__1___1[Date]=$A27)*
              (All_India_Index_Upto_April23__1___1[Sector]="Rural+Urban"),0)),
    INDEX(All_India_Index_Upto_April23__1___1[Prepared meals, snacks, sweets etc.],
      MATCH(1,(All_India_Index_Upto_April23__1___1[Date]=$A27)*
              (All_India_Index_Upto_April23__1___1[Sector]="Rural+Urban"),0))
  ),
"")</f>
        <v>134.96666666666667</v>
      </c>
      <c r="P27" s="2" cm="1">
        <f t="array" ref="P27">IFERROR(
  AVERAGE(
    INDEX(All_India_Index_Upto_April23__1___1[Cereals and products],
      MATCH(1,(All_India_Index_Upto_April23__1___1[Date]=EDATE($A27,-12))*
              (All_India_Index_Upto_April23__1___1[Sector]="Rural+Urban"),0)),
    INDEX(All_India_Index_Upto_April23__1___1[Meat and fish],
      MATCH(1,(All_India_Index_Upto_April23__1___1[Date]=EDATE($A27,-12))*
              (All_India_Index_Upto_April23__1___1[Sector]="Rural+Urban"),0)),
    INDEX(All_India_Index_Upto_April23__1___1[Egg],
      MATCH(1,(All_India_Index_Upto_April23__1___1[Date]=EDATE($A27,-12))*
              (All_India_Index_Upto_April23__1___1[Sector]="Rural+Urban"),0)),
    INDEX(All_India_Index_Upto_April23__1___1[Milk and products],
      MATCH(1,(All_India_Index_Upto_April23__1___1[Date]=EDATE($A27,-12))*
              (All_India_Index_Upto_April23__1___1[Sector]="Rural+Urban"),0)),
    INDEX(All_India_Index_Upto_April23__1___1[Oils and fats],
      MATCH(1,(All_India_Index_Upto_April23__1___1[Date]=EDATE($A27,-12))*
              (All_India_Index_Upto_April23__1___1[Sector]="Rural+Urban"),0)),
    INDEX(All_India_Index_Upto_April23__1___1[Fruits],
      MATCH(1,(All_India_Index_Upto_April23__1___1[Date]=EDATE($A27,-12))*
              (All_India_Index_Upto_April23__1___1[Sector]="Rural+Urban"),0)),
    INDEX(All_India_Index_Upto_April23__1___1[Vegetables],
      MATCH(1,(All_India_Index_Upto_April23__1___1[Date]=EDATE($A27,-12))*
              (All_India_Index_Upto_April23__1___1[Sector]="Rural+Urban"),0)),
    INDEX(All_India_Index_Upto_April23__1___1[Pulses and products],
      MATCH(1,(All_India_Index_Upto_April23__1___1[Date]=EDATE($A27,-12))*
              (All_India_Index_Upto_April23__1___1[Sector]="Rural+Urban"),0)),
    INDEX(All_India_Index_Upto_April23__1___1[Sugar and Confectionery],
      MATCH(1,(All_India_Index_Upto_April23__1___1[Date]=EDATE($A27,-12))*
              (All_India_Index_Upto_April23__1___1[Sector]="Rural+Urban"),0)),
    INDEX(All_India_Index_Upto_April23__1___1[Spices],
      MATCH(1,(All_India_Index_Upto_April23__1___1[Date]=EDATE($A27,-12))*
              (All_India_Index_Upto_April23__1___1[Sector]="Rural+Urban"),0)),
    INDEX(All_India_Index_Upto_April23__1___1[Non-alcoholic beverages],
      MATCH(1,(All_India_Index_Upto_April23__1___1[Date]=EDATE($A27,-12))*
              (All_India_Index_Upto_April23__1___1[Sector]="Rural+Urban"),0)),
    INDEX(All_India_Index_Upto_April23__1___1[Prepared meals, snacks, sweets etc.],
      MATCH(1,(All_India_Index_Upto_April23__1___1[Date]=EDATE($A27,-12))*
              (All_India_Index_Upto_April23__1___1[Sector]="Rural+Urban"),0))
  ),
"")</f>
        <v>135.23333333333332</v>
      </c>
      <c r="Q27" s="8">
        <f t="shared" si="5"/>
        <v>-1.971900419028727E-3</v>
      </c>
      <c r="R27" cm="1">
        <f t="array" ref="R27">IFERROR(
  INDEX(All_India_Index_Upto_April23__1___1[General index],
    MATCH(1,
      (All_India_Index_Upto_April23__1___1[Date]=$A27)*
      (All_India_Index_Upto_April23__1___1[Sector]="Rural+Urban"),
    0)
  ),
"")</f>
        <v>139.9</v>
      </c>
      <c r="S27" cm="1">
        <f t="array" ref="S27">IFERROR(
  INDEX(All_India_Index_Upto_April23__1___1[General index],
    MATCH(1,
      (All_India_Index_Upto_April23__1___1[Date]=EDATE($A27,-1))*
      (All_India_Index_Upto_April23__1___1[Sector]="Rural+Urban"),
    0)
  ),
"")</f>
        <v>139.6</v>
      </c>
      <c r="T27" s="8">
        <f t="shared" si="6"/>
        <v>2.1489971346705687E-3</v>
      </c>
      <c r="V27" s="77">
        <v>44958</v>
      </c>
      <c r="W27" s="8">
        <v>-4.8192771084337352E-2</v>
      </c>
      <c r="X27" s="8">
        <v>5.4945054945051823E-4</v>
      </c>
      <c r="Y27" s="8">
        <v>3.6674816625916523E-3</v>
      </c>
      <c r="Z27" s="8">
        <v>5.3684210526315508E-2</v>
      </c>
      <c r="AA27" s="8">
        <v>3.9660056657223148E-3</v>
      </c>
    </row>
    <row r="28" spans="1:27" x14ac:dyDescent="0.2">
      <c r="A28" s="22">
        <v>43525</v>
      </c>
      <c r="B28">
        <v>2019</v>
      </c>
      <c r="C28" t="s">
        <v>37</v>
      </c>
      <c r="D28" s="2">
        <v>66.400000000000006</v>
      </c>
      <c r="E28" s="8">
        <f t="shared" si="1"/>
        <v>6.1746987951807136E-2</v>
      </c>
      <c r="F28" s="8">
        <f t="shared" si="2"/>
        <v>6.1746987951807136E-2</v>
      </c>
      <c r="G28" t="e">
        <f t="shared" si="0"/>
        <v>#N/A</v>
      </c>
      <c r="H28" s="22">
        <v>43525</v>
      </c>
      <c r="I28" cm="1">
        <f t="array" ref="I28">IFERROR(
  INDEX(All_India_Index_Upto_April23__1___1[Fuel and light],
    MATCH(1,
      (All_India_Index_Upto_April23__1___1[Date]=$A28)*
      (All_India_Index_Upto_April23__1___1[Sector]="Rural+Urban"),
    0)
  ),
"")</f>
        <v>139.69999999999999</v>
      </c>
      <c r="J28" cm="1">
        <f t="array" ref="J28">IFERROR(
  INDEX(All_India_Index_Upto_April23__1___1[Fuel and light],
    MATCH(1,
      (All_India_Index_Upto_April23__1___1[Date]=EDATE($A28,-1))*
      (All_India_Index_Upto_April23__1___1[Sector]="Rural+Urban"),
    0)
  ),
"")</f>
        <v>138.4</v>
      </c>
      <c r="K28" s="8">
        <f t="shared" si="3"/>
        <v>9.3930635838149045E-3</v>
      </c>
      <c r="L28" cm="1">
        <f t="array" ref="L28">IFERROR(
  INDEX(All_India_Index_Upto_April23__1___1[Transport and communication],
    MATCH(1,
      (All_India_Index_Upto_April23__1___1[Date]=$A28)*
      (All_India_Index_Upto_April23__1___1[Sector]="Rural+Urban"),
    0)
  ),
"")</f>
        <v>124.6</v>
      </c>
      <c r="M28" cm="1">
        <f t="array" ref="M28">IFERROR(
  INDEX(All_India_Index_Upto_April23__1___1[Transport and communication],
    MATCH(1,
      (All_India_Index_Upto_April23__1___1[Date]=EDATE($A28,-1))*
      (All_India_Index_Upto_April23__1___1[Sector]="Rural+Urban"),
    0)
  ),
"")</f>
        <v>123.9</v>
      </c>
      <c r="N28" s="8">
        <f t="shared" si="4"/>
        <v>5.6497175141242018E-3</v>
      </c>
      <c r="O28" s="2" cm="1">
        <f t="array" ref="O28">IFERROR(
  AVERAGE(
    INDEX(All_India_Index_Upto_April23__1___1[Cereals and products],
      MATCH(1,(All_India_Index_Upto_April23__1___1[Date]=$A28)*
              (All_India_Index_Upto_April23__1___1[Sector]="Rural+Urban"),0)),
    INDEX(All_India_Index_Upto_April23__1___1[Meat and fish],
      MATCH(1,(All_India_Index_Upto_April23__1___1[Date]=$A28)*
              (All_India_Index_Upto_April23__1___1[Sector]="Rural+Urban"),0)),
    INDEX(All_India_Index_Upto_April23__1___1[Egg],
      MATCH(1,(All_India_Index_Upto_April23__1___1[Date]=$A28)*
              (All_India_Index_Upto_April23__1___1[Sector]="Rural+Urban"),0)),
    INDEX(All_India_Index_Upto_April23__1___1[Milk and products],
      MATCH(1,(All_India_Index_Upto_April23__1___1[Date]=$A28)*
              (All_India_Index_Upto_April23__1___1[Sector]="Rural+Urban"),0)),
    INDEX(All_India_Index_Upto_April23__1___1[Oils and fats],
      MATCH(1,(All_India_Index_Upto_April23__1___1[Date]=$A28)*
              (All_India_Index_Upto_April23__1___1[Sector]="Rural+Urban"),0)),
    INDEX(All_India_Index_Upto_April23__1___1[Fruits],
      MATCH(1,(All_India_Index_Upto_April23__1___1[Date]=$A28)*
              (All_India_Index_Upto_April23__1___1[Sector]="Rural+Urban"),0)),
    INDEX(All_India_Index_Upto_April23__1___1[Vegetables],
      MATCH(1,(All_India_Index_Upto_April23__1___1[Date]=$A28)*
              (All_India_Index_Upto_April23__1___1[Sector]="Rural+Urban"),0)),
    INDEX(All_India_Index_Upto_April23__1___1[Pulses and products],
      MATCH(1,(All_India_Index_Upto_April23__1___1[Date]=$A28)*
              (All_India_Index_Upto_April23__1___1[Sector]="Rural+Urban"),0)),
    INDEX(All_India_Index_Upto_April23__1___1[Sugar and Confectionery],
      MATCH(1,(All_India_Index_Upto_April23__1___1[Date]=$A28)*
              (All_India_Index_Upto_April23__1___1[Sector]="Rural+Urban"),0)),
    INDEX(All_India_Index_Upto_April23__1___1[Spices],
      MATCH(1,(All_India_Index_Upto_April23__1___1[Date]=$A28)*
              (All_India_Index_Upto_April23__1___1[Sector]="Rural+Urban"),0)),
    INDEX(All_India_Index_Upto_April23__1___1[Non-alcoholic beverages],
      MATCH(1,(All_India_Index_Upto_April23__1___1[Date]=$A28)*
              (All_India_Index_Upto_April23__1___1[Sector]="Rural+Urban"),0)),
    INDEX(All_India_Index_Upto_April23__1___1[Prepared meals, snacks, sweets etc.],
      MATCH(1,(All_India_Index_Upto_April23__1___1[Date]=$A28)*
              (All_India_Index_Upto_April23__1___1[Sector]="Rural+Urban"),0))
  ),
"")</f>
        <v>135.4</v>
      </c>
      <c r="P28" s="2" cm="1">
        <f t="array" ref="P28">IFERROR(
  AVERAGE(
    INDEX(All_India_Index_Upto_April23__1___1[Cereals and products],
      MATCH(1,(All_India_Index_Upto_April23__1___1[Date]=EDATE($A28,-12))*
              (All_India_Index_Upto_April23__1___1[Sector]="Rural+Urban"),0)),
    INDEX(All_India_Index_Upto_April23__1___1[Meat and fish],
      MATCH(1,(All_India_Index_Upto_April23__1___1[Date]=EDATE($A28,-12))*
              (All_India_Index_Upto_April23__1___1[Sector]="Rural+Urban"),0)),
    INDEX(All_India_Index_Upto_April23__1___1[Egg],
      MATCH(1,(All_India_Index_Upto_April23__1___1[Date]=EDATE($A28,-12))*
              (All_India_Index_Upto_April23__1___1[Sector]="Rural+Urban"),0)),
    INDEX(All_India_Index_Upto_April23__1___1[Milk and products],
      MATCH(1,(All_India_Index_Upto_April23__1___1[Date]=EDATE($A28,-12))*
              (All_India_Index_Upto_April23__1___1[Sector]="Rural+Urban"),0)),
    INDEX(All_India_Index_Upto_April23__1___1[Oils and fats],
      MATCH(1,(All_India_Index_Upto_April23__1___1[Date]=EDATE($A28,-12))*
              (All_India_Index_Upto_April23__1___1[Sector]="Rural+Urban"),0)),
    INDEX(All_India_Index_Upto_April23__1___1[Fruits],
      MATCH(1,(All_India_Index_Upto_April23__1___1[Date]=EDATE($A28,-12))*
              (All_India_Index_Upto_April23__1___1[Sector]="Rural+Urban"),0)),
    INDEX(All_India_Index_Upto_April23__1___1[Vegetables],
      MATCH(1,(All_India_Index_Upto_April23__1___1[Date]=EDATE($A28,-12))*
              (All_India_Index_Upto_April23__1___1[Sector]="Rural+Urban"),0)),
    INDEX(All_India_Index_Upto_April23__1___1[Pulses and products],
      MATCH(1,(All_India_Index_Upto_April23__1___1[Date]=EDATE($A28,-12))*
              (All_India_Index_Upto_April23__1___1[Sector]="Rural+Urban"),0)),
    INDEX(All_India_Index_Upto_April23__1___1[Sugar and Confectionery],
      MATCH(1,(All_India_Index_Upto_April23__1___1[Date]=EDATE($A28,-12))*
              (All_India_Index_Upto_April23__1___1[Sector]="Rural+Urban"),0)),
    INDEX(All_India_Index_Upto_April23__1___1[Spices],
      MATCH(1,(All_India_Index_Upto_April23__1___1[Date]=EDATE($A28,-12))*
              (All_India_Index_Upto_April23__1___1[Sector]="Rural+Urban"),0)),
    INDEX(All_India_Index_Upto_April23__1___1[Non-alcoholic beverages],
      MATCH(1,(All_India_Index_Upto_April23__1___1[Date]=EDATE($A28,-12))*
              (All_India_Index_Upto_April23__1___1[Sector]="Rural+Urban"),0)),
    INDEX(All_India_Index_Upto_April23__1___1[Prepared meals, snacks, sweets etc.],
      MATCH(1,(All_India_Index_Upto_April23__1___1[Date]=EDATE($A28,-12))*
              (All_India_Index_Upto_April23__1___1[Sector]="Rural+Urban"),0))
  ),
"")</f>
        <v>134.9</v>
      </c>
      <c r="Q28" s="8">
        <f t="shared" si="5"/>
        <v>3.7064492216456633E-3</v>
      </c>
      <c r="R28" cm="1">
        <f t="array" ref="R28">IFERROR(
  INDEX(All_India_Index_Upto_April23__1___1[General index],
    MATCH(1,
      (All_India_Index_Upto_April23__1___1[Date]=$A28)*
      (All_India_Index_Upto_April23__1___1[Sector]="Rural+Urban"),
    0)
  ),
"")</f>
        <v>140.4</v>
      </c>
      <c r="S28" cm="1">
        <f t="array" ref="S28">IFERROR(
  INDEX(All_India_Index_Upto_April23__1___1[General index],
    MATCH(1,
      (All_India_Index_Upto_April23__1___1[Date]=EDATE($A28,-1))*
      (All_India_Index_Upto_April23__1___1[Sector]="Rural+Urban"),
    0)
  ),
"")</f>
        <v>139.9</v>
      </c>
      <c r="T28" s="8">
        <f t="shared" si="6"/>
        <v>3.5739814152966403E-3</v>
      </c>
      <c r="V28" s="77">
        <v>44986</v>
      </c>
      <c r="W28" s="8">
        <v>6.3291139240506333E-2</v>
      </c>
      <c r="X28" s="8">
        <v>-1.0982976386600144E-3</v>
      </c>
      <c r="Y28" s="8">
        <v>0</v>
      </c>
      <c r="Z28" s="8">
        <v>4.286139497966044E-2</v>
      </c>
      <c r="AA28" s="8">
        <v>0</v>
      </c>
    </row>
    <row r="29" spans="1:27" x14ac:dyDescent="0.2">
      <c r="A29" s="22">
        <v>43586</v>
      </c>
      <c r="B29">
        <v>2019</v>
      </c>
      <c r="C29" t="s">
        <v>40</v>
      </c>
      <c r="D29" s="2">
        <v>70.5</v>
      </c>
      <c r="E29" s="8">
        <f t="shared" si="1"/>
        <v>-9.2198581560283682E-2</v>
      </c>
      <c r="F29" s="8">
        <f t="shared" si="2"/>
        <v>-9.2198581560283682E-2</v>
      </c>
      <c r="G29" t="e">
        <f t="shared" si="0"/>
        <v>#N/A</v>
      </c>
      <c r="H29" s="22">
        <v>43586</v>
      </c>
      <c r="I29" cm="1">
        <f t="array" ref="I29">IFERROR(
  INDEX(All_India_Index_Upto_April23__1___1[Fuel and light],
    MATCH(1,
      (All_India_Index_Upto_April23__1___1[Date]=$A29)*
      (All_India_Index_Upto_April23__1___1[Sector]="Rural+Urban"),
    0)
  ),
"")</f>
        <v>140.30000000000001</v>
      </c>
      <c r="J29" t="str" cm="1">
        <f t="array" ref="J29">IFERROR(
  INDEX(All_India_Index_Upto_April23__1___1[Fuel and light],
    MATCH(1,
      (All_India_Index_Upto_April23__1___1[Date]=EDATE($A29,-1))*
      (All_India_Index_Upto_April23__1___1[Sector]="Rural+Urban"),
    0)
  ),
"")</f>
        <v/>
      </c>
      <c r="K29" s="8" t="str">
        <f t="shared" si="3"/>
        <v/>
      </c>
      <c r="L29" cm="1">
        <f t="array" ref="L29">IFERROR(
  INDEX(All_India_Index_Upto_April23__1___1[Transport and communication],
    MATCH(1,
      (All_India_Index_Upto_April23__1___1[Date]=$A29)*
      (All_India_Index_Upto_April23__1___1[Sector]="Rural+Urban"),
    0)
  ),
"")</f>
        <v>124.9</v>
      </c>
      <c r="M29" t="str" cm="1">
        <f t="array" ref="M29">IFERROR(
  INDEX(All_India_Index_Upto_April23__1___1[Transport and communication],
    MATCH(1,
      (All_India_Index_Upto_April23__1___1[Date]=EDATE($A29,-1))*
      (All_India_Index_Upto_April23__1___1[Sector]="Rural+Urban"),
    0)
  ),
"")</f>
        <v/>
      </c>
      <c r="N29" s="8" t="str">
        <f t="shared" si="4"/>
        <v/>
      </c>
      <c r="O29" s="2" cm="1">
        <f t="array" ref="O29">IFERROR(
  AVERAGE(
    INDEX(All_India_Index_Upto_April23__1___1[Cereals and products],
      MATCH(1,(All_India_Index_Upto_April23__1___1[Date]=$A29)*
              (All_India_Index_Upto_April23__1___1[Sector]="Rural+Urban"),0)),
    INDEX(All_India_Index_Upto_April23__1___1[Meat and fish],
      MATCH(1,(All_India_Index_Upto_April23__1___1[Date]=$A29)*
              (All_India_Index_Upto_April23__1___1[Sector]="Rural+Urban"),0)),
    INDEX(All_India_Index_Upto_April23__1___1[Egg],
      MATCH(1,(All_India_Index_Upto_April23__1___1[Date]=$A29)*
              (All_India_Index_Upto_April23__1___1[Sector]="Rural+Urban"),0)),
    INDEX(All_India_Index_Upto_April23__1___1[Milk and products],
      MATCH(1,(All_India_Index_Upto_April23__1___1[Date]=$A29)*
              (All_India_Index_Upto_April23__1___1[Sector]="Rural+Urban"),0)),
    INDEX(All_India_Index_Upto_April23__1___1[Oils and fats],
      MATCH(1,(All_India_Index_Upto_April23__1___1[Date]=$A29)*
              (All_India_Index_Upto_April23__1___1[Sector]="Rural+Urban"),0)),
    INDEX(All_India_Index_Upto_April23__1___1[Fruits],
      MATCH(1,(All_India_Index_Upto_April23__1___1[Date]=$A29)*
              (All_India_Index_Upto_April23__1___1[Sector]="Rural+Urban"),0)),
    INDEX(All_India_Index_Upto_April23__1___1[Vegetables],
      MATCH(1,(All_India_Index_Upto_April23__1___1[Date]=$A29)*
              (All_India_Index_Upto_April23__1___1[Sector]="Rural+Urban"),0)),
    INDEX(All_India_Index_Upto_April23__1___1[Pulses and products],
      MATCH(1,(All_India_Index_Upto_April23__1___1[Date]=$A29)*
              (All_India_Index_Upto_April23__1___1[Sector]="Rural+Urban"),0)),
    INDEX(All_India_Index_Upto_April23__1___1[Sugar and Confectionery],
      MATCH(1,(All_India_Index_Upto_April23__1___1[Date]=$A29)*
              (All_India_Index_Upto_April23__1___1[Sector]="Rural+Urban"),0)),
    INDEX(All_India_Index_Upto_April23__1___1[Spices],
      MATCH(1,(All_India_Index_Upto_April23__1___1[Date]=$A29)*
              (All_India_Index_Upto_April23__1___1[Sector]="Rural+Urban"),0)),
    INDEX(All_India_Index_Upto_April23__1___1[Non-alcoholic beverages],
      MATCH(1,(All_India_Index_Upto_April23__1___1[Date]=$A29)*
              (All_India_Index_Upto_April23__1___1[Sector]="Rural+Urban"),0)),
    INDEX(All_India_Index_Upto_April23__1___1[Prepared meals, snacks, sweets etc.],
      MATCH(1,(All_India_Index_Upto_April23__1___1[Date]=$A29)*
              (All_India_Index_Upto_April23__1___1[Sector]="Rural+Urban"),0))
  ),
"")</f>
        <v>137.58333333333334</v>
      </c>
      <c r="P29" s="2" cm="1">
        <f t="array" ref="P29">IFERROR(
  AVERAGE(
    INDEX(All_India_Index_Upto_April23__1___1[Cereals and products],
      MATCH(1,(All_India_Index_Upto_April23__1___1[Date]=EDATE($A29,-12))*
              (All_India_Index_Upto_April23__1___1[Sector]="Rural+Urban"),0)),
    INDEX(All_India_Index_Upto_April23__1___1[Meat and fish],
      MATCH(1,(All_India_Index_Upto_April23__1___1[Date]=EDATE($A29,-12))*
              (All_India_Index_Upto_April23__1___1[Sector]="Rural+Urban"),0)),
    INDEX(All_India_Index_Upto_April23__1___1[Egg],
      MATCH(1,(All_India_Index_Upto_April23__1___1[Date]=EDATE($A29,-12))*
              (All_India_Index_Upto_April23__1___1[Sector]="Rural+Urban"),0)),
    INDEX(All_India_Index_Upto_April23__1___1[Milk and products],
      MATCH(1,(All_India_Index_Upto_April23__1___1[Date]=EDATE($A29,-12))*
              (All_India_Index_Upto_April23__1___1[Sector]="Rural+Urban"),0)),
    INDEX(All_India_Index_Upto_April23__1___1[Oils and fats],
      MATCH(1,(All_India_Index_Upto_April23__1___1[Date]=EDATE($A29,-12))*
              (All_India_Index_Upto_April23__1___1[Sector]="Rural+Urban"),0)),
    INDEX(All_India_Index_Upto_April23__1___1[Fruits],
      MATCH(1,(All_India_Index_Upto_April23__1___1[Date]=EDATE($A29,-12))*
              (All_India_Index_Upto_April23__1___1[Sector]="Rural+Urban"),0)),
    INDEX(All_India_Index_Upto_April23__1___1[Vegetables],
      MATCH(1,(All_India_Index_Upto_April23__1___1[Date]=EDATE($A29,-12))*
              (All_India_Index_Upto_April23__1___1[Sector]="Rural+Urban"),0)),
    INDEX(All_India_Index_Upto_April23__1___1[Pulses and products],
      MATCH(1,(All_India_Index_Upto_April23__1___1[Date]=EDATE($A29,-12))*
              (All_India_Index_Upto_April23__1___1[Sector]="Rural+Urban"),0)),
    INDEX(All_India_Index_Upto_April23__1___1[Sugar and Confectionery],
      MATCH(1,(All_India_Index_Upto_April23__1___1[Date]=EDATE($A29,-12))*
              (All_India_Index_Upto_April23__1___1[Sector]="Rural+Urban"),0)),
    INDEX(All_India_Index_Upto_April23__1___1[Spices],
      MATCH(1,(All_India_Index_Upto_April23__1___1[Date]=EDATE($A29,-12))*
              (All_India_Index_Upto_April23__1___1[Sector]="Rural+Urban"),0)),
    INDEX(All_India_Index_Upto_April23__1___1[Non-alcoholic beverages],
      MATCH(1,(All_India_Index_Upto_April23__1___1[Date]=EDATE($A29,-12))*
              (All_India_Index_Upto_April23__1___1[Sector]="Rural+Urban"),0)),
    INDEX(All_India_Index_Upto_April23__1___1[Prepared meals, snacks, sweets etc.],
      MATCH(1,(All_India_Index_Upto_April23__1___1[Date]=EDATE($A29,-12))*
              (All_India_Index_Upto_April23__1___1[Sector]="Rural+Urban"),0))
  ),
"")</f>
        <v>135.14166666666668</v>
      </c>
      <c r="Q29" s="8">
        <f t="shared" si="5"/>
        <v>1.8067460072763119E-2</v>
      </c>
      <c r="R29" cm="1">
        <f t="array" ref="R29">IFERROR(
  INDEX(All_India_Index_Upto_April23__1___1[General index],
    MATCH(1,
      (All_India_Index_Upto_April23__1___1[Date]=$A29)*
      (All_India_Index_Upto_April23__1___1[Sector]="Rural+Urban"),
    0)
  ),
"")</f>
        <v>142</v>
      </c>
      <c r="S29" t="str" cm="1">
        <f t="array" ref="S29">IFERROR(
  INDEX(All_India_Index_Upto_April23__1___1[General index],
    MATCH(1,
      (All_India_Index_Upto_April23__1___1[Date]=EDATE($A29,-1))*
      (All_India_Index_Upto_April23__1___1[Sector]="Rural+Urban"),
    0)
  ),
"")</f>
        <v/>
      </c>
      <c r="T29" s="8" t="str">
        <f t="shared" si="6"/>
        <v/>
      </c>
      <c r="V29" s="77">
        <v>45017</v>
      </c>
      <c r="W29" s="8">
        <v>-9.5238095238095233E-2</v>
      </c>
      <c r="X29" s="8">
        <v>-1.0995052226499013E-3</v>
      </c>
      <c r="Y29" s="8">
        <v>1.8270401948843567E-3</v>
      </c>
      <c r="Z29" s="8">
        <v>3.3374113041350642E-2</v>
      </c>
      <c r="AA29" s="8">
        <v>5.0790067720090613E-3</v>
      </c>
    </row>
    <row r="30" spans="1:27" x14ac:dyDescent="0.2">
      <c r="A30" s="22">
        <v>43617</v>
      </c>
      <c r="B30">
        <v>2019</v>
      </c>
      <c r="C30" t="s">
        <v>41</v>
      </c>
      <c r="D30" s="2">
        <v>64</v>
      </c>
      <c r="E30" s="8">
        <f t="shared" si="1"/>
        <v>3.125E-2</v>
      </c>
      <c r="F30" s="8">
        <f t="shared" si="2"/>
        <v>3.125E-2</v>
      </c>
      <c r="G30" t="e">
        <f t="shared" si="0"/>
        <v>#N/A</v>
      </c>
      <c r="H30" s="22">
        <v>43617</v>
      </c>
      <c r="I30" cm="1">
        <f t="array" ref="I30">IFERROR(
  INDEX(All_India_Index_Upto_April23__1___1[Fuel and light],
    MATCH(1,
      (All_India_Index_Upto_April23__1___1[Date]=$A30)*
      (All_India_Index_Upto_April23__1___1[Sector]="Rural+Urban"),
    0)
  ),
"")</f>
        <v>141.19999999999999</v>
      </c>
      <c r="J30" cm="1">
        <f t="array" ref="J30">IFERROR(
  INDEX(All_India_Index_Upto_April23__1___1[Fuel and light],
    MATCH(1,
      (All_India_Index_Upto_April23__1___1[Date]=EDATE($A30,-1))*
      (All_India_Index_Upto_April23__1___1[Sector]="Rural+Urban"),
    0)
  ),
"")</f>
        <v>140.30000000000001</v>
      </c>
      <c r="K30" s="8">
        <f t="shared" si="3"/>
        <v>6.4148253741979841E-3</v>
      </c>
      <c r="L30" cm="1">
        <f t="array" ref="L30">IFERROR(
  INDEX(All_India_Index_Upto_April23__1___1[Transport and communication],
    MATCH(1,
      (All_India_Index_Upto_April23__1___1[Date]=$A30)*
      (All_India_Index_Upto_April23__1___1[Sector]="Rural+Urban"),
    0)
  ),
"")</f>
        <v>124.6</v>
      </c>
      <c r="M30" cm="1">
        <f t="array" ref="M30">IFERROR(
  INDEX(All_India_Index_Upto_April23__1___1[Transport and communication],
    MATCH(1,
      (All_India_Index_Upto_April23__1___1[Date]=EDATE($A30,-1))*
      (All_India_Index_Upto_April23__1___1[Sector]="Rural+Urban"),
    0)
  ),
"")</f>
        <v>124.9</v>
      </c>
      <c r="N30" s="8">
        <f t="shared" si="4"/>
        <v>-2.4019215372298747E-3</v>
      </c>
      <c r="O30" s="2" cm="1">
        <f t="array" ref="O30">IFERROR(
  AVERAGE(
    INDEX(All_India_Index_Upto_April23__1___1[Cereals and products],
      MATCH(1,(All_India_Index_Upto_April23__1___1[Date]=$A30)*
              (All_India_Index_Upto_April23__1___1[Sector]="Rural+Urban"),0)),
    INDEX(All_India_Index_Upto_April23__1___1[Meat and fish],
      MATCH(1,(All_India_Index_Upto_April23__1___1[Date]=$A30)*
              (All_India_Index_Upto_April23__1___1[Sector]="Rural+Urban"),0)),
    INDEX(All_India_Index_Upto_April23__1___1[Egg],
      MATCH(1,(All_India_Index_Upto_April23__1___1[Date]=$A30)*
              (All_India_Index_Upto_April23__1___1[Sector]="Rural+Urban"),0)),
    INDEX(All_India_Index_Upto_April23__1___1[Milk and products],
      MATCH(1,(All_India_Index_Upto_April23__1___1[Date]=$A30)*
              (All_India_Index_Upto_April23__1___1[Sector]="Rural+Urban"),0)),
    INDEX(All_India_Index_Upto_April23__1___1[Oils and fats],
      MATCH(1,(All_India_Index_Upto_April23__1___1[Date]=$A30)*
              (All_India_Index_Upto_April23__1___1[Sector]="Rural+Urban"),0)),
    INDEX(All_India_Index_Upto_April23__1___1[Fruits],
      MATCH(1,(All_India_Index_Upto_April23__1___1[Date]=$A30)*
              (All_India_Index_Upto_April23__1___1[Sector]="Rural+Urban"),0)),
    INDEX(All_India_Index_Upto_April23__1___1[Vegetables],
      MATCH(1,(All_India_Index_Upto_April23__1___1[Date]=$A30)*
              (All_India_Index_Upto_April23__1___1[Sector]="Rural+Urban"),0)),
    INDEX(All_India_Index_Upto_April23__1___1[Pulses and products],
      MATCH(1,(All_India_Index_Upto_April23__1___1[Date]=$A30)*
              (All_India_Index_Upto_April23__1___1[Sector]="Rural+Urban"),0)),
    INDEX(All_India_Index_Upto_April23__1___1[Sugar and Confectionery],
      MATCH(1,(All_India_Index_Upto_April23__1___1[Date]=$A30)*
              (All_India_Index_Upto_April23__1___1[Sector]="Rural+Urban"),0)),
    INDEX(All_India_Index_Upto_April23__1___1[Spices],
      MATCH(1,(All_India_Index_Upto_April23__1___1[Date]=$A30)*
              (All_India_Index_Upto_April23__1___1[Sector]="Rural+Urban"),0)),
    INDEX(All_India_Index_Upto_April23__1___1[Non-alcoholic beverages],
      MATCH(1,(All_India_Index_Upto_April23__1___1[Date]=$A30)*
              (All_India_Index_Upto_April23__1___1[Sector]="Rural+Urban"),0)),
    INDEX(All_India_Index_Upto_April23__1___1[Prepared meals, snacks, sweets etc.],
      MATCH(1,(All_India_Index_Upto_April23__1___1[Date]=$A30)*
              (All_India_Index_Upto_April23__1___1[Sector]="Rural+Urban"),0))
  ),
"")</f>
        <v>139.28333333333333</v>
      </c>
      <c r="P30" s="2" cm="1">
        <f t="array" ref="P30">IFERROR(
  AVERAGE(
    INDEX(All_India_Index_Upto_April23__1___1[Cereals and products],
      MATCH(1,(All_India_Index_Upto_April23__1___1[Date]=EDATE($A30,-12))*
              (All_India_Index_Upto_April23__1___1[Sector]="Rural+Urban"),0)),
    INDEX(All_India_Index_Upto_April23__1___1[Meat and fish],
      MATCH(1,(All_India_Index_Upto_April23__1___1[Date]=EDATE($A30,-12))*
              (All_India_Index_Upto_April23__1___1[Sector]="Rural+Urban"),0)),
    INDEX(All_India_Index_Upto_April23__1___1[Egg],
      MATCH(1,(All_India_Index_Upto_April23__1___1[Date]=EDATE($A30,-12))*
              (All_India_Index_Upto_April23__1___1[Sector]="Rural+Urban"),0)),
    INDEX(All_India_Index_Upto_April23__1___1[Milk and products],
      MATCH(1,(All_India_Index_Upto_April23__1___1[Date]=EDATE($A30,-12))*
              (All_India_Index_Upto_April23__1___1[Sector]="Rural+Urban"),0)),
    INDEX(All_India_Index_Upto_April23__1___1[Oils and fats],
      MATCH(1,(All_India_Index_Upto_April23__1___1[Date]=EDATE($A30,-12))*
              (All_India_Index_Upto_April23__1___1[Sector]="Rural+Urban"),0)),
    INDEX(All_India_Index_Upto_April23__1___1[Fruits],
      MATCH(1,(All_India_Index_Upto_April23__1___1[Date]=EDATE($A30,-12))*
              (All_India_Index_Upto_April23__1___1[Sector]="Rural+Urban"),0)),
    INDEX(All_India_Index_Upto_April23__1___1[Vegetables],
      MATCH(1,(All_India_Index_Upto_April23__1___1[Date]=EDATE($A30,-12))*
              (All_India_Index_Upto_April23__1___1[Sector]="Rural+Urban"),0)),
    INDEX(All_India_Index_Upto_April23__1___1[Pulses and products],
      MATCH(1,(All_India_Index_Upto_April23__1___1[Date]=EDATE($A30,-12))*
              (All_India_Index_Upto_April23__1___1[Sector]="Rural+Urban"),0)),
    INDEX(All_India_Index_Upto_April23__1___1[Sugar and Confectionery],
      MATCH(1,(All_India_Index_Upto_April23__1___1[Date]=EDATE($A30,-12))*
              (All_India_Index_Upto_April23__1___1[Sector]="Rural+Urban"),0)),
    INDEX(All_India_Index_Upto_April23__1___1[Spices],
      MATCH(1,(All_India_Index_Upto_April23__1___1[Date]=EDATE($A30,-12))*
              (All_India_Index_Upto_April23__1___1[Sector]="Rural+Urban"),0)),
    INDEX(All_India_Index_Upto_April23__1___1[Non-alcoholic beverages],
      MATCH(1,(All_India_Index_Upto_April23__1___1[Date]=EDATE($A30,-12))*
              (All_India_Index_Upto_April23__1___1[Sector]="Rural+Urban"),0)),
    INDEX(All_India_Index_Upto_April23__1___1[Prepared meals, snacks, sweets etc.],
      MATCH(1,(All_India_Index_Upto_April23__1___1[Date]=EDATE($A30,-12))*
              (All_India_Index_Upto_April23__1___1[Sector]="Rural+Urban"),0))
  ),
"")</f>
        <v>136.22499999999999</v>
      </c>
      <c r="Q30" s="8">
        <f t="shared" si="5"/>
        <v>2.2450602557044133E-2</v>
      </c>
      <c r="R30" cm="1">
        <f t="array" ref="R30">IFERROR(
  INDEX(All_India_Index_Upto_April23__1___1[General index],
    MATCH(1,
      (All_India_Index_Upto_April23__1___1[Date]=$A30)*
      (All_India_Index_Upto_April23__1___1[Sector]="Rural+Urban"),
    0)
  ),
"")</f>
        <v>142.9</v>
      </c>
      <c r="S30" cm="1">
        <f t="array" ref="S30">IFERROR(
  INDEX(All_India_Index_Upto_April23__1___1[General index],
    MATCH(1,
      (All_India_Index_Upto_April23__1___1[Date]=EDATE($A30,-1))*
      (All_India_Index_Upto_April23__1___1[Sector]="Rural+Urban"),
    0)
  ),
"")</f>
        <v>142</v>
      </c>
      <c r="T30" s="8">
        <f t="shared" si="6"/>
        <v>6.3380281690141246E-3</v>
      </c>
      <c r="V30" s="77">
        <v>45047</v>
      </c>
      <c r="W30" s="8"/>
      <c r="X30" s="8">
        <v>6.0539350577876877E-3</v>
      </c>
      <c r="Y30" s="8">
        <v>1.8237082066869992E-3</v>
      </c>
      <c r="Z30" s="8">
        <v>3.0112316034082126E-2</v>
      </c>
      <c r="AA30" s="8">
        <v>5.614823133071308E-3</v>
      </c>
    </row>
    <row r="31" spans="1:27" x14ac:dyDescent="0.2">
      <c r="A31" s="22">
        <v>43647</v>
      </c>
      <c r="B31">
        <v>2019</v>
      </c>
      <c r="C31" t="s">
        <v>43</v>
      </c>
      <c r="D31" s="2">
        <v>66</v>
      </c>
      <c r="E31" s="8">
        <f t="shared" si="1"/>
        <v>-0.10606060606060606</v>
      </c>
      <c r="F31" s="8">
        <f t="shared" si="2"/>
        <v>-0.10606060606060606</v>
      </c>
      <c r="G31" t="e">
        <f t="shared" si="0"/>
        <v>#N/A</v>
      </c>
      <c r="H31" s="22">
        <v>43647</v>
      </c>
      <c r="I31" cm="1">
        <f t="array" ref="I31">IFERROR(
  INDEX(All_India_Index_Upto_April23__1___1[Fuel and light],
    MATCH(1,
      (All_India_Index_Upto_April23__1___1[Date]=$A31)*
      (All_India_Index_Upto_April23__1___1[Sector]="Rural+Urban"),
    0)
  ),
"")</f>
        <v>139.30000000000001</v>
      </c>
      <c r="J31" cm="1">
        <f t="array" ref="J31">IFERROR(
  INDEX(All_India_Index_Upto_April23__1___1[Fuel and light],
    MATCH(1,
      (All_India_Index_Upto_April23__1___1[Date]=EDATE($A31,-1))*
      (All_India_Index_Upto_April23__1___1[Sector]="Rural+Urban"),
    0)
  ),
"")</f>
        <v>141.19999999999999</v>
      </c>
      <c r="K31" s="8">
        <f t="shared" si="3"/>
        <v>-1.3456090651557914E-2</v>
      </c>
      <c r="L31" cm="1">
        <f t="array" ref="L31">IFERROR(
  INDEX(All_India_Index_Upto_April23__1___1[Transport and communication],
    MATCH(1,
      (All_India_Index_Upto_April23__1___1[Date]=$A31)*
      (All_India_Index_Upto_April23__1___1[Sector]="Rural+Urban"),
    0)
  ),
"")</f>
        <v>125.6</v>
      </c>
      <c r="M31" cm="1">
        <f t="array" ref="M31">IFERROR(
  INDEX(All_India_Index_Upto_April23__1___1[Transport and communication],
    MATCH(1,
      (All_India_Index_Upto_April23__1___1[Date]=EDATE($A31,-1))*
      (All_India_Index_Upto_April23__1___1[Sector]="Rural+Urban"),
    0)
  ),
"")</f>
        <v>124.6</v>
      </c>
      <c r="N31" s="8">
        <f t="shared" si="4"/>
        <v>8.0256821829855548E-3</v>
      </c>
      <c r="O31" s="2" cm="1">
        <f t="array" ref="O31">IFERROR(
  AVERAGE(
    INDEX(All_India_Index_Upto_April23__1___1[Cereals and products],
      MATCH(1,(All_India_Index_Upto_April23__1___1[Date]=$A31)*
              (All_India_Index_Upto_April23__1___1[Sector]="Rural+Urban"),0)),
    INDEX(All_India_Index_Upto_April23__1___1[Meat and fish],
      MATCH(1,(All_India_Index_Upto_April23__1___1[Date]=$A31)*
              (All_India_Index_Upto_April23__1___1[Sector]="Rural+Urban"),0)),
    INDEX(All_India_Index_Upto_April23__1___1[Egg],
      MATCH(1,(All_India_Index_Upto_April23__1___1[Date]=$A31)*
              (All_India_Index_Upto_April23__1___1[Sector]="Rural+Urban"),0)),
    INDEX(All_India_Index_Upto_April23__1___1[Milk and products],
      MATCH(1,(All_India_Index_Upto_April23__1___1[Date]=$A31)*
              (All_India_Index_Upto_April23__1___1[Sector]="Rural+Urban"),0)),
    INDEX(All_India_Index_Upto_April23__1___1[Oils and fats],
      MATCH(1,(All_India_Index_Upto_April23__1___1[Date]=$A31)*
              (All_India_Index_Upto_April23__1___1[Sector]="Rural+Urban"),0)),
    INDEX(All_India_Index_Upto_April23__1___1[Fruits],
      MATCH(1,(All_India_Index_Upto_April23__1___1[Date]=$A31)*
              (All_India_Index_Upto_April23__1___1[Sector]="Rural+Urban"),0)),
    INDEX(All_India_Index_Upto_April23__1___1[Vegetables],
      MATCH(1,(All_India_Index_Upto_April23__1___1[Date]=$A31)*
              (All_India_Index_Upto_April23__1___1[Sector]="Rural+Urban"),0)),
    INDEX(All_India_Index_Upto_April23__1___1[Pulses and products],
      MATCH(1,(All_India_Index_Upto_April23__1___1[Date]=$A31)*
              (All_India_Index_Upto_April23__1___1[Sector]="Rural+Urban"),0)),
    INDEX(All_India_Index_Upto_April23__1___1[Sugar and Confectionery],
      MATCH(1,(All_India_Index_Upto_April23__1___1[Date]=$A31)*
              (All_India_Index_Upto_April23__1___1[Sector]="Rural+Urban"),0)),
    INDEX(All_India_Index_Upto_April23__1___1[Spices],
      MATCH(1,(All_India_Index_Upto_April23__1___1[Date]=$A31)*
              (All_India_Index_Upto_April23__1___1[Sector]="Rural+Urban"),0)),
    INDEX(All_India_Index_Upto_April23__1___1[Non-alcoholic beverages],
      MATCH(1,(All_India_Index_Upto_April23__1___1[Date]=$A31)*
              (All_India_Index_Upto_April23__1___1[Sector]="Rural+Urban"),0)),
    INDEX(All_India_Index_Upto_April23__1___1[Prepared meals, snacks, sweets etc.],
      MATCH(1,(All_India_Index_Upto_April23__1___1[Date]=$A31)*
              (All_India_Index_Upto_April23__1___1[Sector]="Rural+Urban"),0))
  ),
"")</f>
        <v>141.06666666666666</v>
      </c>
      <c r="P31" s="2" cm="1">
        <f t="array" ref="P31">IFERROR(
  AVERAGE(
    INDEX(All_India_Index_Upto_April23__1___1[Cereals and products],
      MATCH(1,(All_India_Index_Upto_April23__1___1[Date]=EDATE($A31,-12))*
              (All_India_Index_Upto_April23__1___1[Sector]="Rural+Urban"),0)),
    INDEX(All_India_Index_Upto_April23__1___1[Meat and fish],
      MATCH(1,(All_India_Index_Upto_April23__1___1[Date]=EDATE($A31,-12))*
              (All_India_Index_Upto_April23__1___1[Sector]="Rural+Urban"),0)),
    INDEX(All_India_Index_Upto_April23__1___1[Egg],
      MATCH(1,(All_India_Index_Upto_April23__1___1[Date]=EDATE($A31,-12))*
              (All_India_Index_Upto_April23__1___1[Sector]="Rural+Urban"),0)),
    INDEX(All_India_Index_Upto_April23__1___1[Milk and products],
      MATCH(1,(All_India_Index_Upto_April23__1___1[Date]=EDATE($A31,-12))*
              (All_India_Index_Upto_April23__1___1[Sector]="Rural+Urban"),0)),
    INDEX(All_India_Index_Upto_April23__1___1[Oils and fats],
      MATCH(1,(All_India_Index_Upto_April23__1___1[Date]=EDATE($A31,-12))*
              (All_India_Index_Upto_April23__1___1[Sector]="Rural+Urban"),0)),
    INDEX(All_India_Index_Upto_April23__1___1[Fruits],
      MATCH(1,(All_India_Index_Upto_April23__1___1[Date]=EDATE($A31,-12))*
              (All_India_Index_Upto_April23__1___1[Sector]="Rural+Urban"),0)),
    INDEX(All_India_Index_Upto_April23__1___1[Vegetables],
      MATCH(1,(All_India_Index_Upto_April23__1___1[Date]=EDATE($A31,-12))*
              (All_India_Index_Upto_April23__1___1[Sector]="Rural+Urban"),0)),
    INDEX(All_India_Index_Upto_April23__1___1[Pulses and products],
      MATCH(1,(All_India_Index_Upto_April23__1___1[Date]=EDATE($A31,-12))*
              (All_India_Index_Upto_April23__1___1[Sector]="Rural+Urban"),0)),
    INDEX(All_India_Index_Upto_April23__1___1[Sugar and Confectionery],
      MATCH(1,(All_India_Index_Upto_April23__1___1[Date]=EDATE($A31,-12))*
              (All_India_Index_Upto_April23__1___1[Sector]="Rural+Urban"),0)),
    INDEX(All_India_Index_Upto_April23__1___1[Spices],
      MATCH(1,(All_India_Index_Upto_April23__1___1[Date]=EDATE($A31,-12))*
              (All_India_Index_Upto_April23__1___1[Sector]="Rural+Urban"),0)),
    INDEX(All_India_Index_Upto_April23__1___1[Non-alcoholic beverages],
      MATCH(1,(All_India_Index_Upto_April23__1___1[Date]=EDATE($A31,-12))*
              (All_India_Index_Upto_April23__1___1[Sector]="Rural+Urban"),0)),
    INDEX(All_India_Index_Upto_April23__1___1[Prepared meals, snacks, sweets etc.],
      MATCH(1,(All_India_Index_Upto_April23__1___1[Date]=EDATE($A31,-12))*
              (All_India_Index_Upto_April23__1___1[Sector]="Rural+Urban"),0))
  ),
"")</f>
        <v>137.82499999999999</v>
      </c>
      <c r="Q31" s="8">
        <f t="shared" si="5"/>
        <v>2.3520164459761832E-2</v>
      </c>
      <c r="R31" cm="1">
        <f t="array" ref="R31">IFERROR(
  INDEX(All_India_Index_Upto_April23__1___1[General index],
    MATCH(1,
      (All_India_Index_Upto_April23__1___1[Date]=$A31)*
      (All_India_Index_Upto_April23__1___1[Sector]="Rural+Urban"),
    0)
  ),
"")</f>
        <v>144.19999999999999</v>
      </c>
      <c r="S31" cm="1">
        <f t="array" ref="S31">IFERROR(
  INDEX(All_India_Index_Upto_April23__1___1[General index],
    MATCH(1,
      (All_India_Index_Upto_April23__1___1[Date]=EDATE($A31,-1))*
      (All_India_Index_Upto_April23__1___1[Sector]="Rural+Urban"),
    0)
  ),
"")</f>
        <v>142.9</v>
      </c>
      <c r="T31" s="8">
        <f t="shared" si="6"/>
        <v>9.0972708187542547E-3</v>
      </c>
    </row>
    <row r="32" spans="1:27" x14ac:dyDescent="0.2">
      <c r="A32" s="22">
        <v>43678</v>
      </c>
      <c r="B32">
        <v>2019</v>
      </c>
      <c r="C32" t="s">
        <v>45</v>
      </c>
      <c r="D32" s="2">
        <v>59</v>
      </c>
      <c r="E32" s="8">
        <f t="shared" si="1"/>
        <v>3.3898305084745763E-2</v>
      </c>
      <c r="F32" s="8">
        <f t="shared" si="2"/>
        <v>3.3898305084745763E-2</v>
      </c>
      <c r="G32" t="e">
        <f t="shared" si="0"/>
        <v>#N/A</v>
      </c>
      <c r="H32" s="22">
        <v>43678</v>
      </c>
      <c r="I32" cm="1">
        <f t="array" ref="I32">IFERROR(
  INDEX(All_India_Index_Upto_April23__1___1[Fuel and light],
    MATCH(1,
      (All_India_Index_Upto_April23__1___1[Date]=$A32)*
      (All_India_Index_Upto_April23__1___1[Sector]="Rural+Urban"),
    0)
  ),
"")</f>
        <v>138.5</v>
      </c>
      <c r="J32" cm="1">
        <f t="array" ref="J32">IFERROR(
  INDEX(All_India_Index_Upto_April23__1___1[Fuel and light],
    MATCH(1,
      (All_India_Index_Upto_April23__1___1[Date]=EDATE($A32,-1))*
      (All_India_Index_Upto_April23__1___1[Sector]="Rural+Urban"),
    0)
  ),
"")</f>
        <v>139.30000000000001</v>
      </c>
      <c r="K32" s="8">
        <f t="shared" si="3"/>
        <v>-5.7430007178751706E-3</v>
      </c>
      <c r="L32" cm="1">
        <f t="array" ref="L32">IFERROR(
  INDEX(All_India_Index_Upto_April23__1___1[Transport and communication],
    MATCH(1,
      (All_India_Index_Upto_April23__1___1[Date]=$A32)*
      (All_India_Index_Upto_April23__1___1[Sector]="Rural+Urban"),
    0)
  ),
"")</f>
        <v>125.8</v>
      </c>
      <c r="M32" cm="1">
        <f t="array" ref="M32">IFERROR(
  INDEX(All_India_Index_Upto_April23__1___1[Transport and communication],
    MATCH(1,
      (All_India_Index_Upto_April23__1___1[Date]=EDATE($A32,-1))*
      (All_India_Index_Upto_April23__1___1[Sector]="Rural+Urban"),
    0)
  ),
"")</f>
        <v>125.6</v>
      </c>
      <c r="N32" s="8">
        <f t="shared" si="4"/>
        <v>1.5923566878981118E-3</v>
      </c>
      <c r="O32" s="2" cm="1">
        <f t="array" ref="O32">IFERROR(
  AVERAGE(
    INDEX(All_India_Index_Upto_April23__1___1[Cereals and products],
      MATCH(1,(All_India_Index_Upto_April23__1___1[Date]=$A32)*
              (All_India_Index_Upto_April23__1___1[Sector]="Rural+Urban"),0)),
    INDEX(All_India_Index_Upto_April23__1___1[Meat and fish],
      MATCH(1,(All_India_Index_Upto_April23__1___1[Date]=$A32)*
              (All_India_Index_Upto_April23__1___1[Sector]="Rural+Urban"),0)),
    INDEX(All_India_Index_Upto_April23__1___1[Egg],
      MATCH(1,(All_India_Index_Upto_April23__1___1[Date]=$A32)*
              (All_India_Index_Upto_April23__1___1[Sector]="Rural+Urban"),0)),
    INDEX(All_India_Index_Upto_April23__1___1[Milk and products],
      MATCH(1,(All_India_Index_Upto_April23__1___1[Date]=$A32)*
              (All_India_Index_Upto_April23__1___1[Sector]="Rural+Urban"),0)),
    INDEX(All_India_Index_Upto_April23__1___1[Oils and fats],
      MATCH(1,(All_India_Index_Upto_April23__1___1[Date]=$A32)*
              (All_India_Index_Upto_April23__1___1[Sector]="Rural+Urban"),0)),
    INDEX(All_India_Index_Upto_April23__1___1[Fruits],
      MATCH(1,(All_India_Index_Upto_April23__1___1[Date]=$A32)*
              (All_India_Index_Upto_April23__1___1[Sector]="Rural+Urban"),0)),
    INDEX(All_India_Index_Upto_April23__1___1[Vegetables],
      MATCH(1,(All_India_Index_Upto_April23__1___1[Date]=$A32)*
              (All_India_Index_Upto_April23__1___1[Sector]="Rural+Urban"),0)),
    INDEX(All_India_Index_Upto_April23__1___1[Pulses and products],
      MATCH(1,(All_India_Index_Upto_April23__1___1[Date]=$A32)*
              (All_India_Index_Upto_April23__1___1[Sector]="Rural+Urban"),0)),
    INDEX(All_India_Index_Upto_April23__1___1[Sugar and Confectionery],
      MATCH(1,(All_India_Index_Upto_April23__1___1[Date]=$A32)*
              (All_India_Index_Upto_April23__1___1[Sector]="Rural+Urban"),0)),
    INDEX(All_India_Index_Upto_April23__1___1[Spices],
      MATCH(1,(All_India_Index_Upto_April23__1___1[Date]=$A32)*
              (All_India_Index_Upto_April23__1___1[Sector]="Rural+Urban"),0)),
    INDEX(All_India_Index_Upto_April23__1___1[Non-alcoholic beverages],
      MATCH(1,(All_India_Index_Upto_April23__1___1[Date]=$A32)*
              (All_India_Index_Upto_April23__1___1[Sector]="Rural+Urban"),0)),
    INDEX(All_India_Index_Upto_April23__1___1[Prepared meals, snacks, sweets etc.],
      MATCH(1,(All_India_Index_Upto_April23__1___1[Date]=$A32)*
              (All_India_Index_Upto_April23__1___1[Sector]="Rural+Urban"),0))
  ),
"")</f>
        <v>141.71666666666667</v>
      </c>
      <c r="P32" s="2" cm="1">
        <f t="array" ref="P32">IFERROR(
  AVERAGE(
    INDEX(All_India_Index_Upto_April23__1___1[Cereals and products],
      MATCH(1,(All_India_Index_Upto_April23__1___1[Date]=EDATE($A32,-12))*
              (All_India_Index_Upto_April23__1___1[Sector]="Rural+Urban"),0)),
    INDEX(All_India_Index_Upto_April23__1___1[Meat and fish],
      MATCH(1,(All_India_Index_Upto_April23__1___1[Date]=EDATE($A32,-12))*
              (All_India_Index_Upto_April23__1___1[Sector]="Rural+Urban"),0)),
    INDEX(All_India_Index_Upto_April23__1___1[Egg],
      MATCH(1,(All_India_Index_Upto_April23__1___1[Date]=EDATE($A32,-12))*
              (All_India_Index_Upto_April23__1___1[Sector]="Rural+Urban"),0)),
    INDEX(All_India_Index_Upto_April23__1___1[Milk and products],
      MATCH(1,(All_India_Index_Upto_April23__1___1[Date]=EDATE($A32,-12))*
              (All_India_Index_Upto_April23__1___1[Sector]="Rural+Urban"),0)),
    INDEX(All_India_Index_Upto_April23__1___1[Oils and fats],
      MATCH(1,(All_India_Index_Upto_April23__1___1[Date]=EDATE($A32,-12))*
              (All_India_Index_Upto_April23__1___1[Sector]="Rural+Urban"),0)),
    INDEX(All_India_Index_Upto_April23__1___1[Fruits],
      MATCH(1,(All_India_Index_Upto_April23__1___1[Date]=EDATE($A32,-12))*
              (All_India_Index_Upto_April23__1___1[Sector]="Rural+Urban"),0)),
    INDEX(All_India_Index_Upto_April23__1___1[Vegetables],
      MATCH(1,(All_India_Index_Upto_April23__1___1[Date]=EDATE($A32,-12))*
              (All_India_Index_Upto_April23__1___1[Sector]="Rural+Urban"),0)),
    INDEX(All_India_Index_Upto_April23__1___1[Pulses and products],
      MATCH(1,(All_India_Index_Upto_April23__1___1[Date]=EDATE($A32,-12))*
              (All_India_Index_Upto_April23__1___1[Sector]="Rural+Urban"),0)),
    INDEX(All_India_Index_Upto_April23__1___1[Sugar and Confectionery],
      MATCH(1,(All_India_Index_Upto_April23__1___1[Date]=EDATE($A32,-12))*
              (All_India_Index_Upto_April23__1___1[Sector]="Rural+Urban"),0)),
    INDEX(All_India_Index_Upto_April23__1___1[Spices],
      MATCH(1,(All_India_Index_Upto_April23__1___1[Date]=EDATE($A32,-12))*
              (All_India_Index_Upto_April23__1___1[Sector]="Rural+Urban"),0)),
    INDEX(All_India_Index_Upto_April23__1___1[Non-alcoholic beverages],
      MATCH(1,(All_India_Index_Upto_April23__1___1[Date]=EDATE($A32,-12))*
              (All_India_Index_Upto_April23__1___1[Sector]="Rural+Urban"),0)),
    INDEX(All_India_Index_Upto_April23__1___1[Prepared meals, snacks, sweets etc.],
      MATCH(1,(All_India_Index_Upto_April23__1___1[Date]=EDATE($A32,-12))*
              (All_India_Index_Upto_April23__1___1[Sector]="Rural+Urban"),0))
  ),
"")</f>
        <v>138.08333333333334</v>
      </c>
      <c r="Q32" s="8">
        <f t="shared" si="5"/>
        <v>2.6312613156306522E-2</v>
      </c>
      <c r="R32" cm="1">
        <f t="array" ref="R32">IFERROR(
  INDEX(All_India_Index_Upto_April23__1___1[General index],
    MATCH(1,
      (All_India_Index_Upto_April23__1___1[Date]=$A32)*
      (All_India_Index_Upto_April23__1___1[Sector]="Rural+Urban"),
    0)
  ),
"")</f>
        <v>145</v>
      </c>
      <c r="S32" cm="1">
        <f t="array" ref="S32">IFERROR(
  INDEX(All_India_Index_Upto_April23__1___1[General index],
    MATCH(1,
      (All_India_Index_Upto_April23__1___1[Date]=EDATE($A32,-1))*
      (All_India_Index_Upto_April23__1___1[Sector]="Rural+Urban"),
    0)
  ),
"")</f>
        <v>144.19999999999999</v>
      </c>
      <c r="T32" s="8">
        <f t="shared" si="6"/>
        <v>5.5478502080444619E-3</v>
      </c>
    </row>
    <row r="33" spans="1:20" x14ac:dyDescent="0.2">
      <c r="A33" s="22">
        <v>43709</v>
      </c>
      <c r="B33">
        <v>2019</v>
      </c>
      <c r="C33" t="s">
        <v>47</v>
      </c>
      <c r="D33" s="2">
        <v>61</v>
      </c>
      <c r="E33" s="8">
        <f t="shared" si="1"/>
        <v>1.6393442622950821E-2</v>
      </c>
      <c r="F33" s="8">
        <f t="shared" si="2"/>
        <v>1.6393442622950821E-2</v>
      </c>
      <c r="G33" t="e">
        <f t="shared" si="0"/>
        <v>#N/A</v>
      </c>
      <c r="H33" s="22">
        <v>43709</v>
      </c>
      <c r="I33" cm="1">
        <f t="array" ref="I33">IFERROR(
  INDEX(All_India_Index_Upto_April23__1___1[Fuel and light],
    MATCH(1,
      (All_India_Index_Upto_April23__1___1[Date]=$A33)*
      (All_India_Index_Upto_April23__1___1[Sector]="Rural+Urban"),
    0)
  ),
"")</f>
        <v>139.19999999999999</v>
      </c>
      <c r="J33" cm="1">
        <f t="array" ref="J33">IFERROR(
  INDEX(All_India_Index_Upto_April23__1___1[Fuel and light],
    MATCH(1,
      (All_India_Index_Upto_April23__1___1[Date]=EDATE($A33,-1))*
      (All_India_Index_Upto_April23__1___1[Sector]="Rural+Urban"),
    0)
  ),
"")</f>
        <v>138.5</v>
      </c>
      <c r="K33" s="8">
        <f t="shared" si="3"/>
        <v>5.0541516245486548E-3</v>
      </c>
      <c r="L33" cm="1">
        <f t="array" ref="L33">IFERROR(
  INDEX(All_India_Index_Upto_April23__1___1[Transport and communication],
    MATCH(1,
      (All_India_Index_Upto_April23__1___1[Date]=$A33)*
      (All_India_Index_Upto_April23__1___1[Sector]="Rural+Urban"),
    0)
  ),
"")</f>
        <v>126.1</v>
      </c>
      <c r="M33" cm="1">
        <f t="array" ref="M33">IFERROR(
  INDEX(All_India_Index_Upto_April23__1___1[Transport and communication],
    MATCH(1,
      (All_India_Index_Upto_April23__1___1[Date]=EDATE($A33,-1))*
      (All_India_Index_Upto_April23__1___1[Sector]="Rural+Urban"),
    0)
  ),
"")</f>
        <v>125.8</v>
      </c>
      <c r="N33" s="8">
        <f t="shared" si="4"/>
        <v>2.3847376788553032E-3</v>
      </c>
      <c r="O33" s="2" cm="1">
        <f t="array" ref="O33">IFERROR(
  AVERAGE(
    INDEX(All_India_Index_Upto_April23__1___1[Cereals and products],
      MATCH(1,(All_India_Index_Upto_April23__1___1[Date]=$A33)*
              (All_India_Index_Upto_April23__1___1[Sector]="Rural+Urban"),0)),
    INDEX(All_India_Index_Upto_April23__1___1[Meat and fish],
      MATCH(1,(All_India_Index_Upto_April23__1___1[Date]=$A33)*
              (All_India_Index_Upto_April23__1___1[Sector]="Rural+Urban"),0)),
    INDEX(All_India_Index_Upto_April23__1___1[Egg],
      MATCH(1,(All_India_Index_Upto_April23__1___1[Date]=$A33)*
              (All_India_Index_Upto_April23__1___1[Sector]="Rural+Urban"),0)),
    INDEX(All_India_Index_Upto_April23__1___1[Milk and products],
      MATCH(1,(All_India_Index_Upto_April23__1___1[Date]=$A33)*
              (All_India_Index_Upto_April23__1___1[Sector]="Rural+Urban"),0)),
    INDEX(All_India_Index_Upto_April23__1___1[Oils and fats],
      MATCH(1,(All_India_Index_Upto_April23__1___1[Date]=$A33)*
              (All_India_Index_Upto_April23__1___1[Sector]="Rural+Urban"),0)),
    INDEX(All_India_Index_Upto_April23__1___1[Fruits],
      MATCH(1,(All_India_Index_Upto_April23__1___1[Date]=$A33)*
              (All_India_Index_Upto_April23__1___1[Sector]="Rural+Urban"),0)),
    INDEX(All_India_Index_Upto_April23__1___1[Vegetables],
      MATCH(1,(All_India_Index_Upto_April23__1___1[Date]=$A33)*
              (All_India_Index_Upto_April23__1___1[Sector]="Rural+Urban"),0)),
    INDEX(All_India_Index_Upto_April23__1___1[Pulses and products],
      MATCH(1,(All_India_Index_Upto_April23__1___1[Date]=$A33)*
              (All_India_Index_Upto_April23__1___1[Sector]="Rural+Urban"),0)),
    INDEX(All_India_Index_Upto_April23__1___1[Sugar and Confectionery],
      MATCH(1,(All_India_Index_Upto_April23__1___1[Date]=$A33)*
              (All_India_Index_Upto_April23__1___1[Sector]="Rural+Urban"),0)),
    INDEX(All_India_Index_Upto_April23__1___1[Spices],
      MATCH(1,(All_India_Index_Upto_April23__1___1[Date]=$A33)*
              (All_India_Index_Upto_April23__1___1[Sector]="Rural+Urban"),0)),
    INDEX(All_India_Index_Upto_April23__1___1[Non-alcoholic beverages],
      MATCH(1,(All_India_Index_Upto_April23__1___1[Date]=$A33)*
              (All_India_Index_Upto_April23__1___1[Sector]="Rural+Urban"),0)),
    INDEX(All_India_Index_Upto_April23__1___1[Prepared meals, snacks, sweets etc.],
      MATCH(1,(All_India_Index_Upto_April23__1___1[Date]=$A33)*
              (All_India_Index_Upto_April23__1___1[Sector]="Rural+Urban"),0))
  ),
"")</f>
        <v>142.55833333333331</v>
      </c>
      <c r="P33" s="2" cm="1">
        <f t="array" ref="P33">IFERROR(
  AVERAGE(
    INDEX(All_India_Index_Upto_April23__1___1[Cereals and products],
      MATCH(1,(All_India_Index_Upto_April23__1___1[Date]=EDATE($A33,-12))*
              (All_India_Index_Upto_April23__1___1[Sector]="Rural+Urban"),0)),
    INDEX(All_India_Index_Upto_April23__1___1[Meat and fish],
      MATCH(1,(All_India_Index_Upto_April23__1___1[Date]=EDATE($A33,-12))*
              (All_India_Index_Upto_April23__1___1[Sector]="Rural+Urban"),0)),
    INDEX(All_India_Index_Upto_April23__1___1[Egg],
      MATCH(1,(All_India_Index_Upto_April23__1___1[Date]=EDATE($A33,-12))*
              (All_India_Index_Upto_April23__1___1[Sector]="Rural+Urban"),0)),
    INDEX(All_India_Index_Upto_April23__1___1[Milk and products],
      MATCH(1,(All_India_Index_Upto_April23__1___1[Date]=EDATE($A33,-12))*
              (All_India_Index_Upto_April23__1___1[Sector]="Rural+Urban"),0)),
    INDEX(All_India_Index_Upto_April23__1___1[Oils and fats],
      MATCH(1,(All_India_Index_Upto_April23__1___1[Date]=EDATE($A33,-12))*
              (All_India_Index_Upto_April23__1___1[Sector]="Rural+Urban"),0)),
    INDEX(All_India_Index_Upto_April23__1___1[Fruits],
      MATCH(1,(All_India_Index_Upto_April23__1___1[Date]=EDATE($A33,-12))*
              (All_India_Index_Upto_April23__1___1[Sector]="Rural+Urban"),0)),
    INDEX(All_India_Index_Upto_April23__1___1[Vegetables],
      MATCH(1,(All_India_Index_Upto_April23__1___1[Date]=EDATE($A33,-12))*
              (All_India_Index_Upto_April23__1___1[Sector]="Rural+Urban"),0)),
    INDEX(All_India_Index_Upto_April23__1___1[Pulses and products],
      MATCH(1,(All_India_Index_Upto_April23__1___1[Date]=EDATE($A33,-12))*
              (All_India_Index_Upto_April23__1___1[Sector]="Rural+Urban"),0)),
    INDEX(All_India_Index_Upto_April23__1___1[Sugar and Confectionery],
      MATCH(1,(All_India_Index_Upto_April23__1___1[Date]=EDATE($A33,-12))*
              (All_India_Index_Upto_April23__1___1[Sector]="Rural+Urban"),0)),
    INDEX(All_India_Index_Upto_April23__1___1[Spices],
      MATCH(1,(All_India_Index_Upto_April23__1___1[Date]=EDATE($A33,-12))*
              (All_India_Index_Upto_April23__1___1[Sector]="Rural+Urban"),0)),
    INDEX(All_India_Index_Upto_April23__1___1[Non-alcoholic beverages],
      MATCH(1,(All_India_Index_Upto_April23__1___1[Date]=EDATE($A33,-12))*
              (All_India_Index_Upto_April23__1___1[Sector]="Rural+Urban"),0)),
    INDEX(All_India_Index_Upto_April23__1___1[Prepared meals, snacks, sweets etc.],
      MATCH(1,(All_India_Index_Upto_April23__1___1[Date]=EDATE($A33,-12))*
              (All_India_Index_Upto_April23__1___1[Sector]="Rural+Urban"),0))
  ),
"")</f>
        <v>136.59166666666667</v>
      </c>
      <c r="Q33" s="8">
        <f t="shared" si="5"/>
        <v>4.3682508693795183E-2</v>
      </c>
      <c r="R33" cm="1">
        <f t="array" ref="R33">IFERROR(
  INDEX(All_India_Index_Upto_April23__1___1[General index],
    MATCH(1,
      (All_India_Index_Upto_April23__1___1[Date]=$A33)*
      (All_India_Index_Upto_April23__1___1[Sector]="Rural+Urban"),
    0)
  ),
"")</f>
        <v>145.80000000000001</v>
      </c>
      <c r="S33" cm="1">
        <f t="array" ref="S33">IFERROR(
  INDEX(All_India_Index_Upto_April23__1___1[General index],
    MATCH(1,
      (All_India_Index_Upto_April23__1___1[Date]=EDATE($A33,-1))*
      (All_India_Index_Upto_April23__1___1[Sector]="Rural+Urban"),
    0)
  ),
"")</f>
        <v>145</v>
      </c>
      <c r="T33" s="8">
        <f t="shared" si="6"/>
        <v>5.5172413793104233E-3</v>
      </c>
    </row>
    <row r="34" spans="1:20" x14ac:dyDescent="0.2">
      <c r="A34" s="22">
        <v>43739</v>
      </c>
      <c r="B34">
        <v>2019</v>
      </c>
      <c r="C34" t="s">
        <v>49</v>
      </c>
      <c r="D34" s="2">
        <v>62</v>
      </c>
      <c r="E34" s="8">
        <f t="shared" si="1"/>
        <v>-3.2258064516129031E-2</v>
      </c>
      <c r="F34" s="8">
        <f t="shared" si="2"/>
        <v>-3.2258064516129031E-2</v>
      </c>
      <c r="G34" t="e">
        <f t="shared" ref="G34:G65" si="7">IF(A34=DATE(2020,3,1),40,NA())</f>
        <v>#N/A</v>
      </c>
      <c r="H34" s="22">
        <v>43739</v>
      </c>
      <c r="I34" cm="1">
        <f t="array" ref="I34">IFERROR(
  INDEX(All_India_Index_Upto_April23__1___1[Fuel and light],
    MATCH(1,
      (All_India_Index_Upto_April23__1___1[Date]=$A34)*
      (All_India_Index_Upto_April23__1___1[Sector]="Rural+Urban"),
    0)
  ),
"")</f>
        <v>140.6</v>
      </c>
      <c r="J34" cm="1">
        <f t="array" ref="J34">IFERROR(
  INDEX(All_India_Index_Upto_April23__1___1[Fuel and light],
    MATCH(1,
      (All_India_Index_Upto_April23__1___1[Date]=EDATE($A34,-1))*
      (All_India_Index_Upto_April23__1___1[Sector]="Rural+Urban"),
    0)
  ),
"")</f>
        <v>139.19999999999999</v>
      </c>
      <c r="K34" s="8">
        <f t="shared" si="3"/>
        <v>1.0057471264367858E-2</v>
      </c>
      <c r="L34" cm="1">
        <f t="array" ref="L34">IFERROR(
  INDEX(All_India_Index_Upto_April23__1___1[Transport and communication],
    MATCH(1,
      (All_India_Index_Upto_April23__1___1[Date]=$A34)*
      (All_India_Index_Upto_April23__1___1[Sector]="Rural+Urban"),
    0)
  ),
"")</f>
        <v>126.3</v>
      </c>
      <c r="M34" cm="1">
        <f t="array" ref="M34">IFERROR(
  INDEX(All_India_Index_Upto_April23__1___1[Transport and communication],
    MATCH(1,
      (All_India_Index_Upto_April23__1___1[Date]=EDATE($A34,-1))*
      (All_India_Index_Upto_April23__1___1[Sector]="Rural+Urban"),
    0)
  ),
"")</f>
        <v>126.1</v>
      </c>
      <c r="N34" s="8">
        <f t="shared" si="4"/>
        <v>1.5860428231562478E-3</v>
      </c>
      <c r="O34" s="2" cm="1">
        <f t="array" ref="O34">IFERROR(
  AVERAGE(
    INDEX(All_India_Index_Upto_April23__1___1[Cereals and products],
      MATCH(1,(All_India_Index_Upto_April23__1___1[Date]=$A34)*
              (All_India_Index_Upto_April23__1___1[Sector]="Rural+Urban"),0)),
    INDEX(All_India_Index_Upto_April23__1___1[Meat and fish],
      MATCH(1,(All_India_Index_Upto_April23__1___1[Date]=$A34)*
              (All_India_Index_Upto_April23__1___1[Sector]="Rural+Urban"),0)),
    INDEX(All_India_Index_Upto_April23__1___1[Egg],
      MATCH(1,(All_India_Index_Upto_April23__1___1[Date]=$A34)*
              (All_India_Index_Upto_April23__1___1[Sector]="Rural+Urban"),0)),
    INDEX(All_India_Index_Upto_April23__1___1[Milk and products],
      MATCH(1,(All_India_Index_Upto_April23__1___1[Date]=$A34)*
              (All_India_Index_Upto_April23__1___1[Sector]="Rural+Urban"),0)),
    INDEX(All_India_Index_Upto_April23__1___1[Oils and fats],
      MATCH(1,(All_India_Index_Upto_April23__1___1[Date]=$A34)*
              (All_India_Index_Upto_April23__1___1[Sector]="Rural+Urban"),0)),
    INDEX(All_India_Index_Upto_April23__1___1[Fruits],
      MATCH(1,(All_India_Index_Upto_April23__1___1[Date]=$A34)*
              (All_India_Index_Upto_April23__1___1[Sector]="Rural+Urban"),0)),
    INDEX(All_India_Index_Upto_April23__1___1[Vegetables],
      MATCH(1,(All_India_Index_Upto_April23__1___1[Date]=$A34)*
              (All_India_Index_Upto_April23__1___1[Sector]="Rural+Urban"),0)),
    INDEX(All_India_Index_Upto_April23__1___1[Pulses and products],
      MATCH(1,(All_India_Index_Upto_April23__1___1[Date]=$A34)*
              (All_India_Index_Upto_April23__1___1[Sector]="Rural+Urban"),0)),
    INDEX(All_India_Index_Upto_April23__1___1[Sugar and Confectionery],
      MATCH(1,(All_India_Index_Upto_April23__1___1[Date]=$A34)*
              (All_India_Index_Upto_April23__1___1[Sector]="Rural+Urban"),0)),
    INDEX(All_India_Index_Upto_April23__1___1[Spices],
      MATCH(1,(All_India_Index_Upto_April23__1___1[Date]=$A34)*
              (All_India_Index_Upto_April23__1___1[Sector]="Rural+Urban"),0)),
    INDEX(All_India_Index_Upto_April23__1___1[Non-alcoholic beverages],
      MATCH(1,(All_India_Index_Upto_April23__1___1[Date]=$A34)*
              (All_India_Index_Upto_April23__1___1[Sector]="Rural+Urban"),0)),
    INDEX(All_India_Index_Upto_April23__1___1[Prepared meals, snacks, sweets etc.],
      MATCH(1,(All_India_Index_Upto_April23__1___1[Date]=$A34)*
              (All_India_Index_Upto_April23__1___1[Sector]="Rural+Urban"),0))
  ),
"")</f>
        <v>144.66666666666666</v>
      </c>
      <c r="P34" s="2" cm="1">
        <f t="array" ref="P34">IFERROR(
  AVERAGE(
    INDEX(All_India_Index_Upto_April23__1___1[Cereals and products],
      MATCH(1,(All_India_Index_Upto_April23__1___1[Date]=EDATE($A34,-12))*
              (All_India_Index_Upto_April23__1___1[Sector]="Rural+Urban"),0)),
    INDEX(All_India_Index_Upto_April23__1___1[Meat and fish],
      MATCH(1,(All_India_Index_Upto_April23__1___1[Date]=EDATE($A34,-12))*
              (All_India_Index_Upto_April23__1___1[Sector]="Rural+Urban"),0)),
    INDEX(All_India_Index_Upto_April23__1___1[Egg],
      MATCH(1,(All_India_Index_Upto_April23__1___1[Date]=EDATE($A34,-12))*
              (All_India_Index_Upto_April23__1___1[Sector]="Rural+Urban"),0)),
    INDEX(All_India_Index_Upto_April23__1___1[Milk and products],
      MATCH(1,(All_India_Index_Upto_April23__1___1[Date]=EDATE($A34,-12))*
              (All_India_Index_Upto_April23__1___1[Sector]="Rural+Urban"),0)),
    INDEX(All_India_Index_Upto_April23__1___1[Oils and fats],
      MATCH(1,(All_India_Index_Upto_April23__1___1[Date]=EDATE($A34,-12))*
              (All_India_Index_Upto_April23__1___1[Sector]="Rural+Urban"),0)),
    INDEX(All_India_Index_Upto_April23__1___1[Fruits],
      MATCH(1,(All_India_Index_Upto_April23__1___1[Date]=EDATE($A34,-12))*
              (All_India_Index_Upto_April23__1___1[Sector]="Rural+Urban"),0)),
    INDEX(All_India_Index_Upto_April23__1___1[Vegetables],
      MATCH(1,(All_India_Index_Upto_April23__1___1[Date]=EDATE($A34,-12))*
              (All_India_Index_Upto_April23__1___1[Sector]="Rural+Urban"),0)),
    INDEX(All_India_Index_Upto_April23__1___1[Pulses and products],
      MATCH(1,(All_India_Index_Upto_April23__1___1[Date]=EDATE($A34,-12))*
              (All_India_Index_Upto_April23__1___1[Sector]="Rural+Urban"),0)),
    INDEX(All_India_Index_Upto_April23__1___1[Sugar and Confectionery],
      MATCH(1,(All_India_Index_Upto_April23__1___1[Date]=EDATE($A34,-12))*
              (All_India_Index_Upto_April23__1___1[Sector]="Rural+Urban"),0)),
    INDEX(All_India_Index_Upto_April23__1___1[Spices],
      MATCH(1,(All_India_Index_Upto_April23__1___1[Date]=EDATE($A34,-12))*
              (All_India_Index_Upto_April23__1___1[Sector]="Rural+Urban"),0)),
    INDEX(All_India_Index_Upto_April23__1___1[Non-alcoholic beverages],
      MATCH(1,(All_India_Index_Upto_April23__1___1[Date]=EDATE($A34,-12))*
              (All_India_Index_Upto_April23__1___1[Sector]="Rural+Urban"),0)),
    INDEX(All_India_Index_Upto_April23__1___1[Prepared meals, snacks, sweets etc.],
      MATCH(1,(All_India_Index_Upto_April23__1___1[Date]=EDATE($A34,-12))*
              (All_India_Index_Upto_April23__1___1[Sector]="Rural+Urban"),0))
  ),
"")</f>
        <v>136.375</v>
      </c>
      <c r="Q34" s="8">
        <f t="shared" si="5"/>
        <v>6.0800488848151472E-2</v>
      </c>
      <c r="R34" cm="1">
        <f t="array" ref="R34">IFERROR(
  INDEX(All_India_Index_Upto_April23__1___1[General index],
    MATCH(1,
      (All_India_Index_Upto_April23__1___1[Date]=$A34)*
      (All_India_Index_Upto_April23__1___1[Sector]="Rural+Urban"),
    0)
  ),
"")</f>
        <v>147.19999999999999</v>
      </c>
      <c r="S34" cm="1">
        <f t="array" ref="S34">IFERROR(
  INDEX(All_India_Index_Upto_April23__1___1[General index],
    MATCH(1,
      (All_India_Index_Upto_April23__1___1[Date]=EDATE($A34,-1))*
      (All_India_Index_Upto_April23__1___1[Sector]="Rural+Urban"),
    0)
  ),
"")</f>
        <v>145.80000000000001</v>
      </c>
      <c r="T34" s="8">
        <f t="shared" si="6"/>
        <v>9.6021947873798155E-3</v>
      </c>
    </row>
    <row r="35" spans="1:20" x14ac:dyDescent="0.2">
      <c r="A35" s="22">
        <v>43770</v>
      </c>
      <c r="B35">
        <v>2019</v>
      </c>
      <c r="C35" t="s">
        <v>51</v>
      </c>
      <c r="D35" s="2">
        <v>60</v>
      </c>
      <c r="E35" s="8">
        <f t="shared" si="1"/>
        <v>3.3333333333333333E-2</v>
      </c>
      <c r="F35" s="8">
        <f t="shared" si="2"/>
        <v>3.3333333333333333E-2</v>
      </c>
      <c r="G35" t="e">
        <f t="shared" si="7"/>
        <v>#N/A</v>
      </c>
      <c r="H35" s="22">
        <v>43770</v>
      </c>
      <c r="I35" cm="1">
        <f t="array" ref="I35">IFERROR(
  INDEX(All_India_Index_Upto_April23__1___1[Fuel and light],
    MATCH(1,
      (All_India_Index_Upto_April23__1___1[Date]=$A35)*
      (All_India_Index_Upto_April23__1___1[Sector]="Rural+Urban"),
    0)
  ),
"")</f>
        <v>142.30000000000001</v>
      </c>
      <c r="J35" cm="1">
        <f t="array" ref="J35">IFERROR(
  INDEX(All_India_Index_Upto_April23__1___1[Fuel and light],
    MATCH(1,
      (All_India_Index_Upto_April23__1___1[Date]=EDATE($A35,-1))*
      (All_India_Index_Upto_April23__1___1[Sector]="Rural+Urban"),
    0)
  ),
"")</f>
        <v>140.6</v>
      </c>
      <c r="K35" s="8">
        <f t="shared" si="3"/>
        <v>1.2091038406828002E-2</v>
      </c>
      <c r="L35" cm="1">
        <f t="array" ref="L35">IFERROR(
  INDEX(All_India_Index_Upto_April23__1___1[Transport and communication],
    MATCH(1,
      (All_India_Index_Upto_April23__1___1[Date]=$A35)*
      (All_India_Index_Upto_April23__1___1[Sector]="Rural+Urban"),
    0)
  ),
"")</f>
        <v>126.6</v>
      </c>
      <c r="M35" cm="1">
        <f t="array" ref="M35">IFERROR(
  INDEX(All_India_Index_Upto_April23__1___1[Transport and communication],
    MATCH(1,
      (All_India_Index_Upto_April23__1___1[Date]=EDATE($A35,-1))*
      (All_India_Index_Upto_April23__1___1[Sector]="Rural+Urban"),
    0)
  ),
"")</f>
        <v>126.3</v>
      </c>
      <c r="N35" s="8">
        <f t="shared" si="4"/>
        <v>2.3752969121139918E-3</v>
      </c>
      <c r="O35" s="2" cm="1">
        <f t="array" ref="O35">IFERROR(
  AVERAGE(
    INDEX(All_India_Index_Upto_April23__1___1[Cereals and products],
      MATCH(1,(All_India_Index_Upto_April23__1___1[Date]=$A35)*
              (All_India_Index_Upto_April23__1___1[Sector]="Rural+Urban"),0)),
    INDEX(All_India_Index_Upto_April23__1___1[Meat and fish],
      MATCH(1,(All_India_Index_Upto_April23__1___1[Date]=$A35)*
              (All_India_Index_Upto_April23__1___1[Sector]="Rural+Urban"),0)),
    INDEX(All_India_Index_Upto_April23__1___1[Egg],
      MATCH(1,(All_India_Index_Upto_April23__1___1[Date]=$A35)*
              (All_India_Index_Upto_April23__1___1[Sector]="Rural+Urban"),0)),
    INDEX(All_India_Index_Upto_April23__1___1[Milk and products],
      MATCH(1,(All_India_Index_Upto_April23__1___1[Date]=$A35)*
              (All_India_Index_Upto_April23__1___1[Sector]="Rural+Urban"),0)),
    INDEX(All_India_Index_Upto_April23__1___1[Oils and fats],
      MATCH(1,(All_India_Index_Upto_April23__1___1[Date]=$A35)*
              (All_India_Index_Upto_April23__1___1[Sector]="Rural+Urban"),0)),
    INDEX(All_India_Index_Upto_April23__1___1[Fruits],
      MATCH(1,(All_India_Index_Upto_April23__1___1[Date]=$A35)*
              (All_India_Index_Upto_April23__1___1[Sector]="Rural+Urban"),0)),
    INDEX(All_India_Index_Upto_April23__1___1[Vegetables],
      MATCH(1,(All_India_Index_Upto_April23__1___1[Date]=$A35)*
              (All_India_Index_Upto_April23__1___1[Sector]="Rural+Urban"),0)),
    INDEX(All_India_Index_Upto_April23__1___1[Pulses and products],
      MATCH(1,(All_India_Index_Upto_April23__1___1[Date]=$A35)*
              (All_India_Index_Upto_April23__1___1[Sector]="Rural+Urban"),0)),
    INDEX(All_India_Index_Upto_April23__1___1[Sugar and Confectionery],
      MATCH(1,(All_India_Index_Upto_April23__1___1[Date]=$A35)*
              (All_India_Index_Upto_April23__1___1[Sector]="Rural+Urban"),0)),
    INDEX(All_India_Index_Upto_April23__1___1[Spices],
      MATCH(1,(All_India_Index_Upto_April23__1___1[Date]=$A35)*
              (All_India_Index_Upto_April23__1___1[Sector]="Rural+Urban"),0)),
    INDEX(All_India_Index_Upto_April23__1___1[Non-alcoholic beverages],
      MATCH(1,(All_India_Index_Upto_April23__1___1[Date]=$A35)*
              (All_India_Index_Upto_April23__1___1[Sector]="Rural+Urban"),0)),
    INDEX(All_India_Index_Upto_April23__1___1[Prepared meals, snacks, sweets etc.],
      MATCH(1,(All_India_Index_Upto_April23__1___1[Date]=$A35)*
              (All_India_Index_Upto_April23__1___1[Sector]="Rural+Urban"),0))
  ),
"")</f>
        <v>146.58333333333334</v>
      </c>
      <c r="P35" s="2" cm="1">
        <f t="array" ref="P35">IFERROR(
  AVERAGE(
    INDEX(All_India_Index_Upto_April23__1___1[Cereals and products],
      MATCH(1,(All_India_Index_Upto_April23__1___1[Date]=EDATE($A35,-12))*
              (All_India_Index_Upto_April23__1___1[Sector]="Rural+Urban"),0)),
    INDEX(All_India_Index_Upto_April23__1___1[Meat and fish],
      MATCH(1,(All_India_Index_Upto_April23__1___1[Date]=EDATE($A35,-12))*
              (All_India_Index_Upto_April23__1___1[Sector]="Rural+Urban"),0)),
    INDEX(All_India_Index_Upto_April23__1___1[Egg],
      MATCH(1,(All_India_Index_Upto_April23__1___1[Date]=EDATE($A35,-12))*
              (All_India_Index_Upto_April23__1___1[Sector]="Rural+Urban"),0)),
    INDEX(All_India_Index_Upto_April23__1___1[Milk and products],
      MATCH(1,(All_India_Index_Upto_April23__1___1[Date]=EDATE($A35,-12))*
              (All_India_Index_Upto_April23__1___1[Sector]="Rural+Urban"),0)),
    INDEX(All_India_Index_Upto_April23__1___1[Oils and fats],
      MATCH(1,(All_India_Index_Upto_April23__1___1[Date]=EDATE($A35,-12))*
              (All_India_Index_Upto_April23__1___1[Sector]="Rural+Urban"),0)),
    INDEX(All_India_Index_Upto_April23__1___1[Fruits],
      MATCH(1,(All_India_Index_Upto_April23__1___1[Date]=EDATE($A35,-12))*
              (All_India_Index_Upto_April23__1___1[Sector]="Rural+Urban"),0)),
    INDEX(All_India_Index_Upto_April23__1___1[Vegetables],
      MATCH(1,(All_India_Index_Upto_April23__1___1[Date]=EDATE($A35,-12))*
              (All_India_Index_Upto_April23__1___1[Sector]="Rural+Urban"),0)),
    INDEX(All_India_Index_Upto_April23__1___1[Pulses and products],
      MATCH(1,(All_India_Index_Upto_April23__1___1[Date]=EDATE($A35,-12))*
              (All_India_Index_Upto_April23__1___1[Sector]="Rural+Urban"),0)),
    INDEX(All_India_Index_Upto_April23__1___1[Sugar and Confectionery],
      MATCH(1,(All_India_Index_Upto_April23__1___1[Date]=EDATE($A35,-12))*
              (All_India_Index_Upto_April23__1___1[Sector]="Rural+Urban"),0)),
    INDEX(All_India_Index_Upto_April23__1___1[Spices],
      MATCH(1,(All_India_Index_Upto_April23__1___1[Date]=EDATE($A35,-12))*
              (All_India_Index_Upto_April23__1___1[Sector]="Rural+Urban"),0)),
    INDEX(All_India_Index_Upto_April23__1___1[Non-alcoholic beverages],
      MATCH(1,(All_India_Index_Upto_April23__1___1[Date]=EDATE($A35,-12))*
              (All_India_Index_Upto_April23__1___1[Sector]="Rural+Urban"),0)),
    INDEX(All_India_Index_Upto_April23__1___1[Prepared meals, snacks, sweets etc.],
      MATCH(1,(All_India_Index_Upto_April23__1___1[Date]=EDATE($A35,-12))*
              (All_India_Index_Upto_April23__1___1[Sector]="Rural+Urban"),0))
  ),
"")</f>
        <v>136.33333333333334</v>
      </c>
      <c r="Q35" s="8">
        <f t="shared" si="5"/>
        <v>7.5183374083129584E-2</v>
      </c>
      <c r="R35" cm="1">
        <f t="array" ref="R35">IFERROR(
  INDEX(All_India_Index_Upto_April23__1___1[General index],
    MATCH(1,
      (All_India_Index_Upto_April23__1___1[Date]=$A35)*
      (All_India_Index_Upto_April23__1___1[Sector]="Rural+Urban"),
    0)
  ),
"")</f>
        <v>148.6</v>
      </c>
      <c r="S35" cm="1">
        <f t="array" ref="S35">IFERROR(
  INDEX(All_India_Index_Upto_April23__1___1[General index],
    MATCH(1,
      (All_India_Index_Upto_April23__1___1[Date]=EDATE($A35,-1))*
      (All_India_Index_Upto_April23__1___1[Sector]="Rural+Urban"),
    0)
  ),
"")</f>
        <v>147.19999999999999</v>
      </c>
      <c r="T35" s="8">
        <f t="shared" si="6"/>
        <v>9.5108695652174301E-3</v>
      </c>
    </row>
    <row r="36" spans="1:20" x14ac:dyDescent="0.2">
      <c r="A36" s="22">
        <v>43800</v>
      </c>
      <c r="B36">
        <v>2019</v>
      </c>
      <c r="C36" t="s">
        <v>53</v>
      </c>
      <c r="D36" s="2">
        <v>62</v>
      </c>
      <c r="E36" s="8">
        <f t="shared" si="1"/>
        <v>3.2258064516129031E-2</v>
      </c>
      <c r="F36" s="8">
        <f t="shared" si="2"/>
        <v>3.2258064516129031E-2</v>
      </c>
      <c r="G36" t="e">
        <f t="shared" si="7"/>
        <v>#N/A</v>
      </c>
      <c r="H36" s="22">
        <v>43800</v>
      </c>
      <c r="I36" cm="1">
        <f t="array" ref="I36">IFERROR(
  INDEX(All_India_Index_Upto_April23__1___1[Fuel and light],
    MATCH(1,
      (All_India_Index_Upto_April23__1___1[Date]=$A36)*
      (All_India_Index_Upto_April23__1___1[Sector]="Rural+Urban"),
    0)
  ),
"")</f>
        <v>143.69999999999999</v>
      </c>
      <c r="J36" cm="1">
        <f t="array" ref="J36">IFERROR(
  INDEX(All_India_Index_Upto_April23__1___1[Fuel and light],
    MATCH(1,
      (All_India_Index_Upto_April23__1___1[Date]=EDATE($A36,-1))*
      (All_India_Index_Upto_April23__1___1[Sector]="Rural+Urban"),
    0)
  ),
"")</f>
        <v>142.30000000000001</v>
      </c>
      <c r="K36" s="8">
        <f t="shared" si="3"/>
        <v>9.8383696416020888E-3</v>
      </c>
      <c r="L36" cm="1">
        <f t="array" ref="L36">IFERROR(
  INDEX(All_India_Index_Upto_April23__1___1[Transport and communication],
    MATCH(1,
      (All_India_Index_Upto_April23__1___1[Date]=$A36)*
      (All_India_Index_Upto_April23__1___1[Sector]="Rural+Urban"),
    0)
  ),
"")</f>
        <v>129.80000000000001</v>
      </c>
      <c r="M36" cm="1">
        <f t="array" ref="M36">IFERROR(
  INDEX(All_India_Index_Upto_April23__1___1[Transport and communication],
    MATCH(1,
      (All_India_Index_Upto_April23__1___1[Date]=EDATE($A36,-1))*
      (All_India_Index_Upto_April23__1___1[Sector]="Rural+Urban"),
    0)
  ),
"")</f>
        <v>126.6</v>
      </c>
      <c r="N36" s="8">
        <f t="shared" si="4"/>
        <v>2.5276461295418776E-2</v>
      </c>
      <c r="O36" s="2" cm="1">
        <f t="array" ref="O36">IFERROR(
  AVERAGE(
    INDEX(All_India_Index_Upto_April23__1___1[Cereals and products],
      MATCH(1,(All_India_Index_Upto_April23__1___1[Date]=$A36)*
              (All_India_Index_Upto_April23__1___1[Sector]="Rural+Urban"),0)),
    INDEX(All_India_Index_Upto_April23__1___1[Meat and fish],
      MATCH(1,(All_India_Index_Upto_April23__1___1[Date]=$A36)*
              (All_India_Index_Upto_April23__1___1[Sector]="Rural+Urban"),0)),
    INDEX(All_India_Index_Upto_April23__1___1[Egg],
      MATCH(1,(All_India_Index_Upto_April23__1___1[Date]=$A36)*
              (All_India_Index_Upto_April23__1___1[Sector]="Rural+Urban"),0)),
    INDEX(All_India_Index_Upto_April23__1___1[Milk and products],
      MATCH(1,(All_India_Index_Upto_April23__1___1[Date]=$A36)*
              (All_India_Index_Upto_April23__1___1[Sector]="Rural+Urban"),0)),
    INDEX(All_India_Index_Upto_April23__1___1[Oils and fats],
      MATCH(1,(All_India_Index_Upto_April23__1___1[Date]=$A36)*
              (All_India_Index_Upto_April23__1___1[Sector]="Rural+Urban"),0)),
    INDEX(All_India_Index_Upto_April23__1___1[Fruits],
      MATCH(1,(All_India_Index_Upto_April23__1___1[Date]=$A36)*
              (All_India_Index_Upto_April23__1___1[Sector]="Rural+Urban"),0)),
    INDEX(All_India_Index_Upto_April23__1___1[Vegetables],
      MATCH(1,(All_India_Index_Upto_April23__1___1[Date]=$A36)*
              (All_India_Index_Upto_April23__1___1[Sector]="Rural+Urban"),0)),
    INDEX(All_India_Index_Upto_April23__1___1[Pulses and products],
      MATCH(1,(All_India_Index_Upto_April23__1___1[Date]=$A36)*
              (All_India_Index_Upto_April23__1___1[Sector]="Rural+Urban"),0)),
    INDEX(All_India_Index_Upto_April23__1___1[Sugar and Confectionery],
      MATCH(1,(All_India_Index_Upto_April23__1___1[Date]=$A36)*
              (All_India_Index_Upto_April23__1___1[Sector]="Rural+Urban"),0)),
    INDEX(All_India_Index_Upto_April23__1___1[Spices],
      MATCH(1,(All_India_Index_Upto_April23__1___1[Date]=$A36)*
              (All_India_Index_Upto_April23__1___1[Sector]="Rural+Urban"),0)),
    INDEX(All_India_Index_Upto_April23__1___1[Non-alcoholic beverages],
      MATCH(1,(All_India_Index_Upto_April23__1___1[Date]=$A36)*
              (All_India_Index_Upto_April23__1___1[Sector]="Rural+Urban"),0)),
    INDEX(All_India_Index_Upto_April23__1___1[Prepared meals, snacks, sweets etc.],
      MATCH(1,(All_India_Index_Upto_April23__1___1[Date]=$A36)*
              (All_India_Index_Upto_April23__1___1[Sector]="Rural+Urban"),0))
  ),
"")</f>
        <v>149.25833333333335</v>
      </c>
      <c r="P36" s="2" cm="1">
        <f t="array" ref="P36">IFERROR(
  AVERAGE(
    INDEX(All_India_Index_Upto_April23__1___1[Cereals and products],
      MATCH(1,(All_India_Index_Upto_April23__1___1[Date]=EDATE($A36,-12))*
              (All_India_Index_Upto_April23__1___1[Sector]="Rural+Urban"),0)),
    INDEX(All_India_Index_Upto_April23__1___1[Meat and fish],
      MATCH(1,(All_India_Index_Upto_April23__1___1[Date]=EDATE($A36,-12))*
              (All_India_Index_Upto_April23__1___1[Sector]="Rural+Urban"),0)),
    INDEX(All_India_Index_Upto_April23__1___1[Egg],
      MATCH(1,(All_India_Index_Upto_April23__1___1[Date]=EDATE($A36,-12))*
              (All_India_Index_Upto_April23__1___1[Sector]="Rural+Urban"),0)),
    INDEX(All_India_Index_Upto_April23__1___1[Milk and products],
      MATCH(1,(All_India_Index_Upto_April23__1___1[Date]=EDATE($A36,-12))*
              (All_India_Index_Upto_April23__1___1[Sector]="Rural+Urban"),0)),
    INDEX(All_India_Index_Upto_April23__1___1[Oils and fats],
      MATCH(1,(All_India_Index_Upto_April23__1___1[Date]=EDATE($A36,-12))*
              (All_India_Index_Upto_April23__1___1[Sector]="Rural+Urban"),0)),
    INDEX(All_India_Index_Upto_April23__1___1[Fruits],
      MATCH(1,(All_India_Index_Upto_April23__1___1[Date]=EDATE($A36,-12))*
              (All_India_Index_Upto_April23__1___1[Sector]="Rural+Urban"),0)),
    INDEX(All_India_Index_Upto_April23__1___1[Vegetables],
      MATCH(1,(All_India_Index_Upto_April23__1___1[Date]=EDATE($A36,-12))*
              (All_India_Index_Upto_April23__1___1[Sector]="Rural+Urban"),0)),
    INDEX(All_India_Index_Upto_April23__1___1[Pulses and products],
      MATCH(1,(All_India_Index_Upto_April23__1___1[Date]=EDATE($A36,-12))*
              (All_India_Index_Upto_April23__1___1[Sector]="Rural+Urban"),0)),
    INDEX(All_India_Index_Upto_April23__1___1[Sugar and Confectionery],
      MATCH(1,(All_India_Index_Upto_April23__1___1[Date]=EDATE($A36,-12))*
              (All_India_Index_Upto_April23__1___1[Sector]="Rural+Urban"),0)),
    INDEX(All_India_Index_Upto_April23__1___1[Spices],
      MATCH(1,(All_India_Index_Upto_April23__1___1[Date]=EDATE($A36,-12))*
              (All_India_Index_Upto_April23__1___1[Sector]="Rural+Urban"),0)),
    INDEX(All_India_Index_Upto_April23__1___1[Non-alcoholic beverages],
      MATCH(1,(All_India_Index_Upto_April23__1___1[Date]=EDATE($A36,-12))*
              (All_India_Index_Upto_April23__1___1[Sector]="Rural+Urban"),0)),
    INDEX(All_India_Index_Upto_April23__1___1[Prepared meals, snacks, sweets etc.],
      MATCH(1,(All_India_Index_Upto_April23__1___1[Date]=EDATE($A36,-12))*
              (All_India_Index_Upto_April23__1___1[Sector]="Rural+Urban"),0))
  ),
"")</f>
        <v>135.3833333333333</v>
      </c>
      <c r="Q36" s="8">
        <f t="shared" si="5"/>
        <v>0.10248676597316307</v>
      </c>
      <c r="R36" cm="1">
        <f t="array" ref="R36">IFERROR(
  INDEX(All_India_Index_Upto_April23__1___1[General index],
    MATCH(1,
      (All_India_Index_Upto_April23__1___1[Date]=$A36)*
      (All_India_Index_Upto_April23__1___1[Sector]="Rural+Urban"),
    0)
  ),
"")</f>
        <v>150.4</v>
      </c>
      <c r="S36" cm="1">
        <f t="array" ref="S36">IFERROR(
  INDEX(All_India_Index_Upto_April23__1___1[General index],
    MATCH(1,
      (All_India_Index_Upto_April23__1___1[Date]=EDATE($A36,-1))*
      (All_India_Index_Upto_April23__1___1[Sector]="Rural+Urban"),
    0)
  ),
"")</f>
        <v>148.6</v>
      </c>
      <c r="T36" s="8">
        <f t="shared" si="6"/>
        <v>1.2113055181695904E-2</v>
      </c>
    </row>
    <row r="37" spans="1:20" x14ac:dyDescent="0.2">
      <c r="A37" s="22">
        <v>43831</v>
      </c>
      <c r="B37">
        <v>2020</v>
      </c>
      <c r="C37" t="s">
        <v>31</v>
      </c>
      <c r="D37" s="2">
        <v>64</v>
      </c>
      <c r="E37" s="8">
        <f t="shared" si="1"/>
        <v>-7.8125E-2</v>
      </c>
      <c r="F37" s="8">
        <f t="shared" si="2"/>
        <v>-7.8125E-2</v>
      </c>
      <c r="G37" t="e">
        <f t="shared" si="7"/>
        <v>#N/A</v>
      </c>
      <c r="H37" s="22">
        <v>43831</v>
      </c>
      <c r="I37" cm="1">
        <f t="array" ref="I37">IFERROR(
  INDEX(All_India_Index_Upto_April23__1___1[Fuel and light],
    MATCH(1,
      (All_India_Index_Upto_April23__1___1[Date]=$A37)*
      (All_India_Index_Upto_April23__1___1[Sector]="Rural+Urban"),
    0)
  ),
"")</f>
        <v>144.6</v>
      </c>
      <c r="J37" cm="1">
        <f t="array" ref="J37">IFERROR(
  INDEX(All_India_Index_Upto_April23__1___1[Fuel and light],
    MATCH(1,
      (All_India_Index_Upto_April23__1___1[Date]=EDATE($A37,-1))*
      (All_India_Index_Upto_April23__1___1[Sector]="Rural+Urban"),
    0)
  ),
"")</f>
        <v>143.69999999999999</v>
      </c>
      <c r="K37" s="8">
        <f t="shared" si="3"/>
        <v>6.2630480167015015E-3</v>
      </c>
      <c r="L37" cm="1">
        <f t="array" ref="L37">IFERROR(
  INDEX(All_India_Index_Upto_April23__1___1[Transport and communication],
    MATCH(1,
      (All_India_Index_Upto_April23__1___1[Date]=$A37)*
      (All_India_Index_Upto_April23__1___1[Sector]="Rural+Urban"),
    0)
  ),
"")</f>
        <v>130.9</v>
      </c>
      <c r="M37" cm="1">
        <f t="array" ref="M37">IFERROR(
  INDEX(All_India_Index_Upto_April23__1___1[Transport and communication],
    MATCH(1,
      (All_India_Index_Upto_April23__1___1[Date]=EDATE($A37,-1))*
      (All_India_Index_Upto_April23__1___1[Sector]="Rural+Urban"),
    0)
  ),
"")</f>
        <v>129.80000000000001</v>
      </c>
      <c r="N37" s="8">
        <f t="shared" si="4"/>
        <v>8.4745762711863955E-3</v>
      </c>
      <c r="O37" s="2" cm="1">
        <f t="array" ref="O37">IFERROR(
  AVERAGE(
    INDEX(All_India_Index_Upto_April23__1___1[Cereals and products],
      MATCH(1,(All_India_Index_Upto_April23__1___1[Date]=$A37)*
              (All_India_Index_Upto_April23__1___1[Sector]="Rural+Urban"),0)),
    INDEX(All_India_Index_Upto_April23__1___1[Meat and fish],
      MATCH(1,(All_India_Index_Upto_April23__1___1[Date]=$A37)*
              (All_India_Index_Upto_April23__1___1[Sector]="Rural+Urban"),0)),
    INDEX(All_India_Index_Upto_April23__1___1[Egg],
      MATCH(1,(All_India_Index_Upto_April23__1___1[Date]=$A37)*
              (All_India_Index_Upto_April23__1___1[Sector]="Rural+Urban"),0)),
    INDEX(All_India_Index_Upto_April23__1___1[Milk and products],
      MATCH(1,(All_India_Index_Upto_April23__1___1[Date]=$A37)*
              (All_India_Index_Upto_April23__1___1[Sector]="Rural+Urban"),0)),
    INDEX(All_India_Index_Upto_April23__1___1[Oils and fats],
      MATCH(1,(All_India_Index_Upto_April23__1___1[Date]=$A37)*
              (All_India_Index_Upto_April23__1___1[Sector]="Rural+Urban"),0)),
    INDEX(All_India_Index_Upto_April23__1___1[Fruits],
      MATCH(1,(All_India_Index_Upto_April23__1___1[Date]=$A37)*
              (All_India_Index_Upto_April23__1___1[Sector]="Rural+Urban"),0)),
    INDEX(All_India_Index_Upto_April23__1___1[Vegetables],
      MATCH(1,(All_India_Index_Upto_April23__1___1[Date]=$A37)*
              (All_India_Index_Upto_April23__1___1[Sector]="Rural+Urban"),0)),
    INDEX(All_India_Index_Upto_April23__1___1[Pulses and products],
      MATCH(1,(All_India_Index_Upto_April23__1___1[Date]=$A37)*
              (All_India_Index_Upto_April23__1___1[Sector]="Rural+Urban"),0)),
    INDEX(All_India_Index_Upto_April23__1___1[Sugar and Confectionery],
      MATCH(1,(All_India_Index_Upto_April23__1___1[Date]=$A37)*
              (All_India_Index_Upto_April23__1___1[Sector]="Rural+Urban"),0)),
    INDEX(All_India_Index_Upto_April23__1___1[Spices],
      MATCH(1,(All_India_Index_Upto_April23__1___1[Date]=$A37)*
              (All_India_Index_Upto_April23__1___1[Sector]="Rural+Urban"),0)),
    INDEX(All_India_Index_Upto_April23__1___1[Non-alcoholic beverages],
      MATCH(1,(All_India_Index_Upto_April23__1___1[Date]=$A37)*
              (All_India_Index_Upto_April23__1___1[Sector]="Rural+Urban"),0)),
    INDEX(All_India_Index_Upto_April23__1___1[Prepared meals, snacks, sweets etc.],
      MATCH(1,(All_India_Index_Upto_April23__1___1[Date]=$A37)*
              (All_India_Index_Upto_April23__1___1[Sector]="Rural+Urban"),0))
  ),
"")</f>
        <v>148.90833333333333</v>
      </c>
      <c r="P37" s="2" cm="1">
        <f t="array" ref="P37">IFERROR(
  AVERAGE(
    INDEX(All_India_Index_Upto_April23__1___1[Cereals and products],
      MATCH(1,(All_India_Index_Upto_April23__1___1[Date]=EDATE($A37,-12))*
              (All_India_Index_Upto_April23__1___1[Sector]="Rural+Urban"),0)),
    INDEX(All_India_Index_Upto_April23__1___1[Meat and fish],
      MATCH(1,(All_India_Index_Upto_April23__1___1[Date]=EDATE($A37,-12))*
              (All_India_Index_Upto_April23__1___1[Sector]="Rural+Urban"),0)),
    INDEX(All_India_Index_Upto_April23__1___1[Egg],
      MATCH(1,(All_India_Index_Upto_April23__1___1[Date]=EDATE($A37,-12))*
              (All_India_Index_Upto_April23__1___1[Sector]="Rural+Urban"),0)),
    INDEX(All_India_Index_Upto_April23__1___1[Milk and products],
      MATCH(1,(All_India_Index_Upto_April23__1___1[Date]=EDATE($A37,-12))*
              (All_India_Index_Upto_April23__1___1[Sector]="Rural+Urban"),0)),
    INDEX(All_India_Index_Upto_April23__1___1[Oils and fats],
      MATCH(1,(All_India_Index_Upto_April23__1___1[Date]=EDATE($A37,-12))*
              (All_India_Index_Upto_April23__1___1[Sector]="Rural+Urban"),0)),
    INDEX(All_India_Index_Upto_April23__1___1[Fruits],
      MATCH(1,(All_India_Index_Upto_April23__1___1[Date]=EDATE($A37,-12))*
              (All_India_Index_Upto_April23__1___1[Sector]="Rural+Urban"),0)),
    INDEX(All_India_Index_Upto_April23__1___1[Vegetables],
      MATCH(1,(All_India_Index_Upto_April23__1___1[Date]=EDATE($A37,-12))*
              (All_India_Index_Upto_April23__1___1[Sector]="Rural+Urban"),0)),
    INDEX(All_India_Index_Upto_April23__1___1[Pulses and products],
      MATCH(1,(All_India_Index_Upto_April23__1___1[Date]=EDATE($A37,-12))*
              (All_India_Index_Upto_April23__1___1[Sector]="Rural+Urban"),0)),
    INDEX(All_India_Index_Upto_April23__1___1[Sugar and Confectionery],
      MATCH(1,(All_India_Index_Upto_April23__1___1[Date]=EDATE($A37,-12))*
              (All_India_Index_Upto_April23__1___1[Sector]="Rural+Urban"),0)),
    INDEX(All_India_Index_Upto_April23__1___1[Spices],
      MATCH(1,(All_India_Index_Upto_April23__1___1[Date]=EDATE($A37,-12))*
              (All_India_Index_Upto_April23__1___1[Sector]="Rural+Urban"),0)),
    INDEX(All_India_Index_Upto_April23__1___1[Non-alcoholic beverages],
      MATCH(1,(All_India_Index_Upto_April23__1___1[Date]=EDATE($A37,-12))*
              (All_India_Index_Upto_April23__1___1[Sector]="Rural+Urban"),0)),
    INDEX(All_India_Index_Upto_April23__1___1[Prepared meals, snacks, sweets etc.],
      MATCH(1,(All_India_Index_Upto_April23__1___1[Date]=EDATE($A37,-12))*
              (All_India_Index_Upto_April23__1___1[Sector]="Rural+Urban"),0))
  ),
"")</f>
        <v>134.66666666666666</v>
      </c>
      <c r="Q37" s="8">
        <f t="shared" si="5"/>
        <v>0.10575495049504957</v>
      </c>
      <c r="R37" cm="1">
        <f t="array" ref="R37">IFERROR(
  INDEX(All_India_Index_Upto_April23__1___1[General index],
    MATCH(1,
      (All_India_Index_Upto_April23__1___1[Date]=$A37)*
      (All_India_Index_Upto_April23__1___1[Sector]="Rural+Urban"),
    0)
  ),
"")</f>
        <v>150.19999999999999</v>
      </c>
      <c r="S37" cm="1">
        <f t="array" ref="S37">IFERROR(
  INDEX(All_India_Index_Upto_April23__1___1[General index],
    MATCH(1,
      (All_India_Index_Upto_April23__1___1[Date]=EDATE($A37,-1))*
      (All_India_Index_Upto_April23__1___1[Sector]="Rural+Urban"),
    0)
  ),
"")</f>
        <v>150.4</v>
      </c>
      <c r="T37" s="8">
        <f t="shared" si="6"/>
        <v>-1.3297872340426666E-3</v>
      </c>
    </row>
    <row r="38" spans="1:20" x14ac:dyDescent="0.2">
      <c r="A38" s="22">
        <v>43862</v>
      </c>
      <c r="B38">
        <v>2020</v>
      </c>
      <c r="C38" t="s">
        <v>35</v>
      </c>
      <c r="D38" s="2">
        <v>59</v>
      </c>
      <c r="E38" s="8">
        <f t="shared" si="1"/>
        <v>-0.42372881355932202</v>
      </c>
      <c r="F38" s="8" t="e">
        <f t="shared" si="2"/>
        <v>#N/A</v>
      </c>
      <c r="G38" t="e">
        <f t="shared" si="7"/>
        <v>#N/A</v>
      </c>
      <c r="H38" s="22">
        <v>43862</v>
      </c>
      <c r="I38" cm="1">
        <f t="array" ref="I38">IFERROR(
  INDEX(All_India_Index_Upto_April23__1___1[Fuel and light],
    MATCH(1,
      (All_India_Index_Upto_April23__1___1[Date]=$A38)*
      (All_India_Index_Upto_April23__1___1[Sector]="Rural+Urban"),
    0)
  ),
"")</f>
        <v>147.19999999999999</v>
      </c>
      <c r="J38" cm="1">
        <f t="array" ref="J38">IFERROR(
  INDEX(All_India_Index_Upto_April23__1___1[Fuel and light],
    MATCH(1,
      (All_India_Index_Upto_April23__1___1[Date]=EDATE($A38,-1))*
      (All_India_Index_Upto_April23__1___1[Sector]="Rural+Urban"),
    0)
  ),
"")</f>
        <v>144.6</v>
      </c>
      <c r="K38" s="8">
        <f t="shared" si="3"/>
        <v>1.7980636237897609E-2</v>
      </c>
      <c r="L38" cm="1">
        <f t="array" ref="L38">IFERROR(
  INDEX(All_India_Index_Upto_April23__1___1[Transport and communication],
    MATCH(1,
      (All_India_Index_Upto_April23__1___1[Date]=$A38)*
      (All_India_Index_Upto_April23__1___1[Sector]="Rural+Urban"),
    0)
  ),
"")</f>
        <v>130.30000000000001</v>
      </c>
      <c r="M38" cm="1">
        <f t="array" ref="M38">IFERROR(
  INDEX(All_India_Index_Upto_April23__1___1[Transport and communication],
    MATCH(1,
      (All_India_Index_Upto_April23__1___1[Date]=EDATE($A38,-1))*
      (All_India_Index_Upto_April23__1___1[Sector]="Rural+Urban"),
    0)
  ),
"")</f>
        <v>130.9</v>
      </c>
      <c r="N38" s="8">
        <f t="shared" si="4"/>
        <v>-4.583651642475128E-3</v>
      </c>
      <c r="O38" s="2" cm="1">
        <f t="array" ref="O38">IFERROR(
  AVERAGE(
    INDEX(All_India_Index_Upto_April23__1___1[Cereals and products],
      MATCH(1,(All_India_Index_Upto_April23__1___1[Date]=$A38)*
              (All_India_Index_Upto_April23__1___1[Sector]="Rural+Urban"),0)),
    INDEX(All_India_Index_Upto_April23__1___1[Meat and fish],
      MATCH(1,(All_India_Index_Upto_April23__1___1[Date]=$A38)*
              (All_India_Index_Upto_April23__1___1[Sector]="Rural+Urban"),0)),
    INDEX(All_India_Index_Upto_April23__1___1[Egg],
      MATCH(1,(All_India_Index_Upto_April23__1___1[Date]=$A38)*
              (All_India_Index_Upto_April23__1___1[Sector]="Rural+Urban"),0)),
    INDEX(All_India_Index_Upto_April23__1___1[Milk and products],
      MATCH(1,(All_India_Index_Upto_April23__1___1[Date]=$A38)*
              (All_India_Index_Upto_April23__1___1[Sector]="Rural+Urban"),0)),
    INDEX(All_India_Index_Upto_April23__1___1[Oils and fats],
      MATCH(1,(All_India_Index_Upto_April23__1___1[Date]=$A38)*
              (All_India_Index_Upto_April23__1___1[Sector]="Rural+Urban"),0)),
    INDEX(All_India_Index_Upto_April23__1___1[Fruits],
      MATCH(1,(All_India_Index_Upto_April23__1___1[Date]=$A38)*
              (All_India_Index_Upto_April23__1___1[Sector]="Rural+Urban"),0)),
    INDEX(All_India_Index_Upto_April23__1___1[Vegetables],
      MATCH(1,(All_India_Index_Upto_April23__1___1[Date]=$A38)*
              (All_India_Index_Upto_April23__1___1[Sector]="Rural+Urban"),0)),
    INDEX(All_India_Index_Upto_April23__1___1[Pulses and products],
      MATCH(1,(All_India_Index_Upto_April23__1___1[Date]=$A38)*
              (All_India_Index_Upto_April23__1___1[Sector]="Rural+Urban"),0)),
    INDEX(All_India_Index_Upto_April23__1___1[Sugar and Confectionery],
      MATCH(1,(All_India_Index_Upto_April23__1___1[Date]=$A38)*
              (All_India_Index_Upto_April23__1___1[Sector]="Rural+Urban"),0)),
    INDEX(All_India_Index_Upto_April23__1___1[Spices],
      MATCH(1,(All_India_Index_Upto_April23__1___1[Date]=$A38)*
              (All_India_Index_Upto_April23__1___1[Sector]="Rural+Urban"),0)),
    INDEX(All_India_Index_Upto_April23__1___1[Non-alcoholic beverages],
      MATCH(1,(All_India_Index_Upto_April23__1___1[Date]=$A38)*
              (All_India_Index_Upto_April23__1___1[Sector]="Rural+Urban"),0)),
    INDEX(All_India_Index_Upto_April23__1___1[Prepared meals, snacks, sweets etc.],
      MATCH(1,(All_India_Index_Upto_April23__1___1[Date]=$A38)*
              (All_India_Index_Upto_April23__1___1[Sector]="Rural+Urban"),0))
  ),
"")</f>
        <v>146.75833333333333</v>
      </c>
      <c r="P38" s="2" cm="1">
        <f t="array" ref="P38">IFERROR(
  AVERAGE(
    INDEX(All_India_Index_Upto_April23__1___1[Cereals and products],
      MATCH(1,(All_India_Index_Upto_April23__1___1[Date]=EDATE($A38,-12))*
              (All_India_Index_Upto_April23__1___1[Sector]="Rural+Urban"),0)),
    INDEX(All_India_Index_Upto_April23__1___1[Meat and fish],
      MATCH(1,(All_India_Index_Upto_April23__1___1[Date]=EDATE($A38,-12))*
              (All_India_Index_Upto_April23__1___1[Sector]="Rural+Urban"),0)),
    INDEX(All_India_Index_Upto_April23__1___1[Egg],
      MATCH(1,(All_India_Index_Upto_April23__1___1[Date]=EDATE($A38,-12))*
              (All_India_Index_Upto_April23__1___1[Sector]="Rural+Urban"),0)),
    INDEX(All_India_Index_Upto_April23__1___1[Milk and products],
      MATCH(1,(All_India_Index_Upto_April23__1___1[Date]=EDATE($A38,-12))*
              (All_India_Index_Upto_April23__1___1[Sector]="Rural+Urban"),0)),
    INDEX(All_India_Index_Upto_April23__1___1[Oils and fats],
      MATCH(1,(All_India_Index_Upto_April23__1___1[Date]=EDATE($A38,-12))*
              (All_India_Index_Upto_April23__1___1[Sector]="Rural+Urban"),0)),
    INDEX(All_India_Index_Upto_April23__1___1[Fruits],
      MATCH(1,(All_India_Index_Upto_April23__1___1[Date]=EDATE($A38,-12))*
              (All_India_Index_Upto_April23__1___1[Sector]="Rural+Urban"),0)),
    INDEX(All_India_Index_Upto_April23__1___1[Vegetables],
      MATCH(1,(All_India_Index_Upto_April23__1___1[Date]=EDATE($A38,-12))*
              (All_India_Index_Upto_April23__1___1[Sector]="Rural+Urban"),0)),
    INDEX(All_India_Index_Upto_April23__1___1[Pulses and products],
      MATCH(1,(All_India_Index_Upto_April23__1___1[Date]=EDATE($A38,-12))*
              (All_India_Index_Upto_April23__1___1[Sector]="Rural+Urban"),0)),
    INDEX(All_India_Index_Upto_April23__1___1[Sugar and Confectionery],
      MATCH(1,(All_India_Index_Upto_April23__1___1[Date]=EDATE($A38,-12))*
              (All_India_Index_Upto_April23__1___1[Sector]="Rural+Urban"),0)),
    INDEX(All_India_Index_Upto_April23__1___1[Spices],
      MATCH(1,(All_India_Index_Upto_April23__1___1[Date]=EDATE($A38,-12))*
              (All_India_Index_Upto_April23__1___1[Sector]="Rural+Urban"),0)),
    INDEX(All_India_Index_Upto_April23__1___1[Non-alcoholic beverages],
      MATCH(1,(All_India_Index_Upto_April23__1___1[Date]=EDATE($A38,-12))*
              (All_India_Index_Upto_April23__1___1[Sector]="Rural+Urban"),0)),
    INDEX(All_India_Index_Upto_April23__1___1[Prepared meals, snacks, sweets etc.],
      MATCH(1,(All_India_Index_Upto_April23__1___1[Date]=EDATE($A38,-12))*
              (All_India_Index_Upto_April23__1___1[Sector]="Rural+Urban"),0))
  ),
"")</f>
        <v>134.96666666666667</v>
      </c>
      <c r="Q38" s="8">
        <f t="shared" si="5"/>
        <v>8.7367251173129101E-2</v>
      </c>
      <c r="R38" cm="1">
        <f t="array" ref="R38">IFERROR(
  INDEX(All_India_Index_Upto_April23__1___1[General index],
    MATCH(1,
      (All_India_Index_Upto_April23__1___1[Date]=$A38)*
      (All_India_Index_Upto_April23__1___1[Sector]="Rural+Urban"),
    0)
  ),
"")</f>
        <v>149.1</v>
      </c>
      <c r="S38" cm="1">
        <f t="array" ref="S38">IFERROR(
  INDEX(All_India_Index_Upto_April23__1___1[General index],
    MATCH(1,
      (All_India_Index_Upto_April23__1___1[Date]=EDATE($A38,-1))*
      (All_India_Index_Upto_April23__1___1[Sector]="Rural+Urban"),
    0)
  ),
"")</f>
        <v>150.19999999999999</v>
      </c>
      <c r="T38" s="8">
        <f t="shared" si="6"/>
        <v>-7.3235685752329853E-3</v>
      </c>
    </row>
    <row r="39" spans="1:20" x14ac:dyDescent="0.2">
      <c r="A39" s="22">
        <v>43891</v>
      </c>
      <c r="B39">
        <v>2020</v>
      </c>
      <c r="C39" t="s">
        <v>37</v>
      </c>
      <c r="D39" s="2">
        <v>34</v>
      </c>
      <c r="E39" s="8">
        <f t="shared" si="1"/>
        <v>-0.23529411764705882</v>
      </c>
      <c r="F39" s="8">
        <f t="shared" si="2"/>
        <v>-0.23529411764705882</v>
      </c>
      <c r="G39">
        <f t="shared" si="7"/>
        <v>40</v>
      </c>
      <c r="H39" s="22">
        <v>43891</v>
      </c>
      <c r="I39" cm="1">
        <f t="array" ref="I39">IFERROR(
  INDEX(All_India_Index_Upto_April23__1___1[Fuel and light],
    MATCH(1,
      (All_India_Index_Upto_April23__1___1[Date]=$A39)*
      (All_India_Index_Upto_April23__1___1[Sector]="Rural+Urban"),
    0)
  ),
"")</f>
        <v>148.9</v>
      </c>
      <c r="J39" cm="1">
        <f t="array" ref="J39">IFERROR(
  INDEX(All_India_Index_Upto_April23__1___1[Fuel and light],
    MATCH(1,
      (All_India_Index_Upto_April23__1___1[Date]=EDATE($A39,-1))*
      (All_India_Index_Upto_April23__1___1[Sector]="Rural+Urban"),
    0)
  ),
"")</f>
        <v>147.19999999999999</v>
      </c>
      <c r="K39" s="8">
        <f t="shared" si="3"/>
        <v>1.1548913043478378E-2</v>
      </c>
      <c r="L39" cm="1">
        <f t="array" ref="L39">IFERROR(
  INDEX(All_India_Index_Upto_April23__1___1[Transport and communication],
    MATCH(1,
      (All_India_Index_Upto_April23__1___1[Date]=$A39)*
      (All_India_Index_Upto_April23__1___1[Sector]="Rural+Urban"),
    0)
  ),
"")</f>
        <v>129.9</v>
      </c>
      <c r="M39" cm="1">
        <f t="array" ref="M39">IFERROR(
  INDEX(All_India_Index_Upto_April23__1___1[Transport and communication],
    MATCH(1,
      (All_India_Index_Upto_April23__1___1[Date]=EDATE($A39,-1))*
      (All_India_Index_Upto_April23__1___1[Sector]="Rural+Urban"),
    0)
  ),
"")</f>
        <v>130.30000000000001</v>
      </c>
      <c r="N39" s="8">
        <f t="shared" si="4"/>
        <v>-3.0698388334612866E-3</v>
      </c>
      <c r="O39" s="2" cm="1">
        <f t="array" ref="O39">IFERROR(
  AVERAGE(
    INDEX(All_India_Index_Upto_April23__1___1[Cereals and products],
      MATCH(1,(All_India_Index_Upto_April23__1___1[Date]=$A39)*
              (All_India_Index_Upto_April23__1___1[Sector]="Rural+Urban"),0)),
    INDEX(All_India_Index_Upto_April23__1___1[Meat and fish],
      MATCH(1,(All_India_Index_Upto_April23__1___1[Date]=$A39)*
              (All_India_Index_Upto_April23__1___1[Sector]="Rural+Urban"),0)),
    INDEX(All_India_Index_Upto_April23__1___1[Egg],
      MATCH(1,(All_India_Index_Upto_April23__1___1[Date]=$A39)*
              (All_India_Index_Upto_April23__1___1[Sector]="Rural+Urban"),0)),
    INDEX(All_India_Index_Upto_April23__1___1[Milk and products],
      MATCH(1,(All_India_Index_Upto_April23__1___1[Date]=$A39)*
              (All_India_Index_Upto_April23__1___1[Sector]="Rural+Urban"),0)),
    INDEX(All_India_Index_Upto_April23__1___1[Oils and fats],
      MATCH(1,(All_India_Index_Upto_April23__1___1[Date]=$A39)*
              (All_India_Index_Upto_April23__1___1[Sector]="Rural+Urban"),0)),
    INDEX(All_India_Index_Upto_April23__1___1[Fruits],
      MATCH(1,(All_India_Index_Upto_April23__1___1[Date]=$A39)*
              (All_India_Index_Upto_April23__1___1[Sector]="Rural+Urban"),0)),
    INDEX(All_India_Index_Upto_April23__1___1[Vegetables],
      MATCH(1,(All_India_Index_Upto_April23__1___1[Date]=$A39)*
              (All_India_Index_Upto_April23__1___1[Sector]="Rural+Urban"),0)),
    INDEX(All_India_Index_Upto_April23__1___1[Pulses and products],
      MATCH(1,(All_India_Index_Upto_April23__1___1[Date]=$A39)*
              (All_India_Index_Upto_April23__1___1[Sector]="Rural+Urban"),0)),
    INDEX(All_India_Index_Upto_April23__1___1[Sugar and Confectionery],
      MATCH(1,(All_India_Index_Upto_April23__1___1[Date]=$A39)*
              (All_India_Index_Upto_April23__1___1[Sector]="Rural+Urban"),0)),
    INDEX(All_India_Index_Upto_April23__1___1[Spices],
      MATCH(1,(All_India_Index_Upto_April23__1___1[Date]=$A39)*
              (All_India_Index_Upto_April23__1___1[Sector]="Rural+Urban"),0)),
    INDEX(All_India_Index_Upto_April23__1___1[Non-alcoholic beverages],
      MATCH(1,(All_India_Index_Upto_April23__1___1[Date]=$A39)*
              (All_India_Index_Upto_April23__1___1[Sector]="Rural+Urban"),0)),
    INDEX(All_India_Index_Upto_April23__1___1[Prepared meals, snacks, sweets etc.],
      MATCH(1,(All_India_Index_Upto_April23__1___1[Date]=$A39)*
              (All_India_Index_Upto_April23__1___1[Sector]="Rural+Urban"),0))
  ),
"")</f>
        <v>145.54166666666666</v>
      </c>
      <c r="P39" s="2" cm="1">
        <f t="array" ref="P39">IFERROR(
  AVERAGE(
    INDEX(All_India_Index_Upto_April23__1___1[Cereals and products],
      MATCH(1,(All_India_Index_Upto_April23__1___1[Date]=EDATE($A39,-12))*
              (All_India_Index_Upto_April23__1___1[Sector]="Rural+Urban"),0)),
    INDEX(All_India_Index_Upto_April23__1___1[Meat and fish],
      MATCH(1,(All_India_Index_Upto_April23__1___1[Date]=EDATE($A39,-12))*
              (All_India_Index_Upto_April23__1___1[Sector]="Rural+Urban"),0)),
    INDEX(All_India_Index_Upto_April23__1___1[Egg],
      MATCH(1,(All_India_Index_Upto_April23__1___1[Date]=EDATE($A39,-12))*
              (All_India_Index_Upto_April23__1___1[Sector]="Rural+Urban"),0)),
    INDEX(All_India_Index_Upto_April23__1___1[Milk and products],
      MATCH(1,(All_India_Index_Upto_April23__1___1[Date]=EDATE($A39,-12))*
              (All_India_Index_Upto_April23__1___1[Sector]="Rural+Urban"),0)),
    INDEX(All_India_Index_Upto_April23__1___1[Oils and fats],
      MATCH(1,(All_India_Index_Upto_April23__1___1[Date]=EDATE($A39,-12))*
              (All_India_Index_Upto_April23__1___1[Sector]="Rural+Urban"),0)),
    INDEX(All_India_Index_Upto_April23__1___1[Fruits],
      MATCH(1,(All_India_Index_Upto_April23__1___1[Date]=EDATE($A39,-12))*
              (All_India_Index_Upto_April23__1___1[Sector]="Rural+Urban"),0)),
    INDEX(All_India_Index_Upto_April23__1___1[Vegetables],
      MATCH(1,(All_India_Index_Upto_April23__1___1[Date]=EDATE($A39,-12))*
              (All_India_Index_Upto_April23__1___1[Sector]="Rural+Urban"),0)),
    INDEX(All_India_Index_Upto_April23__1___1[Pulses and products],
      MATCH(1,(All_India_Index_Upto_April23__1___1[Date]=EDATE($A39,-12))*
              (All_India_Index_Upto_April23__1___1[Sector]="Rural+Urban"),0)),
    INDEX(All_India_Index_Upto_April23__1___1[Sugar and Confectionery],
      MATCH(1,(All_India_Index_Upto_April23__1___1[Date]=EDATE($A39,-12))*
              (All_India_Index_Upto_April23__1___1[Sector]="Rural+Urban"),0)),
    INDEX(All_India_Index_Upto_April23__1___1[Spices],
      MATCH(1,(All_India_Index_Upto_April23__1___1[Date]=EDATE($A39,-12))*
              (All_India_Index_Upto_April23__1___1[Sector]="Rural+Urban"),0)),
    INDEX(All_India_Index_Upto_April23__1___1[Non-alcoholic beverages],
      MATCH(1,(All_India_Index_Upto_April23__1___1[Date]=EDATE($A39,-12))*
              (All_India_Index_Upto_April23__1___1[Sector]="Rural+Urban"),0)),
    INDEX(All_India_Index_Upto_April23__1___1[Prepared meals, snacks, sweets etc.],
      MATCH(1,(All_India_Index_Upto_April23__1___1[Date]=EDATE($A39,-12))*
              (All_India_Index_Upto_April23__1___1[Sector]="Rural+Urban"),0))
  ),
"")</f>
        <v>135.4</v>
      </c>
      <c r="Q39" s="8">
        <f t="shared" si="5"/>
        <v>7.4901526341703481E-2</v>
      </c>
      <c r="R39" cm="1">
        <f t="array" ref="R39">IFERROR(
  INDEX(All_India_Index_Upto_April23__1___1[General index],
    MATCH(1,
      (All_India_Index_Upto_April23__1___1[Date]=$A39)*
      (All_India_Index_Upto_April23__1___1[Sector]="Rural+Urban"),
    0)
  ),
"")</f>
        <v>148.6</v>
      </c>
      <c r="S39" cm="1">
        <f t="array" ref="S39">IFERROR(
  INDEX(All_India_Index_Upto_April23__1___1[General index],
    MATCH(1,
      (All_India_Index_Upto_April23__1___1[Date]=EDATE($A39,-1))*
      (All_India_Index_Upto_April23__1___1[Sector]="Rural+Urban"),
    0)
  ),
"")</f>
        <v>149.1</v>
      </c>
      <c r="T39" s="8">
        <f t="shared" si="6"/>
        <v>-3.3534540576794099E-3</v>
      </c>
    </row>
    <row r="40" spans="1:20" x14ac:dyDescent="0.2">
      <c r="A40" s="22">
        <v>43922</v>
      </c>
      <c r="B40">
        <v>2020</v>
      </c>
      <c r="C40" t="s">
        <v>38</v>
      </c>
      <c r="D40" s="2">
        <v>26</v>
      </c>
      <c r="E40" s="8">
        <f t="shared" si="1"/>
        <v>0.23076923076923078</v>
      </c>
      <c r="F40" s="8">
        <f t="shared" si="2"/>
        <v>0.23076923076923078</v>
      </c>
      <c r="G40" t="e">
        <f t="shared" si="7"/>
        <v>#N/A</v>
      </c>
      <c r="H40" s="22">
        <v>43922</v>
      </c>
      <c r="I40" cm="1">
        <f t="array" ref="I40">IFERROR(
  INDEX(All_India_Index_Upto_April23__1___1[Fuel and light],
    MATCH(1,
      (All_India_Index_Upto_April23__1___1[Date]=$A40)*
      (All_India_Index_Upto_April23__1___1[Sector]="Rural+Urban"),
    0)
  ),
"")</f>
        <v>144.1</v>
      </c>
      <c r="J40" cm="1">
        <f t="array" ref="J40">IFERROR(
  INDEX(All_India_Index_Upto_April23__1___1[Fuel and light],
    MATCH(1,
      (All_India_Index_Upto_April23__1___1[Date]=EDATE($A40,-1))*
      (All_India_Index_Upto_April23__1___1[Sector]="Rural+Urban"),
    0)
  ),
"")</f>
        <v>148.9</v>
      </c>
      <c r="K40" s="8">
        <f t="shared" si="3"/>
        <v>-3.2236400268636743E-2</v>
      </c>
      <c r="L40" cm="1">
        <f t="array" ref="L40">IFERROR(
  INDEX(All_India_Index_Upto_April23__1___1[Transport and communication],
    MATCH(1,
      (All_India_Index_Upto_April23__1___1[Date]=$A40)*
      (All_India_Index_Upto_April23__1___1[Sector]="Rural+Urban"),
    0)
  ),
"")</f>
        <v>135.75</v>
      </c>
      <c r="M40" cm="1">
        <f t="array" ref="M40">IFERROR(
  INDEX(All_India_Index_Upto_April23__1___1[Transport and communication],
    MATCH(1,
      (All_India_Index_Upto_April23__1___1[Date]=EDATE($A40,-1))*
      (All_India_Index_Upto_April23__1___1[Sector]="Rural+Urban"),
    0)
  ),
"")</f>
        <v>129.9</v>
      </c>
      <c r="N40" s="8">
        <f t="shared" si="4"/>
        <v>4.5034642032332518E-2</v>
      </c>
      <c r="O40" s="2" cm="1">
        <f t="array" ref="O40">IFERROR(
  AVERAGE(
    INDEX(All_India_Index_Upto_April23__1___1[Cereals and products],
      MATCH(1,(All_India_Index_Upto_April23__1___1[Date]=$A40)*
              (All_India_Index_Upto_April23__1___1[Sector]="Rural+Urban"),0)),
    INDEX(All_India_Index_Upto_April23__1___1[Meat and fish],
      MATCH(1,(All_India_Index_Upto_April23__1___1[Date]=$A40)*
              (All_India_Index_Upto_April23__1___1[Sector]="Rural+Urban"),0)),
    INDEX(All_India_Index_Upto_April23__1___1[Egg],
      MATCH(1,(All_India_Index_Upto_April23__1___1[Date]=$A40)*
              (All_India_Index_Upto_April23__1___1[Sector]="Rural+Urban"),0)),
    INDEX(All_India_Index_Upto_April23__1___1[Milk and products],
      MATCH(1,(All_India_Index_Upto_April23__1___1[Date]=$A40)*
              (All_India_Index_Upto_April23__1___1[Sector]="Rural+Urban"),0)),
    INDEX(All_India_Index_Upto_April23__1___1[Oils and fats],
      MATCH(1,(All_India_Index_Upto_April23__1___1[Date]=$A40)*
              (All_India_Index_Upto_April23__1___1[Sector]="Rural+Urban"),0)),
    INDEX(All_India_Index_Upto_April23__1___1[Fruits],
      MATCH(1,(All_India_Index_Upto_April23__1___1[Date]=$A40)*
              (All_India_Index_Upto_April23__1___1[Sector]="Rural+Urban"),0)),
    INDEX(All_India_Index_Upto_April23__1___1[Vegetables],
      MATCH(1,(All_India_Index_Upto_April23__1___1[Date]=$A40)*
              (All_India_Index_Upto_April23__1___1[Sector]="Rural+Urban"),0)),
    INDEX(All_India_Index_Upto_April23__1___1[Pulses and products],
      MATCH(1,(All_India_Index_Upto_April23__1___1[Date]=$A40)*
              (All_India_Index_Upto_April23__1___1[Sector]="Rural+Urban"),0)),
    INDEX(All_India_Index_Upto_April23__1___1[Sugar and Confectionery],
      MATCH(1,(All_India_Index_Upto_April23__1___1[Date]=$A40)*
              (All_India_Index_Upto_April23__1___1[Sector]="Rural+Urban"),0)),
    INDEX(All_India_Index_Upto_April23__1___1[Spices],
      MATCH(1,(All_India_Index_Upto_April23__1___1[Date]=$A40)*
              (All_India_Index_Upto_April23__1___1[Sector]="Rural+Urban"),0)),
    INDEX(All_India_Index_Upto_April23__1___1[Non-alcoholic beverages],
      MATCH(1,(All_India_Index_Upto_April23__1___1[Date]=$A40)*
              (All_India_Index_Upto_April23__1___1[Sector]="Rural+Urban"),0)),
    INDEX(All_India_Index_Upto_April23__1___1[Prepared meals, snacks, sweets etc.],
      MATCH(1,(All_India_Index_Upto_April23__1___1[Date]=$A40)*
              (All_India_Index_Upto_April23__1___1[Sector]="Rural+Urban"),0))
  ),
"")</f>
        <v>150.86249999999998</v>
      </c>
      <c r="P40" s="2" t="str" cm="1">
        <f t="array" ref="P40">IFERROR(
  AVERAGE(
    INDEX(All_India_Index_Upto_April23__1___1[Cereals and products],
      MATCH(1,(All_India_Index_Upto_April23__1___1[Date]=EDATE($A40,-12))*
              (All_India_Index_Upto_April23__1___1[Sector]="Rural+Urban"),0)),
    INDEX(All_India_Index_Upto_April23__1___1[Meat and fish],
      MATCH(1,(All_India_Index_Upto_April23__1___1[Date]=EDATE($A40,-12))*
              (All_India_Index_Upto_April23__1___1[Sector]="Rural+Urban"),0)),
    INDEX(All_India_Index_Upto_April23__1___1[Egg],
      MATCH(1,(All_India_Index_Upto_April23__1___1[Date]=EDATE($A40,-12))*
              (All_India_Index_Upto_April23__1___1[Sector]="Rural+Urban"),0)),
    INDEX(All_India_Index_Upto_April23__1___1[Milk and products],
      MATCH(1,(All_India_Index_Upto_April23__1___1[Date]=EDATE($A40,-12))*
              (All_India_Index_Upto_April23__1___1[Sector]="Rural+Urban"),0)),
    INDEX(All_India_Index_Upto_April23__1___1[Oils and fats],
      MATCH(1,(All_India_Index_Upto_April23__1___1[Date]=EDATE($A40,-12))*
              (All_India_Index_Upto_April23__1___1[Sector]="Rural+Urban"),0)),
    INDEX(All_India_Index_Upto_April23__1___1[Fruits],
      MATCH(1,(All_India_Index_Upto_April23__1___1[Date]=EDATE($A40,-12))*
              (All_India_Index_Upto_April23__1___1[Sector]="Rural+Urban"),0)),
    INDEX(All_India_Index_Upto_April23__1___1[Vegetables],
      MATCH(1,(All_India_Index_Upto_April23__1___1[Date]=EDATE($A40,-12))*
              (All_India_Index_Upto_April23__1___1[Sector]="Rural+Urban"),0)),
    INDEX(All_India_Index_Upto_April23__1___1[Pulses and products],
      MATCH(1,(All_India_Index_Upto_April23__1___1[Date]=EDATE($A40,-12))*
              (All_India_Index_Upto_April23__1___1[Sector]="Rural+Urban"),0)),
    INDEX(All_India_Index_Upto_April23__1___1[Sugar and Confectionery],
      MATCH(1,(All_India_Index_Upto_April23__1___1[Date]=EDATE($A40,-12))*
              (All_India_Index_Upto_April23__1___1[Sector]="Rural+Urban"),0)),
    INDEX(All_India_Index_Upto_April23__1___1[Spices],
      MATCH(1,(All_India_Index_Upto_April23__1___1[Date]=EDATE($A40,-12))*
              (All_India_Index_Upto_April23__1___1[Sector]="Rural+Urban"),0)),
    INDEX(All_India_Index_Upto_April23__1___1[Non-alcoholic beverages],
      MATCH(1,(All_India_Index_Upto_April23__1___1[Date]=EDATE($A40,-12))*
              (All_India_Index_Upto_April23__1___1[Sector]="Rural+Urban"),0)),
    INDEX(All_India_Index_Upto_April23__1___1[Prepared meals, snacks, sweets etc.],
      MATCH(1,(All_India_Index_Upto_April23__1___1[Date]=EDATE($A40,-12))*
              (All_India_Index_Upto_April23__1___1[Sector]="Rural+Urban"),0))
  ),
"")</f>
        <v/>
      </c>
      <c r="Q40" s="8" t="str">
        <f t="shared" si="5"/>
        <v/>
      </c>
      <c r="R40" cm="1">
        <f t="array" ref="R40">IFERROR(
  INDEX(All_India_Index_Upto_April23__1___1[General index],
    MATCH(1,
      (All_India_Index_Upto_April23__1___1[Date]=$A40)*
      (All_India_Index_Upto_April23__1___1[Sector]="Rural+Urban"),
    0)
  ),
"")</f>
        <v>153.30000000000001</v>
      </c>
      <c r="S40" cm="1">
        <f t="array" ref="S40">IFERROR(
  INDEX(All_India_Index_Upto_April23__1___1[General index],
    MATCH(1,
      (All_India_Index_Upto_April23__1___1[Date]=EDATE($A40,-1))*
      (All_India_Index_Upto_April23__1___1[Sector]="Rural+Urban"),
    0)
  ),
"")</f>
        <v>148.6</v>
      </c>
      <c r="T40" s="8">
        <f t="shared" si="6"/>
        <v>3.1628532974428109E-2</v>
      </c>
    </row>
    <row r="41" spans="1:20" x14ac:dyDescent="0.2">
      <c r="A41" s="22">
        <v>43952</v>
      </c>
      <c r="B41">
        <v>2020</v>
      </c>
      <c r="C41" t="s">
        <v>40</v>
      </c>
      <c r="D41" s="2">
        <v>32</v>
      </c>
      <c r="E41" s="8">
        <f t="shared" si="1"/>
        <v>0.28125</v>
      </c>
      <c r="F41" s="8">
        <f t="shared" si="2"/>
        <v>0.28125</v>
      </c>
      <c r="G41" t="e">
        <f t="shared" si="7"/>
        <v>#N/A</v>
      </c>
      <c r="H41" s="22">
        <v>43952</v>
      </c>
      <c r="I41" cm="1">
        <f t="array" ref="I41">IFERROR(
  INDEX(All_India_Index_Upto_April23__1___1[Fuel and light],
    MATCH(1,
      (All_India_Index_Upto_April23__1___1[Date]=$A41)*
      (All_India_Index_Upto_April23__1___1[Sector]="Rural+Urban"),
    0)
  ),
"")</f>
        <v>145.1</v>
      </c>
      <c r="J41" cm="1">
        <f t="array" ref="J41">IFERROR(
  INDEX(All_India_Index_Upto_April23__1___1[Fuel and light],
    MATCH(1,
      (All_India_Index_Upto_April23__1___1[Date]=EDATE($A41,-1))*
      (All_India_Index_Upto_April23__1___1[Sector]="Rural+Urban"),
    0)
  ),
"")</f>
        <v>144.1</v>
      </c>
      <c r="K41" s="8">
        <f t="shared" si="3"/>
        <v>6.9396252602359479E-3</v>
      </c>
      <c r="L41" cm="1">
        <f t="array" ref="L41">IFERROR(
  INDEX(All_India_Index_Upto_April23__1___1[Transport and communication],
    MATCH(1,
      (All_India_Index_Upto_April23__1___1[Date]=$A41)*
      (All_India_Index_Upto_April23__1___1[Sector]="Rural+Urban"),
    0)
  ),
"")</f>
        <v>134.4</v>
      </c>
      <c r="M41" cm="1">
        <f t="array" ref="M41">IFERROR(
  INDEX(All_India_Index_Upto_April23__1___1[Transport and communication],
    MATCH(1,
      (All_India_Index_Upto_April23__1___1[Date]=EDATE($A41,-1))*
      (All_India_Index_Upto_April23__1___1[Sector]="Rural+Urban"),
    0)
  ),
"")</f>
        <v>135.75</v>
      </c>
      <c r="N41" s="8">
        <f t="shared" si="4"/>
        <v>-9.9447513812154272E-3</v>
      </c>
      <c r="O41" s="2" cm="1">
        <f t="array" ref="O41">IFERROR(
  AVERAGE(
    INDEX(All_India_Index_Upto_April23__1___1[Cereals and products],
      MATCH(1,(All_India_Index_Upto_April23__1___1[Date]=$A41)*
              (All_India_Index_Upto_April23__1___1[Sector]="Rural+Urban"),0)),
    INDEX(All_India_Index_Upto_April23__1___1[Meat and fish],
      MATCH(1,(All_India_Index_Upto_April23__1___1[Date]=$A41)*
              (All_India_Index_Upto_April23__1___1[Sector]="Rural+Urban"),0)),
    INDEX(All_India_Index_Upto_April23__1___1[Egg],
      MATCH(1,(All_India_Index_Upto_April23__1___1[Date]=$A41)*
              (All_India_Index_Upto_April23__1___1[Sector]="Rural+Urban"),0)),
    INDEX(All_India_Index_Upto_April23__1___1[Milk and products],
      MATCH(1,(All_India_Index_Upto_April23__1___1[Date]=$A41)*
              (All_India_Index_Upto_April23__1___1[Sector]="Rural+Urban"),0)),
    INDEX(All_India_Index_Upto_April23__1___1[Oils and fats],
      MATCH(1,(All_India_Index_Upto_April23__1___1[Date]=$A41)*
              (All_India_Index_Upto_April23__1___1[Sector]="Rural+Urban"),0)),
    INDEX(All_India_Index_Upto_April23__1___1[Fruits],
      MATCH(1,(All_India_Index_Upto_April23__1___1[Date]=$A41)*
              (All_India_Index_Upto_April23__1___1[Sector]="Rural+Urban"),0)),
    INDEX(All_India_Index_Upto_April23__1___1[Vegetables],
      MATCH(1,(All_India_Index_Upto_April23__1___1[Date]=$A41)*
              (All_India_Index_Upto_April23__1___1[Sector]="Rural+Urban"),0)),
    INDEX(All_India_Index_Upto_April23__1___1[Pulses and products],
      MATCH(1,(All_India_Index_Upto_April23__1___1[Date]=$A41)*
              (All_India_Index_Upto_April23__1___1[Sector]="Rural+Urban"),0)),
    INDEX(All_India_Index_Upto_April23__1___1[Sugar and Confectionery],
      MATCH(1,(All_India_Index_Upto_April23__1___1[Date]=$A41)*
              (All_India_Index_Upto_April23__1___1[Sector]="Rural+Urban"),0)),
    INDEX(All_India_Index_Upto_April23__1___1[Spices],
      MATCH(1,(All_India_Index_Upto_April23__1___1[Date]=$A41)*
              (All_India_Index_Upto_April23__1___1[Sector]="Rural+Urban"),0)),
    INDEX(All_India_Index_Upto_April23__1___1[Non-alcoholic beverages],
      MATCH(1,(All_India_Index_Upto_April23__1___1[Date]=$A41)*
              (All_India_Index_Upto_April23__1___1[Sector]="Rural+Urban"),0)),
    INDEX(All_India_Index_Upto_April23__1___1[Prepared meals, snacks, sweets etc.],
      MATCH(1,(All_India_Index_Upto_April23__1___1[Date]=$A41)*
              (All_India_Index_Upto_April23__1___1[Sector]="Rural+Urban"),0))
  ),
"")</f>
        <v>149.95000000000002</v>
      </c>
      <c r="P41" s="2" cm="1">
        <f t="array" ref="P41">IFERROR(
  AVERAGE(
    INDEX(All_India_Index_Upto_April23__1___1[Cereals and products],
      MATCH(1,(All_India_Index_Upto_April23__1___1[Date]=EDATE($A41,-12))*
              (All_India_Index_Upto_April23__1___1[Sector]="Rural+Urban"),0)),
    INDEX(All_India_Index_Upto_April23__1___1[Meat and fish],
      MATCH(1,(All_India_Index_Upto_April23__1___1[Date]=EDATE($A41,-12))*
              (All_India_Index_Upto_April23__1___1[Sector]="Rural+Urban"),0)),
    INDEX(All_India_Index_Upto_April23__1___1[Egg],
      MATCH(1,(All_India_Index_Upto_April23__1___1[Date]=EDATE($A41,-12))*
              (All_India_Index_Upto_April23__1___1[Sector]="Rural+Urban"),0)),
    INDEX(All_India_Index_Upto_April23__1___1[Milk and products],
      MATCH(1,(All_India_Index_Upto_April23__1___1[Date]=EDATE($A41,-12))*
              (All_India_Index_Upto_April23__1___1[Sector]="Rural+Urban"),0)),
    INDEX(All_India_Index_Upto_April23__1___1[Oils and fats],
      MATCH(1,(All_India_Index_Upto_April23__1___1[Date]=EDATE($A41,-12))*
              (All_India_Index_Upto_April23__1___1[Sector]="Rural+Urban"),0)),
    INDEX(All_India_Index_Upto_April23__1___1[Fruits],
      MATCH(1,(All_India_Index_Upto_April23__1___1[Date]=EDATE($A41,-12))*
              (All_India_Index_Upto_April23__1___1[Sector]="Rural+Urban"),0)),
    INDEX(All_India_Index_Upto_April23__1___1[Vegetables],
      MATCH(1,(All_India_Index_Upto_April23__1___1[Date]=EDATE($A41,-12))*
              (All_India_Index_Upto_April23__1___1[Sector]="Rural+Urban"),0)),
    INDEX(All_India_Index_Upto_April23__1___1[Pulses and products],
      MATCH(1,(All_India_Index_Upto_April23__1___1[Date]=EDATE($A41,-12))*
              (All_India_Index_Upto_April23__1___1[Sector]="Rural+Urban"),0)),
    INDEX(All_India_Index_Upto_April23__1___1[Sugar and Confectionery],
      MATCH(1,(All_India_Index_Upto_April23__1___1[Date]=EDATE($A41,-12))*
              (All_India_Index_Upto_April23__1___1[Sector]="Rural+Urban"),0)),
    INDEX(All_India_Index_Upto_April23__1___1[Spices],
      MATCH(1,(All_India_Index_Upto_April23__1___1[Date]=EDATE($A41,-12))*
              (All_India_Index_Upto_April23__1___1[Sector]="Rural+Urban"),0)),
    INDEX(All_India_Index_Upto_April23__1___1[Non-alcoholic beverages],
      MATCH(1,(All_India_Index_Upto_April23__1___1[Date]=EDATE($A41,-12))*
              (All_India_Index_Upto_April23__1___1[Sector]="Rural+Urban"),0)),
    INDEX(All_India_Index_Upto_April23__1___1[Prepared meals, snacks, sweets etc.],
      MATCH(1,(All_India_Index_Upto_April23__1___1[Date]=EDATE($A41,-12))*
              (All_India_Index_Upto_April23__1___1[Sector]="Rural+Urban"),0))
  ),
"")</f>
        <v>137.58333333333334</v>
      </c>
      <c r="Q41" s="8">
        <f t="shared" si="5"/>
        <v>8.9884918231374969E-2</v>
      </c>
      <c r="R41" cm="1">
        <f t="array" ref="R41">IFERROR(
  INDEX(All_India_Index_Upto_April23__1___1[General index],
    MATCH(1,
      (All_India_Index_Upto_April23__1___1[Date]=$A41)*
      (All_India_Index_Upto_April23__1___1[Sector]="Rural+Urban"),
    0)
  ),
"")</f>
        <v>151.5</v>
      </c>
      <c r="S41" cm="1">
        <f t="array" ref="S41">IFERROR(
  INDEX(All_India_Index_Upto_April23__1___1[General index],
    MATCH(1,
      (All_India_Index_Upto_April23__1___1[Date]=EDATE($A41,-1))*
      (All_India_Index_Upto_April23__1___1[Sector]="Rural+Urban"),
    0)
  ),
"")</f>
        <v>153.30000000000001</v>
      </c>
      <c r="T41" s="8">
        <f t="shared" si="6"/>
        <v>-1.1741682974559761E-2</v>
      </c>
    </row>
    <row r="42" spans="1:20" x14ac:dyDescent="0.2">
      <c r="A42" s="22">
        <v>43983</v>
      </c>
      <c r="B42">
        <v>2020</v>
      </c>
      <c r="C42" t="s">
        <v>41</v>
      </c>
      <c r="D42" s="2">
        <v>41</v>
      </c>
      <c r="E42" s="8">
        <f t="shared" si="1"/>
        <v>4.878048780487805E-2</v>
      </c>
      <c r="F42" s="8">
        <f t="shared" si="2"/>
        <v>4.878048780487805E-2</v>
      </c>
      <c r="G42" t="e">
        <f t="shared" si="7"/>
        <v>#N/A</v>
      </c>
      <c r="H42" s="22">
        <v>43983</v>
      </c>
      <c r="I42" cm="1">
        <f t="array" ref="I42">IFERROR(
  INDEX(All_India_Index_Upto_April23__1___1[Fuel and light],
    MATCH(1,
      (All_India_Index_Upto_April23__1___1[Date]=$A42)*
      (All_India_Index_Upto_April23__1___1[Sector]="Rural+Urban"),
    0)
  ),
"")</f>
        <v>141.9</v>
      </c>
      <c r="J42" cm="1">
        <f t="array" ref="J42">IFERROR(
  INDEX(All_India_Index_Upto_April23__1___1[Fuel and light],
    MATCH(1,
      (All_India_Index_Upto_April23__1___1[Date]=EDATE($A42,-1))*
      (All_India_Index_Upto_April23__1___1[Sector]="Rural+Urban"),
    0)
  ),
"")</f>
        <v>145.1</v>
      </c>
      <c r="K42" s="8">
        <f t="shared" si="3"/>
        <v>-2.2053756030323838E-2</v>
      </c>
      <c r="L42" cm="1">
        <f t="array" ref="L42">IFERROR(
  INDEX(All_India_Index_Upto_April23__1___1[Transport and communication],
    MATCH(1,
      (All_India_Index_Upto_April23__1___1[Date]=$A42)*
      (All_India_Index_Upto_April23__1___1[Sector]="Rural+Urban"),
    0)
  ),
"")</f>
        <v>135</v>
      </c>
      <c r="M42" cm="1">
        <f t="array" ref="M42">IFERROR(
  INDEX(All_India_Index_Upto_April23__1___1[Transport and communication],
    MATCH(1,
      (All_India_Index_Upto_April23__1___1[Date]=EDATE($A42,-1))*
      (All_India_Index_Upto_April23__1___1[Sector]="Rural+Urban"),
    0)
  ),
"")</f>
        <v>134.4</v>
      </c>
      <c r="N42" s="8">
        <f t="shared" si="4"/>
        <v>4.4642857142856715E-3</v>
      </c>
      <c r="O42" s="2" cm="1">
        <f t="array" ref="O42">IFERROR(
  AVERAGE(
    INDEX(All_India_Index_Upto_April23__1___1[Cereals and products],
      MATCH(1,(All_India_Index_Upto_April23__1___1[Date]=$A42)*
              (All_India_Index_Upto_April23__1___1[Sector]="Rural+Urban"),0)),
    INDEX(All_India_Index_Upto_April23__1___1[Meat and fish],
      MATCH(1,(All_India_Index_Upto_April23__1___1[Date]=$A42)*
              (All_India_Index_Upto_April23__1___1[Sector]="Rural+Urban"),0)),
    INDEX(All_India_Index_Upto_April23__1___1[Egg],
      MATCH(1,(All_India_Index_Upto_April23__1___1[Date]=$A42)*
              (All_India_Index_Upto_April23__1___1[Sector]="Rural+Urban"),0)),
    INDEX(All_India_Index_Upto_April23__1___1[Milk and products],
      MATCH(1,(All_India_Index_Upto_April23__1___1[Date]=$A42)*
              (All_India_Index_Upto_April23__1___1[Sector]="Rural+Urban"),0)),
    INDEX(All_India_Index_Upto_April23__1___1[Oils and fats],
      MATCH(1,(All_India_Index_Upto_April23__1___1[Date]=$A42)*
              (All_India_Index_Upto_April23__1___1[Sector]="Rural+Urban"),0)),
    INDEX(All_India_Index_Upto_April23__1___1[Fruits],
      MATCH(1,(All_India_Index_Upto_April23__1___1[Date]=$A42)*
              (All_India_Index_Upto_April23__1___1[Sector]="Rural+Urban"),0)),
    INDEX(All_India_Index_Upto_April23__1___1[Vegetables],
      MATCH(1,(All_India_Index_Upto_April23__1___1[Date]=$A42)*
              (All_India_Index_Upto_April23__1___1[Sector]="Rural+Urban"),0)),
    INDEX(All_India_Index_Upto_April23__1___1[Pulses and products],
      MATCH(1,(All_India_Index_Upto_April23__1___1[Date]=$A42)*
              (All_India_Index_Upto_April23__1___1[Sector]="Rural+Urban"),0)),
    INDEX(All_India_Index_Upto_April23__1___1[Sugar and Confectionery],
      MATCH(1,(All_India_Index_Upto_April23__1___1[Date]=$A42)*
              (All_India_Index_Upto_April23__1___1[Sector]="Rural+Urban"),0)),
    INDEX(All_India_Index_Upto_April23__1___1[Spices],
      MATCH(1,(All_India_Index_Upto_April23__1___1[Date]=$A42)*
              (All_India_Index_Upto_April23__1___1[Sector]="Rural+Urban"),0)),
    INDEX(All_India_Index_Upto_April23__1___1[Non-alcoholic beverages],
      MATCH(1,(All_India_Index_Upto_April23__1___1[Date]=$A42)*
              (All_India_Index_Upto_April23__1___1[Sector]="Rural+Urban"),0)),
    INDEX(All_India_Index_Upto_April23__1___1[Prepared meals, snacks, sweets etc.],
      MATCH(1,(All_India_Index_Upto_April23__1___1[Date]=$A42)*
              (All_India_Index_Upto_April23__1___1[Sector]="Rural+Urban"),0))
  ),
"")</f>
        <v>151.06666666666669</v>
      </c>
      <c r="P42" s="2" cm="1">
        <f t="array" ref="P42">IFERROR(
  AVERAGE(
    INDEX(All_India_Index_Upto_April23__1___1[Cereals and products],
      MATCH(1,(All_India_Index_Upto_April23__1___1[Date]=EDATE($A42,-12))*
              (All_India_Index_Upto_April23__1___1[Sector]="Rural+Urban"),0)),
    INDEX(All_India_Index_Upto_April23__1___1[Meat and fish],
      MATCH(1,(All_India_Index_Upto_April23__1___1[Date]=EDATE($A42,-12))*
              (All_India_Index_Upto_April23__1___1[Sector]="Rural+Urban"),0)),
    INDEX(All_India_Index_Upto_April23__1___1[Egg],
      MATCH(1,(All_India_Index_Upto_April23__1___1[Date]=EDATE($A42,-12))*
              (All_India_Index_Upto_April23__1___1[Sector]="Rural+Urban"),0)),
    INDEX(All_India_Index_Upto_April23__1___1[Milk and products],
      MATCH(1,(All_India_Index_Upto_April23__1___1[Date]=EDATE($A42,-12))*
              (All_India_Index_Upto_April23__1___1[Sector]="Rural+Urban"),0)),
    INDEX(All_India_Index_Upto_April23__1___1[Oils and fats],
      MATCH(1,(All_India_Index_Upto_April23__1___1[Date]=EDATE($A42,-12))*
              (All_India_Index_Upto_April23__1___1[Sector]="Rural+Urban"),0)),
    INDEX(All_India_Index_Upto_April23__1___1[Fruits],
      MATCH(1,(All_India_Index_Upto_April23__1___1[Date]=EDATE($A42,-12))*
              (All_India_Index_Upto_April23__1___1[Sector]="Rural+Urban"),0)),
    INDEX(All_India_Index_Upto_April23__1___1[Vegetables],
      MATCH(1,(All_India_Index_Upto_April23__1___1[Date]=EDATE($A42,-12))*
              (All_India_Index_Upto_April23__1___1[Sector]="Rural+Urban"),0)),
    INDEX(All_India_Index_Upto_April23__1___1[Pulses and products],
      MATCH(1,(All_India_Index_Upto_April23__1___1[Date]=EDATE($A42,-12))*
              (All_India_Index_Upto_April23__1___1[Sector]="Rural+Urban"),0)),
    INDEX(All_India_Index_Upto_April23__1___1[Sugar and Confectionery],
      MATCH(1,(All_India_Index_Upto_April23__1___1[Date]=EDATE($A42,-12))*
              (All_India_Index_Upto_April23__1___1[Sector]="Rural+Urban"),0)),
    INDEX(All_India_Index_Upto_April23__1___1[Spices],
      MATCH(1,(All_India_Index_Upto_April23__1___1[Date]=EDATE($A42,-12))*
              (All_India_Index_Upto_April23__1___1[Sector]="Rural+Urban"),0)),
    INDEX(All_India_Index_Upto_April23__1___1[Non-alcoholic beverages],
      MATCH(1,(All_India_Index_Upto_April23__1___1[Date]=EDATE($A42,-12))*
              (All_India_Index_Upto_April23__1___1[Sector]="Rural+Urban"),0)),
    INDEX(All_India_Index_Upto_April23__1___1[Prepared meals, snacks, sweets etc.],
      MATCH(1,(All_India_Index_Upto_April23__1___1[Date]=EDATE($A42,-12))*
              (All_India_Index_Upto_April23__1___1[Sector]="Rural+Urban"),0))
  ),
"")</f>
        <v>139.28333333333333</v>
      </c>
      <c r="Q42" s="8">
        <f t="shared" si="5"/>
        <v>8.4599736747636906E-2</v>
      </c>
      <c r="R42" cm="1">
        <f t="array" ref="R42">IFERROR(
  INDEX(All_India_Index_Upto_April23__1___1[General index],
    MATCH(1,
      (All_India_Index_Upto_April23__1___1[Date]=$A42)*
      (All_India_Index_Upto_April23__1___1[Sector]="Rural+Urban"),
    0)
  ),
"")</f>
        <v>151.80000000000001</v>
      </c>
      <c r="S42" cm="1">
        <f t="array" ref="S42">IFERROR(
  INDEX(All_India_Index_Upto_April23__1___1[General index],
    MATCH(1,
      (All_India_Index_Upto_April23__1___1[Date]=EDATE($A42,-1))*
      (All_India_Index_Upto_April23__1___1[Sector]="Rural+Urban"),
    0)
  ),
"")</f>
        <v>151.5</v>
      </c>
      <c r="T42" s="8">
        <f t="shared" si="6"/>
        <v>1.9801980198020552E-3</v>
      </c>
    </row>
    <row r="43" spans="1:20" x14ac:dyDescent="0.2">
      <c r="A43" s="22">
        <v>44013</v>
      </c>
      <c r="B43">
        <v>2020</v>
      </c>
      <c r="C43" t="s">
        <v>43</v>
      </c>
      <c r="D43" s="2">
        <v>43</v>
      </c>
      <c r="E43" s="8">
        <f t="shared" si="1"/>
        <v>4.6511627906976744E-2</v>
      </c>
      <c r="F43" s="8">
        <f t="shared" si="2"/>
        <v>4.6511627906976744E-2</v>
      </c>
      <c r="G43" t="e">
        <f t="shared" si="7"/>
        <v>#N/A</v>
      </c>
      <c r="H43" s="22">
        <v>44013</v>
      </c>
      <c r="I43" cm="1">
        <f t="array" ref="I43">IFERROR(
  INDEX(All_India_Index_Upto_April23__1___1[Fuel and light],
    MATCH(1,
      (All_India_Index_Upto_April23__1___1[Date]=$A43)*
      (All_India_Index_Upto_April23__1___1[Sector]="Rural+Urban"),
    0)
  ),
"")</f>
        <v>141.9</v>
      </c>
      <c r="J43" cm="1">
        <f t="array" ref="J43">IFERROR(
  INDEX(All_India_Index_Upto_April23__1___1[Fuel and light],
    MATCH(1,
      (All_India_Index_Upto_April23__1___1[Date]=EDATE($A43,-1))*
      (All_India_Index_Upto_April23__1___1[Sector]="Rural+Urban"),
    0)
  ),
"")</f>
        <v>141.9</v>
      </c>
      <c r="K43" s="8">
        <f t="shared" si="3"/>
        <v>0</v>
      </c>
      <c r="L43" cm="1">
        <f t="array" ref="L43">IFERROR(
  INDEX(All_India_Index_Upto_April23__1___1[Transport and communication],
    MATCH(1,
      (All_India_Index_Upto_April23__1___1[Date]=$A43)*
      (All_India_Index_Upto_April23__1___1[Sector]="Rural+Urban"),
    0)
  ),
"")</f>
        <v>135</v>
      </c>
      <c r="M43" cm="1">
        <f t="array" ref="M43">IFERROR(
  INDEX(All_India_Index_Upto_April23__1___1[Transport and communication],
    MATCH(1,
      (All_India_Index_Upto_April23__1___1[Date]=EDATE($A43,-1))*
      (All_India_Index_Upto_April23__1___1[Sector]="Rural+Urban"),
    0)
  ),
"")</f>
        <v>135</v>
      </c>
      <c r="N43" s="8">
        <f t="shared" si="4"/>
        <v>0</v>
      </c>
      <c r="O43" s="2" cm="1">
        <f t="array" ref="O43">IFERROR(
  AVERAGE(
    INDEX(All_India_Index_Upto_April23__1___1[Cereals and products],
      MATCH(1,(All_India_Index_Upto_April23__1___1[Date]=$A43)*
              (All_India_Index_Upto_April23__1___1[Sector]="Rural+Urban"),0)),
    INDEX(All_India_Index_Upto_April23__1___1[Meat and fish],
      MATCH(1,(All_India_Index_Upto_April23__1___1[Date]=$A43)*
              (All_India_Index_Upto_April23__1___1[Sector]="Rural+Urban"),0)),
    INDEX(All_India_Index_Upto_April23__1___1[Egg],
      MATCH(1,(All_India_Index_Upto_April23__1___1[Date]=$A43)*
              (All_India_Index_Upto_April23__1___1[Sector]="Rural+Urban"),0)),
    INDEX(All_India_Index_Upto_April23__1___1[Milk and products],
      MATCH(1,(All_India_Index_Upto_April23__1___1[Date]=$A43)*
              (All_India_Index_Upto_April23__1___1[Sector]="Rural+Urban"),0)),
    INDEX(All_India_Index_Upto_April23__1___1[Oils and fats],
      MATCH(1,(All_India_Index_Upto_April23__1___1[Date]=$A43)*
              (All_India_Index_Upto_April23__1___1[Sector]="Rural+Urban"),0)),
    INDEX(All_India_Index_Upto_April23__1___1[Fruits],
      MATCH(1,(All_India_Index_Upto_April23__1___1[Date]=$A43)*
              (All_India_Index_Upto_April23__1___1[Sector]="Rural+Urban"),0)),
    INDEX(All_India_Index_Upto_April23__1___1[Vegetables],
      MATCH(1,(All_India_Index_Upto_April23__1___1[Date]=$A43)*
              (All_India_Index_Upto_April23__1___1[Sector]="Rural+Urban"),0)),
    INDEX(All_India_Index_Upto_April23__1___1[Pulses and products],
      MATCH(1,(All_India_Index_Upto_April23__1___1[Date]=$A43)*
              (All_India_Index_Upto_April23__1___1[Sector]="Rural+Urban"),0)),
    INDEX(All_India_Index_Upto_April23__1___1[Sugar and Confectionery],
      MATCH(1,(All_India_Index_Upto_April23__1___1[Date]=$A43)*
              (All_India_Index_Upto_April23__1___1[Sector]="Rural+Urban"),0)),
    INDEX(All_India_Index_Upto_April23__1___1[Spices],
      MATCH(1,(All_India_Index_Upto_April23__1___1[Date]=$A43)*
              (All_India_Index_Upto_April23__1___1[Sector]="Rural+Urban"),0)),
    INDEX(All_India_Index_Upto_April23__1___1[Non-alcoholic beverages],
      MATCH(1,(All_India_Index_Upto_April23__1___1[Date]=$A43)*
              (All_India_Index_Upto_April23__1___1[Sector]="Rural+Urban"),0)),
    INDEX(All_India_Index_Upto_April23__1___1[Prepared meals, snacks, sweets etc.],
      MATCH(1,(All_India_Index_Upto_April23__1___1[Date]=$A43)*
              (All_India_Index_Upto_April23__1___1[Sector]="Rural+Urban"),0))
  ),
"")</f>
        <v>151.06666666666669</v>
      </c>
      <c r="P43" s="2" cm="1">
        <f t="array" ref="P43">IFERROR(
  AVERAGE(
    INDEX(All_India_Index_Upto_April23__1___1[Cereals and products],
      MATCH(1,(All_India_Index_Upto_April23__1___1[Date]=EDATE($A43,-12))*
              (All_India_Index_Upto_April23__1___1[Sector]="Rural+Urban"),0)),
    INDEX(All_India_Index_Upto_April23__1___1[Meat and fish],
      MATCH(1,(All_India_Index_Upto_April23__1___1[Date]=EDATE($A43,-12))*
              (All_India_Index_Upto_April23__1___1[Sector]="Rural+Urban"),0)),
    INDEX(All_India_Index_Upto_April23__1___1[Egg],
      MATCH(1,(All_India_Index_Upto_April23__1___1[Date]=EDATE($A43,-12))*
              (All_India_Index_Upto_April23__1___1[Sector]="Rural+Urban"),0)),
    INDEX(All_India_Index_Upto_April23__1___1[Milk and products],
      MATCH(1,(All_India_Index_Upto_April23__1___1[Date]=EDATE($A43,-12))*
              (All_India_Index_Upto_April23__1___1[Sector]="Rural+Urban"),0)),
    INDEX(All_India_Index_Upto_April23__1___1[Oils and fats],
      MATCH(1,(All_India_Index_Upto_April23__1___1[Date]=EDATE($A43,-12))*
              (All_India_Index_Upto_April23__1___1[Sector]="Rural+Urban"),0)),
    INDEX(All_India_Index_Upto_April23__1___1[Fruits],
      MATCH(1,(All_India_Index_Upto_April23__1___1[Date]=EDATE($A43,-12))*
              (All_India_Index_Upto_April23__1___1[Sector]="Rural+Urban"),0)),
    INDEX(All_India_Index_Upto_April23__1___1[Vegetables],
      MATCH(1,(All_India_Index_Upto_April23__1___1[Date]=EDATE($A43,-12))*
              (All_India_Index_Upto_April23__1___1[Sector]="Rural+Urban"),0)),
    INDEX(All_India_Index_Upto_April23__1___1[Pulses and products],
      MATCH(1,(All_India_Index_Upto_April23__1___1[Date]=EDATE($A43,-12))*
              (All_India_Index_Upto_April23__1___1[Sector]="Rural+Urban"),0)),
    INDEX(All_India_Index_Upto_April23__1___1[Sugar and Confectionery],
      MATCH(1,(All_India_Index_Upto_April23__1___1[Date]=EDATE($A43,-12))*
              (All_India_Index_Upto_April23__1___1[Sector]="Rural+Urban"),0)),
    INDEX(All_India_Index_Upto_April23__1___1[Spices],
      MATCH(1,(All_India_Index_Upto_April23__1___1[Date]=EDATE($A43,-12))*
              (All_India_Index_Upto_April23__1___1[Sector]="Rural+Urban"),0)),
    INDEX(All_India_Index_Upto_April23__1___1[Non-alcoholic beverages],
      MATCH(1,(All_India_Index_Upto_April23__1___1[Date]=EDATE($A43,-12))*
              (All_India_Index_Upto_April23__1___1[Sector]="Rural+Urban"),0)),
    INDEX(All_India_Index_Upto_April23__1___1[Prepared meals, snacks, sweets etc.],
      MATCH(1,(All_India_Index_Upto_April23__1___1[Date]=EDATE($A43,-12))*
              (All_India_Index_Upto_April23__1___1[Sector]="Rural+Urban"),0))
  ),
"")</f>
        <v>141.06666666666666</v>
      </c>
      <c r="Q43" s="8">
        <f t="shared" si="5"/>
        <v>7.0888468809073929E-2</v>
      </c>
      <c r="R43" cm="1">
        <f t="array" ref="R43">IFERROR(
  INDEX(All_India_Index_Upto_April23__1___1[General index],
    MATCH(1,
      (All_India_Index_Upto_April23__1___1[Date]=$A43)*
      (All_India_Index_Upto_April23__1___1[Sector]="Rural+Urban"),
    0)
  ),
"")</f>
        <v>151.80000000000001</v>
      </c>
      <c r="S43" cm="1">
        <f t="array" ref="S43">IFERROR(
  INDEX(All_India_Index_Upto_April23__1___1[General index],
    MATCH(1,
      (All_India_Index_Upto_April23__1___1[Date]=EDATE($A43,-1))*
      (All_India_Index_Upto_April23__1___1[Sector]="Rural+Urban"),
    0)
  ),
"")</f>
        <v>151.80000000000001</v>
      </c>
      <c r="T43" s="8">
        <f t="shared" si="6"/>
        <v>0</v>
      </c>
    </row>
    <row r="44" spans="1:20" x14ac:dyDescent="0.2">
      <c r="A44" s="22">
        <v>44044</v>
      </c>
      <c r="B44">
        <v>2020</v>
      </c>
      <c r="C44" t="s">
        <v>45</v>
      </c>
      <c r="D44" s="2">
        <v>45</v>
      </c>
      <c r="E44" s="8">
        <f t="shared" si="1"/>
        <v>-8.8888888888888892E-2</v>
      </c>
      <c r="F44" s="8">
        <f t="shared" si="2"/>
        <v>-8.8888888888888892E-2</v>
      </c>
      <c r="G44" t="e">
        <f t="shared" si="7"/>
        <v>#N/A</v>
      </c>
      <c r="H44" s="22">
        <v>44044</v>
      </c>
      <c r="I44" cm="1">
        <f t="array" ref="I44">IFERROR(
  INDEX(All_India_Index_Upto_April23__1___1[Fuel and light],
    MATCH(1,
      (All_India_Index_Upto_April23__1___1[Date]=$A44)*
      (All_India_Index_Upto_April23__1___1[Sector]="Rural+Urban"),
    0)
  ),
"")</f>
        <v>143</v>
      </c>
      <c r="J44" cm="1">
        <f t="array" ref="J44">IFERROR(
  INDEX(All_India_Index_Upto_April23__1___1[Fuel and light],
    MATCH(1,
      (All_India_Index_Upto_April23__1___1[Date]=EDATE($A44,-1))*
      (All_India_Index_Upto_April23__1___1[Sector]="Rural+Urban"),
    0)
  ),
"")</f>
        <v>141.9</v>
      </c>
      <c r="K44" s="8">
        <f t="shared" si="3"/>
        <v>7.751937984496084E-3</v>
      </c>
      <c r="L44" cm="1">
        <f t="array" ref="L44">IFERROR(
  INDEX(All_India_Index_Upto_April23__1___1[Transport and communication],
    MATCH(1,
      (All_India_Index_Upto_April23__1___1[Date]=$A44)*
      (All_India_Index_Upto_April23__1___1[Sector]="Rural+Urban"),
    0)
  ),
"")</f>
        <v>138.5</v>
      </c>
      <c r="M44" cm="1">
        <f t="array" ref="M44">IFERROR(
  INDEX(All_India_Index_Upto_April23__1___1[Transport and communication],
    MATCH(1,
      (All_India_Index_Upto_April23__1___1[Date]=EDATE($A44,-1))*
      (All_India_Index_Upto_April23__1___1[Sector]="Rural+Urban"),
    0)
  ),
"")</f>
        <v>135</v>
      </c>
      <c r="N44" s="8">
        <f t="shared" si="4"/>
        <v>2.5925925925925925E-2</v>
      </c>
      <c r="O44" s="2" cm="1">
        <f t="array" ref="O44">IFERROR(
  AVERAGE(
    INDEX(All_India_Index_Upto_April23__1___1[Cereals and products],
      MATCH(1,(All_India_Index_Upto_April23__1___1[Date]=$A44)*
              (All_India_Index_Upto_April23__1___1[Sector]="Rural+Urban"),0)),
    INDEX(All_India_Index_Upto_April23__1___1[Meat and fish],
      MATCH(1,(All_India_Index_Upto_April23__1___1[Date]=$A44)*
              (All_India_Index_Upto_April23__1___1[Sector]="Rural+Urban"),0)),
    INDEX(All_India_Index_Upto_April23__1___1[Egg],
      MATCH(1,(All_India_Index_Upto_April23__1___1[Date]=$A44)*
              (All_India_Index_Upto_April23__1___1[Sector]="Rural+Urban"),0)),
    INDEX(All_India_Index_Upto_April23__1___1[Milk and products],
      MATCH(1,(All_India_Index_Upto_April23__1___1[Date]=$A44)*
              (All_India_Index_Upto_April23__1___1[Sector]="Rural+Urban"),0)),
    INDEX(All_India_Index_Upto_April23__1___1[Oils and fats],
      MATCH(1,(All_India_Index_Upto_April23__1___1[Date]=$A44)*
              (All_India_Index_Upto_April23__1___1[Sector]="Rural+Urban"),0)),
    INDEX(All_India_Index_Upto_April23__1___1[Fruits],
      MATCH(1,(All_India_Index_Upto_April23__1___1[Date]=$A44)*
              (All_India_Index_Upto_April23__1___1[Sector]="Rural+Urban"),0)),
    INDEX(All_India_Index_Upto_April23__1___1[Vegetables],
      MATCH(1,(All_India_Index_Upto_April23__1___1[Date]=$A44)*
              (All_India_Index_Upto_April23__1___1[Sector]="Rural+Urban"),0)),
    INDEX(All_India_Index_Upto_April23__1___1[Pulses and products],
      MATCH(1,(All_India_Index_Upto_April23__1___1[Date]=$A44)*
              (All_India_Index_Upto_April23__1___1[Sector]="Rural+Urban"),0)),
    INDEX(All_India_Index_Upto_April23__1___1[Sugar and Confectionery],
      MATCH(1,(All_India_Index_Upto_April23__1___1[Date]=$A44)*
              (All_India_Index_Upto_April23__1___1[Sector]="Rural+Urban"),0)),
    INDEX(All_India_Index_Upto_April23__1___1[Spices],
      MATCH(1,(All_India_Index_Upto_April23__1___1[Date]=$A44)*
              (All_India_Index_Upto_April23__1___1[Sector]="Rural+Urban"),0)),
    INDEX(All_India_Index_Upto_April23__1___1[Non-alcoholic beverages],
      MATCH(1,(All_India_Index_Upto_April23__1___1[Date]=$A44)*
              (All_India_Index_Upto_April23__1___1[Sector]="Rural+Urban"),0)),
    INDEX(All_India_Index_Upto_April23__1___1[Prepared meals, snacks, sweets etc.],
      MATCH(1,(All_India_Index_Upto_April23__1___1[Date]=$A44)*
              (All_India_Index_Upto_April23__1___1[Sector]="Rural+Urban"),0))
  ),
"")</f>
        <v>153.18333333333331</v>
      </c>
      <c r="P44" s="2" cm="1">
        <f t="array" ref="P44">IFERROR(
  AVERAGE(
    INDEX(All_India_Index_Upto_April23__1___1[Cereals and products],
      MATCH(1,(All_India_Index_Upto_April23__1___1[Date]=EDATE($A44,-12))*
              (All_India_Index_Upto_April23__1___1[Sector]="Rural+Urban"),0)),
    INDEX(All_India_Index_Upto_April23__1___1[Meat and fish],
      MATCH(1,(All_India_Index_Upto_April23__1___1[Date]=EDATE($A44,-12))*
              (All_India_Index_Upto_April23__1___1[Sector]="Rural+Urban"),0)),
    INDEX(All_India_Index_Upto_April23__1___1[Egg],
      MATCH(1,(All_India_Index_Upto_April23__1___1[Date]=EDATE($A44,-12))*
              (All_India_Index_Upto_April23__1___1[Sector]="Rural+Urban"),0)),
    INDEX(All_India_Index_Upto_April23__1___1[Milk and products],
      MATCH(1,(All_India_Index_Upto_April23__1___1[Date]=EDATE($A44,-12))*
              (All_India_Index_Upto_April23__1___1[Sector]="Rural+Urban"),0)),
    INDEX(All_India_Index_Upto_April23__1___1[Oils and fats],
      MATCH(1,(All_India_Index_Upto_April23__1___1[Date]=EDATE($A44,-12))*
              (All_India_Index_Upto_April23__1___1[Sector]="Rural+Urban"),0)),
    INDEX(All_India_Index_Upto_April23__1___1[Fruits],
      MATCH(1,(All_India_Index_Upto_April23__1___1[Date]=EDATE($A44,-12))*
              (All_India_Index_Upto_April23__1___1[Sector]="Rural+Urban"),0)),
    INDEX(All_India_Index_Upto_April23__1___1[Vegetables],
      MATCH(1,(All_India_Index_Upto_April23__1___1[Date]=EDATE($A44,-12))*
              (All_India_Index_Upto_April23__1___1[Sector]="Rural+Urban"),0)),
    INDEX(All_India_Index_Upto_April23__1___1[Pulses and products],
      MATCH(1,(All_India_Index_Upto_April23__1___1[Date]=EDATE($A44,-12))*
              (All_India_Index_Upto_April23__1___1[Sector]="Rural+Urban"),0)),
    INDEX(All_India_Index_Upto_April23__1___1[Sugar and Confectionery],
      MATCH(1,(All_India_Index_Upto_April23__1___1[Date]=EDATE($A44,-12))*
              (All_India_Index_Upto_April23__1___1[Sector]="Rural+Urban"),0)),
    INDEX(All_India_Index_Upto_April23__1___1[Spices],
      MATCH(1,(All_India_Index_Upto_April23__1___1[Date]=EDATE($A44,-12))*
              (All_India_Index_Upto_April23__1___1[Sector]="Rural+Urban"),0)),
    INDEX(All_India_Index_Upto_April23__1___1[Non-alcoholic beverages],
      MATCH(1,(All_India_Index_Upto_April23__1___1[Date]=EDATE($A44,-12))*
              (All_India_Index_Upto_April23__1___1[Sector]="Rural+Urban"),0)),
    INDEX(All_India_Index_Upto_April23__1___1[Prepared meals, snacks, sweets etc.],
      MATCH(1,(All_India_Index_Upto_April23__1___1[Date]=EDATE($A44,-12))*
              (All_India_Index_Upto_April23__1___1[Sector]="Rural+Urban"),0))
  ),
"")</f>
        <v>141.71666666666667</v>
      </c>
      <c r="Q44" s="8">
        <f t="shared" si="5"/>
        <v>8.0912619075620182E-2</v>
      </c>
      <c r="R44" cm="1">
        <f t="array" ref="R44">IFERROR(
  INDEX(All_India_Index_Upto_April23__1___1[General index],
    MATCH(1,
      (All_India_Index_Upto_April23__1___1[Date]=$A44)*
      (All_India_Index_Upto_April23__1___1[Sector]="Rural+Urban"),
    0)
  ),
"")</f>
        <v>153.9</v>
      </c>
      <c r="S44" cm="1">
        <f t="array" ref="S44">IFERROR(
  INDEX(All_India_Index_Upto_April23__1___1[General index],
    MATCH(1,
      (All_India_Index_Upto_April23__1___1[Date]=EDATE($A44,-1))*
      (All_India_Index_Upto_April23__1___1[Sector]="Rural+Urban"),
    0)
  ),
"")</f>
        <v>151.80000000000001</v>
      </c>
      <c r="T44" s="8">
        <f t="shared" si="6"/>
        <v>1.3833992094861622E-2</v>
      </c>
    </row>
    <row r="45" spans="1:20" x14ac:dyDescent="0.2">
      <c r="A45" s="22">
        <v>44075</v>
      </c>
      <c r="B45">
        <v>2020</v>
      </c>
      <c r="C45" t="s">
        <v>47</v>
      </c>
      <c r="D45" s="2">
        <v>41</v>
      </c>
      <c r="E45" s="8">
        <f t="shared" si="1"/>
        <v>-4.878048780487805E-2</v>
      </c>
      <c r="F45" s="8">
        <f t="shared" si="2"/>
        <v>-4.878048780487805E-2</v>
      </c>
      <c r="G45" t="e">
        <f t="shared" si="7"/>
        <v>#N/A</v>
      </c>
      <c r="H45" s="22">
        <v>44075</v>
      </c>
      <c r="I45" cm="1">
        <f t="array" ref="I45">IFERROR(
  INDEX(All_India_Index_Upto_April23__1___1[Fuel and light],
    MATCH(1,
      (All_India_Index_Upto_April23__1___1[Date]=$A45)*
      (All_India_Index_Upto_April23__1___1[Sector]="Rural+Urban"),
    0)
  ),
"")</f>
        <v>142.9</v>
      </c>
      <c r="J45" cm="1">
        <f t="array" ref="J45">IFERROR(
  INDEX(All_India_Index_Upto_April23__1___1[Fuel and light],
    MATCH(1,
      (All_India_Index_Upto_April23__1___1[Date]=EDATE($A45,-1))*
      (All_India_Index_Upto_April23__1___1[Sector]="Rural+Urban"),
    0)
  ),
"")</f>
        <v>143</v>
      </c>
      <c r="K45" s="8">
        <f t="shared" si="3"/>
        <v>-6.9930069930065951E-4</v>
      </c>
      <c r="L45" cm="1">
        <f t="array" ref="L45">IFERROR(
  INDEX(All_India_Index_Upto_April23__1___1[Transport and communication],
    MATCH(1,
      (All_India_Index_Upto_April23__1___1[Date]=$A45)*
      (All_India_Index_Upto_April23__1___1[Sector]="Rural+Urban"),
    0)
  ),
"")</f>
        <v>139.6</v>
      </c>
      <c r="M45" cm="1">
        <f t="array" ref="M45">IFERROR(
  INDEX(All_India_Index_Upto_April23__1___1[Transport and communication],
    MATCH(1,
      (All_India_Index_Upto_April23__1___1[Date]=EDATE($A45,-1))*
      (All_India_Index_Upto_April23__1___1[Sector]="Rural+Urban"),
    0)
  ),
"")</f>
        <v>138.5</v>
      </c>
      <c r="N45" s="8">
        <f t="shared" si="4"/>
        <v>7.9422382671479729E-3</v>
      </c>
      <c r="O45" s="2" cm="1">
        <f t="array" ref="O45">IFERROR(
  AVERAGE(
    INDEX(All_India_Index_Upto_April23__1___1[Cereals and products],
      MATCH(1,(All_India_Index_Upto_April23__1___1[Date]=$A45)*
              (All_India_Index_Upto_April23__1___1[Sector]="Rural+Urban"),0)),
    INDEX(All_India_Index_Upto_April23__1___1[Meat and fish],
      MATCH(1,(All_India_Index_Upto_April23__1___1[Date]=$A45)*
              (All_India_Index_Upto_April23__1___1[Sector]="Rural+Urban"),0)),
    INDEX(All_India_Index_Upto_April23__1___1[Egg],
      MATCH(1,(All_India_Index_Upto_April23__1___1[Date]=$A45)*
              (All_India_Index_Upto_April23__1___1[Sector]="Rural+Urban"),0)),
    INDEX(All_India_Index_Upto_April23__1___1[Milk and products],
      MATCH(1,(All_India_Index_Upto_April23__1___1[Date]=$A45)*
              (All_India_Index_Upto_April23__1___1[Sector]="Rural+Urban"),0)),
    INDEX(All_India_Index_Upto_April23__1___1[Oils and fats],
      MATCH(1,(All_India_Index_Upto_April23__1___1[Date]=$A45)*
              (All_India_Index_Upto_April23__1___1[Sector]="Rural+Urban"),0)),
    INDEX(All_India_Index_Upto_April23__1___1[Fruits],
      MATCH(1,(All_India_Index_Upto_April23__1___1[Date]=$A45)*
              (All_India_Index_Upto_April23__1___1[Sector]="Rural+Urban"),0)),
    INDEX(All_India_Index_Upto_April23__1___1[Vegetables],
      MATCH(1,(All_India_Index_Upto_April23__1___1[Date]=$A45)*
              (All_India_Index_Upto_April23__1___1[Sector]="Rural+Urban"),0)),
    INDEX(All_India_Index_Upto_April23__1___1[Pulses and products],
      MATCH(1,(All_India_Index_Upto_April23__1___1[Date]=$A45)*
              (All_India_Index_Upto_April23__1___1[Sector]="Rural+Urban"),0)),
    INDEX(All_India_Index_Upto_April23__1___1[Sugar and Confectionery],
      MATCH(1,(All_India_Index_Upto_April23__1___1[Date]=$A45)*
              (All_India_Index_Upto_April23__1___1[Sector]="Rural+Urban"),0)),
    INDEX(All_India_Index_Upto_April23__1___1[Spices],
      MATCH(1,(All_India_Index_Upto_April23__1___1[Date]=$A45)*
              (All_India_Index_Upto_April23__1___1[Sector]="Rural+Urban"),0)),
    INDEX(All_India_Index_Upto_April23__1___1[Non-alcoholic beverages],
      MATCH(1,(All_India_Index_Upto_April23__1___1[Date]=$A45)*
              (All_India_Index_Upto_April23__1___1[Sector]="Rural+Urban"),0)),
    INDEX(All_India_Index_Upto_April23__1___1[Prepared meals, snacks, sweets etc.],
      MATCH(1,(All_India_Index_Upto_April23__1___1[Date]=$A45)*
              (All_India_Index_Upto_April23__1___1[Sector]="Rural+Urban"),0))
  ),
"")</f>
        <v>154.08333333333334</v>
      </c>
      <c r="P45" s="2" cm="1">
        <f t="array" ref="P45">IFERROR(
  AVERAGE(
    INDEX(All_India_Index_Upto_April23__1___1[Cereals and products],
      MATCH(1,(All_India_Index_Upto_April23__1___1[Date]=EDATE($A45,-12))*
              (All_India_Index_Upto_April23__1___1[Sector]="Rural+Urban"),0)),
    INDEX(All_India_Index_Upto_April23__1___1[Meat and fish],
      MATCH(1,(All_India_Index_Upto_April23__1___1[Date]=EDATE($A45,-12))*
              (All_India_Index_Upto_April23__1___1[Sector]="Rural+Urban"),0)),
    INDEX(All_India_Index_Upto_April23__1___1[Egg],
      MATCH(1,(All_India_Index_Upto_April23__1___1[Date]=EDATE($A45,-12))*
              (All_India_Index_Upto_April23__1___1[Sector]="Rural+Urban"),0)),
    INDEX(All_India_Index_Upto_April23__1___1[Milk and products],
      MATCH(1,(All_India_Index_Upto_April23__1___1[Date]=EDATE($A45,-12))*
              (All_India_Index_Upto_April23__1___1[Sector]="Rural+Urban"),0)),
    INDEX(All_India_Index_Upto_April23__1___1[Oils and fats],
      MATCH(1,(All_India_Index_Upto_April23__1___1[Date]=EDATE($A45,-12))*
              (All_India_Index_Upto_April23__1___1[Sector]="Rural+Urban"),0)),
    INDEX(All_India_Index_Upto_April23__1___1[Fruits],
      MATCH(1,(All_India_Index_Upto_April23__1___1[Date]=EDATE($A45,-12))*
              (All_India_Index_Upto_April23__1___1[Sector]="Rural+Urban"),0)),
    INDEX(All_India_Index_Upto_April23__1___1[Vegetables],
      MATCH(1,(All_India_Index_Upto_April23__1___1[Date]=EDATE($A45,-12))*
              (All_India_Index_Upto_April23__1___1[Sector]="Rural+Urban"),0)),
    INDEX(All_India_Index_Upto_April23__1___1[Pulses and products],
      MATCH(1,(All_India_Index_Upto_April23__1___1[Date]=EDATE($A45,-12))*
              (All_India_Index_Upto_April23__1___1[Sector]="Rural+Urban"),0)),
    INDEX(All_India_Index_Upto_April23__1___1[Sugar and Confectionery],
      MATCH(1,(All_India_Index_Upto_April23__1___1[Date]=EDATE($A45,-12))*
              (All_India_Index_Upto_April23__1___1[Sector]="Rural+Urban"),0)),
    INDEX(All_India_Index_Upto_April23__1___1[Spices],
      MATCH(1,(All_India_Index_Upto_April23__1___1[Date]=EDATE($A45,-12))*
              (All_India_Index_Upto_April23__1___1[Sector]="Rural+Urban"),0)),
    INDEX(All_India_Index_Upto_April23__1___1[Non-alcoholic beverages],
      MATCH(1,(All_India_Index_Upto_April23__1___1[Date]=EDATE($A45,-12))*
              (All_India_Index_Upto_April23__1___1[Sector]="Rural+Urban"),0)),
    INDEX(All_India_Index_Upto_April23__1___1[Prepared meals, snacks, sweets etc.],
      MATCH(1,(All_India_Index_Upto_April23__1___1[Date]=EDATE($A45,-12))*
              (All_India_Index_Upto_April23__1___1[Sector]="Rural+Urban"),0))
  ),
"")</f>
        <v>142.55833333333331</v>
      </c>
      <c r="Q45" s="8">
        <f t="shared" si="5"/>
        <v>8.0844098906880477E-2</v>
      </c>
      <c r="R45" cm="1">
        <f t="array" ref="R45">IFERROR(
  INDEX(All_India_Index_Upto_April23__1___1[General index],
    MATCH(1,
      (All_India_Index_Upto_April23__1___1[Date]=$A45)*
      (All_India_Index_Upto_April23__1___1[Sector]="Rural+Urban"),
    0)
  ),
"")</f>
        <v>154.69999999999999</v>
      </c>
      <c r="S45" cm="1">
        <f t="array" ref="S45">IFERROR(
  INDEX(All_India_Index_Upto_April23__1___1[General index],
    MATCH(1,
      (All_India_Index_Upto_April23__1___1[Date]=EDATE($A45,-1))*
      (All_India_Index_Upto_April23__1___1[Sector]="Rural+Urban"),
    0)
  ),
"")</f>
        <v>153.9</v>
      </c>
      <c r="T45" s="8">
        <f t="shared" si="6"/>
        <v>5.1981806367770167E-3</v>
      </c>
    </row>
    <row r="46" spans="1:20" x14ac:dyDescent="0.2">
      <c r="A46" s="22">
        <v>44105</v>
      </c>
      <c r="B46">
        <v>2020</v>
      </c>
      <c r="C46" t="s">
        <v>49</v>
      </c>
      <c r="D46" s="2">
        <v>39</v>
      </c>
      <c r="E46" s="8">
        <f t="shared" si="1"/>
        <v>7.6923076923076927E-2</v>
      </c>
      <c r="F46" s="8">
        <f t="shared" si="2"/>
        <v>7.6923076923076927E-2</v>
      </c>
      <c r="G46" t="e">
        <f t="shared" si="7"/>
        <v>#N/A</v>
      </c>
      <c r="H46" s="22">
        <v>44105</v>
      </c>
      <c r="I46" cm="1">
        <f t="array" ref="I46">IFERROR(
  INDEX(All_India_Index_Upto_April23__1___1[Fuel and light],
    MATCH(1,
      (All_India_Index_Upto_April23__1___1[Date]=$A46)*
      (All_India_Index_Upto_April23__1___1[Sector]="Rural+Urban"),
    0)
  ),
"")</f>
        <v>143.1</v>
      </c>
      <c r="J46" cm="1">
        <f t="array" ref="J46">IFERROR(
  INDEX(All_India_Index_Upto_April23__1___1[Fuel and light],
    MATCH(1,
      (All_India_Index_Upto_April23__1___1[Date]=EDATE($A46,-1))*
      (All_India_Index_Upto_April23__1___1[Sector]="Rural+Urban"),
    0)
  ),
"")</f>
        <v>142.9</v>
      </c>
      <c r="K46" s="8">
        <f t="shared" si="3"/>
        <v>1.3995801259621317E-3</v>
      </c>
      <c r="L46" cm="1">
        <f t="array" ref="L46">IFERROR(
  INDEX(All_India_Index_Upto_April23__1___1[Transport and communication],
    MATCH(1,
      (All_India_Index_Upto_April23__1___1[Date]=$A46)*
      (All_India_Index_Upto_April23__1___1[Sector]="Rural+Urban"),
    0)
  ),
"")</f>
        <v>140.6</v>
      </c>
      <c r="M46" cm="1">
        <f t="array" ref="M46">IFERROR(
  INDEX(All_India_Index_Upto_April23__1___1[Transport and communication],
    MATCH(1,
      (All_India_Index_Upto_April23__1___1[Date]=EDATE($A46,-1))*
      (All_India_Index_Upto_April23__1___1[Sector]="Rural+Urban"),
    0)
  ),
"")</f>
        <v>139.6</v>
      </c>
      <c r="N46" s="8">
        <f t="shared" si="4"/>
        <v>7.1633237822349575E-3</v>
      </c>
      <c r="O46" s="2" cm="1">
        <f t="array" ref="O46">IFERROR(
  AVERAGE(
    INDEX(All_India_Index_Upto_April23__1___1[Cereals and products],
      MATCH(1,(All_India_Index_Upto_April23__1___1[Date]=$A46)*
              (All_India_Index_Upto_April23__1___1[Sector]="Rural+Urban"),0)),
    INDEX(All_India_Index_Upto_April23__1___1[Meat and fish],
      MATCH(1,(All_India_Index_Upto_April23__1___1[Date]=$A46)*
              (All_India_Index_Upto_April23__1___1[Sector]="Rural+Urban"),0)),
    INDEX(All_India_Index_Upto_April23__1___1[Egg],
      MATCH(1,(All_India_Index_Upto_April23__1___1[Date]=$A46)*
              (All_India_Index_Upto_April23__1___1[Sector]="Rural+Urban"),0)),
    INDEX(All_India_Index_Upto_April23__1___1[Milk and products],
      MATCH(1,(All_India_Index_Upto_April23__1___1[Date]=$A46)*
              (All_India_Index_Upto_April23__1___1[Sector]="Rural+Urban"),0)),
    INDEX(All_India_Index_Upto_April23__1___1[Oils and fats],
      MATCH(1,(All_India_Index_Upto_April23__1___1[Date]=$A46)*
              (All_India_Index_Upto_April23__1___1[Sector]="Rural+Urban"),0)),
    INDEX(All_India_Index_Upto_April23__1___1[Fruits],
      MATCH(1,(All_India_Index_Upto_April23__1___1[Date]=$A46)*
              (All_India_Index_Upto_April23__1___1[Sector]="Rural+Urban"),0)),
    INDEX(All_India_Index_Upto_April23__1___1[Vegetables],
      MATCH(1,(All_India_Index_Upto_April23__1___1[Date]=$A46)*
              (All_India_Index_Upto_April23__1___1[Sector]="Rural+Urban"),0)),
    INDEX(All_India_Index_Upto_April23__1___1[Pulses and products],
      MATCH(1,(All_India_Index_Upto_April23__1___1[Date]=$A46)*
              (All_India_Index_Upto_April23__1___1[Sector]="Rural+Urban"),0)),
    INDEX(All_India_Index_Upto_April23__1___1[Sugar and Confectionery],
      MATCH(1,(All_India_Index_Upto_April23__1___1[Date]=$A46)*
              (All_India_Index_Upto_April23__1___1[Sector]="Rural+Urban"),0)),
    INDEX(All_India_Index_Upto_April23__1___1[Spices],
      MATCH(1,(All_India_Index_Upto_April23__1___1[Date]=$A46)*
              (All_India_Index_Upto_April23__1___1[Sector]="Rural+Urban"),0)),
    INDEX(All_India_Index_Upto_April23__1___1[Non-alcoholic beverages],
      MATCH(1,(All_India_Index_Upto_April23__1___1[Date]=$A46)*
              (All_India_Index_Upto_April23__1___1[Sector]="Rural+Urban"),0)),
    INDEX(All_India_Index_Upto_April23__1___1[Prepared meals, snacks, sweets etc.],
      MATCH(1,(All_India_Index_Upto_April23__1___1[Date]=$A46)*
              (All_India_Index_Upto_April23__1___1[Sector]="Rural+Urban"),0))
  ),
"")</f>
        <v>157.26666666666668</v>
      </c>
      <c r="P46" s="2" cm="1">
        <f t="array" ref="P46">IFERROR(
  AVERAGE(
    INDEX(All_India_Index_Upto_April23__1___1[Cereals and products],
      MATCH(1,(All_India_Index_Upto_April23__1___1[Date]=EDATE($A46,-12))*
              (All_India_Index_Upto_April23__1___1[Sector]="Rural+Urban"),0)),
    INDEX(All_India_Index_Upto_April23__1___1[Meat and fish],
      MATCH(1,(All_India_Index_Upto_April23__1___1[Date]=EDATE($A46,-12))*
              (All_India_Index_Upto_April23__1___1[Sector]="Rural+Urban"),0)),
    INDEX(All_India_Index_Upto_April23__1___1[Egg],
      MATCH(1,(All_India_Index_Upto_April23__1___1[Date]=EDATE($A46,-12))*
              (All_India_Index_Upto_April23__1___1[Sector]="Rural+Urban"),0)),
    INDEX(All_India_Index_Upto_April23__1___1[Milk and products],
      MATCH(1,(All_India_Index_Upto_April23__1___1[Date]=EDATE($A46,-12))*
              (All_India_Index_Upto_April23__1___1[Sector]="Rural+Urban"),0)),
    INDEX(All_India_Index_Upto_April23__1___1[Oils and fats],
      MATCH(1,(All_India_Index_Upto_April23__1___1[Date]=EDATE($A46,-12))*
              (All_India_Index_Upto_April23__1___1[Sector]="Rural+Urban"),0)),
    INDEX(All_India_Index_Upto_April23__1___1[Fruits],
      MATCH(1,(All_India_Index_Upto_April23__1___1[Date]=EDATE($A46,-12))*
              (All_India_Index_Upto_April23__1___1[Sector]="Rural+Urban"),0)),
    INDEX(All_India_Index_Upto_April23__1___1[Vegetables],
      MATCH(1,(All_India_Index_Upto_April23__1___1[Date]=EDATE($A46,-12))*
              (All_India_Index_Upto_April23__1___1[Sector]="Rural+Urban"),0)),
    INDEX(All_India_Index_Upto_April23__1___1[Pulses and products],
      MATCH(1,(All_India_Index_Upto_April23__1___1[Date]=EDATE($A46,-12))*
              (All_India_Index_Upto_April23__1___1[Sector]="Rural+Urban"),0)),
    INDEX(All_India_Index_Upto_April23__1___1[Sugar and Confectionery],
      MATCH(1,(All_India_Index_Upto_April23__1___1[Date]=EDATE($A46,-12))*
              (All_India_Index_Upto_April23__1___1[Sector]="Rural+Urban"),0)),
    INDEX(All_India_Index_Upto_April23__1___1[Spices],
      MATCH(1,(All_India_Index_Upto_April23__1___1[Date]=EDATE($A46,-12))*
              (All_India_Index_Upto_April23__1___1[Sector]="Rural+Urban"),0)),
    INDEX(All_India_Index_Upto_April23__1___1[Non-alcoholic beverages],
      MATCH(1,(All_India_Index_Upto_April23__1___1[Date]=EDATE($A46,-12))*
              (All_India_Index_Upto_April23__1___1[Sector]="Rural+Urban"),0)),
    INDEX(All_India_Index_Upto_April23__1___1[Prepared meals, snacks, sweets etc.],
      MATCH(1,(All_India_Index_Upto_April23__1___1[Date]=EDATE($A46,-12))*
              (All_India_Index_Upto_April23__1___1[Sector]="Rural+Urban"),0))
  ),
"")</f>
        <v>144.66666666666666</v>
      </c>
      <c r="Q46" s="8">
        <f t="shared" si="5"/>
        <v>8.7096774193548554E-2</v>
      </c>
      <c r="R46" cm="1">
        <f t="array" ref="R46">IFERROR(
  INDEX(All_India_Index_Upto_April23__1___1[General index],
    MATCH(1,
      (All_India_Index_Upto_April23__1___1[Date]=$A46)*
      (All_India_Index_Upto_April23__1___1[Sector]="Rural+Urban"),
    0)
  ),
"")</f>
        <v>156.4</v>
      </c>
      <c r="S46" cm="1">
        <f t="array" ref="S46">IFERROR(
  INDEX(All_India_Index_Upto_April23__1___1[General index],
    MATCH(1,
      (All_India_Index_Upto_April23__1___1[Date]=EDATE($A46,-1))*
      (All_India_Index_Upto_April23__1___1[Sector]="Rural+Urban"),
    0)
  ),
"")</f>
        <v>154.69999999999999</v>
      </c>
      <c r="T46" s="8">
        <f t="shared" si="6"/>
        <v>1.0989010989011101E-2</v>
      </c>
    </row>
    <row r="47" spans="1:20" x14ac:dyDescent="0.2">
      <c r="A47" s="22">
        <v>44136</v>
      </c>
      <c r="B47">
        <v>2020</v>
      </c>
      <c r="C47" t="s">
        <v>51</v>
      </c>
      <c r="D47" s="2">
        <v>42</v>
      </c>
      <c r="E47" s="8">
        <f t="shared" si="1"/>
        <v>4.7619047619047616E-2</v>
      </c>
      <c r="F47" s="8">
        <f t="shared" si="2"/>
        <v>4.7619047619047616E-2</v>
      </c>
      <c r="G47" t="e">
        <f t="shared" si="7"/>
        <v>#N/A</v>
      </c>
      <c r="H47" s="22">
        <v>44136</v>
      </c>
      <c r="I47" cm="1">
        <f t="array" ref="I47">IFERROR(
  INDEX(All_India_Index_Upto_April23__1___1[Fuel and light],
    MATCH(1,
      (All_India_Index_Upto_April23__1___1[Date]=$A47)*
      (All_India_Index_Upto_April23__1___1[Sector]="Rural+Urban"),
    0)
  ),
"")</f>
        <v>143.6</v>
      </c>
      <c r="J47" cm="1">
        <f t="array" ref="J47">IFERROR(
  INDEX(All_India_Index_Upto_April23__1___1[Fuel and light],
    MATCH(1,
      (All_India_Index_Upto_April23__1___1[Date]=EDATE($A47,-1))*
      (All_India_Index_Upto_April23__1___1[Sector]="Rural+Urban"),
    0)
  ),
"")</f>
        <v>143.1</v>
      </c>
      <c r="K47" s="8">
        <f t="shared" si="3"/>
        <v>3.4940600978336828E-3</v>
      </c>
      <c r="L47" cm="1">
        <f t="array" ref="L47">IFERROR(
  INDEX(All_India_Index_Upto_April23__1___1[Transport and communication],
    MATCH(1,
      (All_India_Index_Upto_April23__1___1[Date]=$A47)*
      (All_India_Index_Upto_April23__1___1[Sector]="Rural+Urban"),
    0)
  ),
"")</f>
        <v>140.4</v>
      </c>
      <c r="M47" cm="1">
        <f t="array" ref="M47">IFERROR(
  INDEX(All_India_Index_Upto_April23__1___1[Transport and communication],
    MATCH(1,
      (All_India_Index_Upto_April23__1___1[Date]=EDATE($A47,-1))*
      (All_India_Index_Upto_April23__1___1[Sector]="Rural+Urban"),
    0)
  ),
"")</f>
        <v>140.6</v>
      </c>
      <c r="N47" s="8">
        <f t="shared" si="4"/>
        <v>-1.4224751066855522E-3</v>
      </c>
      <c r="O47" s="2" cm="1">
        <f t="array" ref="O47">IFERROR(
  AVERAGE(
    INDEX(All_India_Index_Upto_April23__1___1[Cereals and products],
      MATCH(1,(All_India_Index_Upto_April23__1___1[Date]=$A47)*
              (All_India_Index_Upto_April23__1___1[Sector]="Rural+Urban"),0)),
    INDEX(All_India_Index_Upto_April23__1___1[Meat and fish],
      MATCH(1,(All_India_Index_Upto_April23__1___1[Date]=$A47)*
              (All_India_Index_Upto_April23__1___1[Sector]="Rural+Urban"),0)),
    INDEX(All_India_Index_Upto_April23__1___1[Egg],
      MATCH(1,(All_India_Index_Upto_April23__1___1[Date]=$A47)*
              (All_India_Index_Upto_April23__1___1[Sector]="Rural+Urban"),0)),
    INDEX(All_India_Index_Upto_April23__1___1[Milk and products],
      MATCH(1,(All_India_Index_Upto_April23__1___1[Date]=$A47)*
              (All_India_Index_Upto_April23__1___1[Sector]="Rural+Urban"),0)),
    INDEX(All_India_Index_Upto_April23__1___1[Oils and fats],
      MATCH(1,(All_India_Index_Upto_April23__1___1[Date]=$A47)*
              (All_India_Index_Upto_April23__1___1[Sector]="Rural+Urban"),0)),
    INDEX(All_India_Index_Upto_April23__1___1[Fruits],
      MATCH(1,(All_India_Index_Upto_April23__1___1[Date]=$A47)*
              (All_India_Index_Upto_April23__1___1[Sector]="Rural+Urban"),0)),
    INDEX(All_India_Index_Upto_April23__1___1[Vegetables],
      MATCH(1,(All_India_Index_Upto_April23__1___1[Date]=$A47)*
              (All_India_Index_Upto_April23__1___1[Sector]="Rural+Urban"),0)),
    INDEX(All_India_Index_Upto_April23__1___1[Pulses and products],
      MATCH(1,(All_India_Index_Upto_April23__1___1[Date]=$A47)*
              (All_India_Index_Upto_April23__1___1[Sector]="Rural+Urban"),0)),
    INDEX(All_India_Index_Upto_April23__1___1[Sugar and Confectionery],
      MATCH(1,(All_India_Index_Upto_April23__1___1[Date]=$A47)*
              (All_India_Index_Upto_April23__1___1[Sector]="Rural+Urban"),0)),
    INDEX(All_India_Index_Upto_April23__1___1[Spices],
      MATCH(1,(All_India_Index_Upto_April23__1___1[Date]=$A47)*
              (All_India_Index_Upto_April23__1___1[Sector]="Rural+Urban"),0)),
    INDEX(All_India_Index_Upto_April23__1___1[Non-alcoholic beverages],
      MATCH(1,(All_India_Index_Upto_April23__1___1[Date]=$A47)*
              (All_India_Index_Upto_April23__1___1[Sector]="Rural+Urban"),0)),
    INDEX(All_India_Index_Upto_April23__1___1[Prepared meals, snacks, sweets etc.],
      MATCH(1,(All_India_Index_Upto_April23__1___1[Date]=$A47)*
              (All_India_Index_Upto_April23__1___1[Sector]="Rural+Urban"),0))
  ),
"")</f>
        <v>160.90833333333333</v>
      </c>
      <c r="P47" s="2" cm="1">
        <f t="array" ref="P47">IFERROR(
  AVERAGE(
    INDEX(All_India_Index_Upto_April23__1___1[Cereals and products],
      MATCH(1,(All_India_Index_Upto_April23__1___1[Date]=EDATE($A47,-12))*
              (All_India_Index_Upto_April23__1___1[Sector]="Rural+Urban"),0)),
    INDEX(All_India_Index_Upto_April23__1___1[Meat and fish],
      MATCH(1,(All_India_Index_Upto_April23__1___1[Date]=EDATE($A47,-12))*
              (All_India_Index_Upto_April23__1___1[Sector]="Rural+Urban"),0)),
    INDEX(All_India_Index_Upto_April23__1___1[Egg],
      MATCH(1,(All_India_Index_Upto_April23__1___1[Date]=EDATE($A47,-12))*
              (All_India_Index_Upto_April23__1___1[Sector]="Rural+Urban"),0)),
    INDEX(All_India_Index_Upto_April23__1___1[Milk and products],
      MATCH(1,(All_India_Index_Upto_April23__1___1[Date]=EDATE($A47,-12))*
              (All_India_Index_Upto_April23__1___1[Sector]="Rural+Urban"),0)),
    INDEX(All_India_Index_Upto_April23__1___1[Oils and fats],
      MATCH(1,(All_India_Index_Upto_April23__1___1[Date]=EDATE($A47,-12))*
              (All_India_Index_Upto_April23__1___1[Sector]="Rural+Urban"),0)),
    INDEX(All_India_Index_Upto_April23__1___1[Fruits],
      MATCH(1,(All_India_Index_Upto_April23__1___1[Date]=EDATE($A47,-12))*
              (All_India_Index_Upto_April23__1___1[Sector]="Rural+Urban"),0)),
    INDEX(All_India_Index_Upto_April23__1___1[Vegetables],
      MATCH(1,(All_India_Index_Upto_April23__1___1[Date]=EDATE($A47,-12))*
              (All_India_Index_Upto_April23__1___1[Sector]="Rural+Urban"),0)),
    INDEX(All_India_Index_Upto_April23__1___1[Pulses and products],
      MATCH(1,(All_India_Index_Upto_April23__1___1[Date]=EDATE($A47,-12))*
              (All_India_Index_Upto_April23__1___1[Sector]="Rural+Urban"),0)),
    INDEX(All_India_Index_Upto_April23__1___1[Sugar and Confectionery],
      MATCH(1,(All_India_Index_Upto_April23__1___1[Date]=EDATE($A47,-12))*
              (All_India_Index_Upto_April23__1___1[Sector]="Rural+Urban"),0)),
    INDEX(All_India_Index_Upto_April23__1___1[Spices],
      MATCH(1,(All_India_Index_Upto_April23__1___1[Date]=EDATE($A47,-12))*
              (All_India_Index_Upto_April23__1___1[Sector]="Rural+Urban"),0)),
    INDEX(All_India_Index_Upto_April23__1___1[Non-alcoholic beverages],
      MATCH(1,(All_India_Index_Upto_April23__1___1[Date]=EDATE($A47,-12))*
              (All_India_Index_Upto_April23__1___1[Sector]="Rural+Urban"),0)),
    INDEX(All_India_Index_Upto_April23__1___1[Prepared meals, snacks, sweets etc.],
      MATCH(1,(All_India_Index_Upto_April23__1___1[Date]=EDATE($A47,-12))*
              (All_India_Index_Upto_April23__1___1[Sector]="Rural+Urban"),0))
  ),
"")</f>
        <v>146.58333333333334</v>
      </c>
      <c r="Q47" s="8">
        <f t="shared" si="5"/>
        <v>9.7725980670835613E-2</v>
      </c>
      <c r="R47" cm="1">
        <f t="array" ref="R47">IFERROR(
  INDEX(All_India_Index_Upto_April23__1___1[General index],
    MATCH(1,
      (All_India_Index_Upto_April23__1___1[Date]=$A47)*
      (All_India_Index_Upto_April23__1___1[Sector]="Rural+Urban"),
    0)
  ),
"")</f>
        <v>158.4</v>
      </c>
      <c r="S47" cm="1">
        <f t="array" ref="S47">IFERROR(
  INDEX(All_India_Index_Upto_April23__1___1[General index],
    MATCH(1,
      (All_India_Index_Upto_April23__1___1[Date]=EDATE($A47,-1))*
      (All_India_Index_Upto_April23__1___1[Sector]="Rural+Urban"),
    0)
  ),
"")</f>
        <v>156.4</v>
      </c>
      <c r="T47" s="8">
        <f t="shared" si="6"/>
        <v>1.278772378516624E-2</v>
      </c>
    </row>
    <row r="48" spans="1:20" x14ac:dyDescent="0.2">
      <c r="A48" s="22">
        <v>44166</v>
      </c>
      <c r="B48">
        <v>2020</v>
      </c>
      <c r="C48" t="s">
        <v>53</v>
      </c>
      <c r="D48" s="2">
        <v>44</v>
      </c>
      <c r="E48" s="8">
        <f t="shared" si="1"/>
        <v>0.15909090909090909</v>
      </c>
      <c r="F48" s="8">
        <f t="shared" si="2"/>
        <v>0.15909090909090909</v>
      </c>
      <c r="G48" t="e">
        <f t="shared" si="7"/>
        <v>#N/A</v>
      </c>
      <c r="H48" s="22">
        <v>44166</v>
      </c>
      <c r="I48" cm="1">
        <f t="array" ref="I48">IFERROR(
  INDEX(All_India_Index_Upto_April23__1___1[Fuel and light],
    MATCH(1,
      (All_India_Index_Upto_April23__1___1[Date]=$A48)*
      (All_India_Index_Upto_April23__1___1[Sector]="Rural+Urban"),
    0)
  ),
"")</f>
        <v>144.6</v>
      </c>
      <c r="J48" cm="1">
        <f t="array" ref="J48">IFERROR(
  INDEX(All_India_Index_Upto_April23__1___1[Fuel and light],
    MATCH(1,
      (All_India_Index_Upto_April23__1___1[Date]=EDATE($A48,-1))*
      (All_India_Index_Upto_April23__1___1[Sector]="Rural+Urban"),
    0)
  ),
"")</f>
        <v>143.6</v>
      </c>
      <c r="K48" s="8">
        <f t="shared" si="3"/>
        <v>6.9637883008356553E-3</v>
      </c>
      <c r="L48" cm="1">
        <f t="array" ref="L48">IFERROR(
  INDEX(All_India_Index_Upto_April23__1___1[Transport and communication],
    MATCH(1,
      (All_India_Index_Upto_April23__1___1[Date]=$A48)*
      (All_India_Index_Upto_April23__1___1[Sector]="Rural+Urban"),
    0)
  ),
"")</f>
        <v>140.69999999999999</v>
      </c>
      <c r="M48" cm="1">
        <f t="array" ref="M48">IFERROR(
  INDEX(All_India_Index_Upto_April23__1___1[Transport and communication],
    MATCH(1,
      (All_India_Index_Upto_April23__1___1[Date]=EDATE($A48,-1))*
      (All_India_Index_Upto_April23__1___1[Sector]="Rural+Urban"),
    0)
  ),
"")</f>
        <v>140.4</v>
      </c>
      <c r="N48" s="8">
        <f t="shared" si="4"/>
        <v>2.1367521367520151E-3</v>
      </c>
      <c r="O48" s="2" cm="1">
        <f t="array" ref="O48">IFERROR(
  AVERAGE(
    INDEX(All_India_Index_Upto_April23__1___1[Cereals and products],
      MATCH(1,(All_India_Index_Upto_April23__1___1[Date]=$A48)*
              (All_India_Index_Upto_April23__1___1[Sector]="Rural+Urban"),0)),
    INDEX(All_India_Index_Upto_April23__1___1[Meat and fish],
      MATCH(1,(All_India_Index_Upto_April23__1___1[Date]=$A48)*
              (All_India_Index_Upto_April23__1___1[Sector]="Rural+Urban"),0)),
    INDEX(All_India_Index_Upto_April23__1___1[Egg],
      MATCH(1,(All_India_Index_Upto_April23__1___1[Date]=$A48)*
              (All_India_Index_Upto_April23__1___1[Sector]="Rural+Urban"),0)),
    INDEX(All_India_Index_Upto_April23__1___1[Milk and products],
      MATCH(1,(All_India_Index_Upto_April23__1___1[Date]=$A48)*
              (All_India_Index_Upto_April23__1___1[Sector]="Rural+Urban"),0)),
    INDEX(All_India_Index_Upto_April23__1___1[Oils and fats],
      MATCH(1,(All_India_Index_Upto_April23__1___1[Date]=$A48)*
              (All_India_Index_Upto_April23__1___1[Sector]="Rural+Urban"),0)),
    INDEX(All_India_Index_Upto_April23__1___1[Fruits],
      MATCH(1,(All_India_Index_Upto_April23__1___1[Date]=$A48)*
              (All_India_Index_Upto_April23__1___1[Sector]="Rural+Urban"),0)),
    INDEX(All_India_Index_Upto_April23__1___1[Vegetables],
      MATCH(1,(All_India_Index_Upto_April23__1___1[Date]=$A48)*
              (All_India_Index_Upto_April23__1___1[Sector]="Rural+Urban"),0)),
    INDEX(All_India_Index_Upto_April23__1___1[Pulses and products],
      MATCH(1,(All_India_Index_Upto_April23__1___1[Date]=$A48)*
              (All_India_Index_Upto_April23__1___1[Sector]="Rural+Urban"),0)),
    INDEX(All_India_Index_Upto_April23__1___1[Sugar and Confectionery],
      MATCH(1,(All_India_Index_Upto_April23__1___1[Date]=$A48)*
              (All_India_Index_Upto_April23__1___1[Sector]="Rural+Urban"),0)),
    INDEX(All_India_Index_Upto_April23__1___1[Spices],
      MATCH(1,(All_India_Index_Upto_April23__1___1[Date]=$A48)*
              (All_India_Index_Upto_April23__1___1[Sector]="Rural+Urban"),0)),
    INDEX(All_India_Index_Upto_April23__1___1[Non-alcoholic beverages],
      MATCH(1,(All_India_Index_Upto_April23__1___1[Date]=$A48)*
              (All_India_Index_Upto_April23__1___1[Sector]="Rural+Urban"),0)),
    INDEX(All_India_Index_Upto_April23__1___1[Prepared meals, snacks, sweets etc.],
      MATCH(1,(All_India_Index_Upto_April23__1___1[Date]=$A48)*
              (All_India_Index_Upto_April23__1___1[Sector]="Rural+Urban"),0))
  ),
"")</f>
        <v>161.97499999999999</v>
      </c>
      <c r="P48" s="2" cm="1">
        <f t="array" ref="P48">IFERROR(
  AVERAGE(
    INDEX(All_India_Index_Upto_April23__1___1[Cereals and products],
      MATCH(1,(All_India_Index_Upto_April23__1___1[Date]=EDATE($A48,-12))*
              (All_India_Index_Upto_April23__1___1[Sector]="Rural+Urban"),0)),
    INDEX(All_India_Index_Upto_April23__1___1[Meat and fish],
      MATCH(1,(All_India_Index_Upto_April23__1___1[Date]=EDATE($A48,-12))*
              (All_India_Index_Upto_April23__1___1[Sector]="Rural+Urban"),0)),
    INDEX(All_India_Index_Upto_April23__1___1[Egg],
      MATCH(1,(All_India_Index_Upto_April23__1___1[Date]=EDATE($A48,-12))*
              (All_India_Index_Upto_April23__1___1[Sector]="Rural+Urban"),0)),
    INDEX(All_India_Index_Upto_April23__1___1[Milk and products],
      MATCH(1,(All_India_Index_Upto_April23__1___1[Date]=EDATE($A48,-12))*
              (All_India_Index_Upto_April23__1___1[Sector]="Rural+Urban"),0)),
    INDEX(All_India_Index_Upto_April23__1___1[Oils and fats],
      MATCH(1,(All_India_Index_Upto_April23__1___1[Date]=EDATE($A48,-12))*
              (All_India_Index_Upto_April23__1___1[Sector]="Rural+Urban"),0)),
    INDEX(All_India_Index_Upto_April23__1___1[Fruits],
      MATCH(1,(All_India_Index_Upto_April23__1___1[Date]=EDATE($A48,-12))*
              (All_India_Index_Upto_April23__1___1[Sector]="Rural+Urban"),0)),
    INDEX(All_India_Index_Upto_April23__1___1[Vegetables],
      MATCH(1,(All_India_Index_Upto_April23__1___1[Date]=EDATE($A48,-12))*
              (All_India_Index_Upto_April23__1___1[Sector]="Rural+Urban"),0)),
    INDEX(All_India_Index_Upto_April23__1___1[Pulses and products],
      MATCH(1,(All_India_Index_Upto_April23__1___1[Date]=EDATE($A48,-12))*
              (All_India_Index_Upto_April23__1___1[Sector]="Rural+Urban"),0)),
    INDEX(All_India_Index_Upto_April23__1___1[Sugar and Confectionery],
      MATCH(1,(All_India_Index_Upto_April23__1___1[Date]=EDATE($A48,-12))*
              (All_India_Index_Upto_April23__1___1[Sector]="Rural+Urban"),0)),
    INDEX(All_India_Index_Upto_April23__1___1[Spices],
      MATCH(1,(All_India_Index_Upto_April23__1___1[Date]=EDATE($A48,-12))*
              (All_India_Index_Upto_April23__1___1[Sector]="Rural+Urban"),0)),
    INDEX(All_India_Index_Upto_April23__1___1[Non-alcoholic beverages],
      MATCH(1,(All_India_Index_Upto_April23__1___1[Date]=EDATE($A48,-12))*
              (All_India_Index_Upto_April23__1___1[Sector]="Rural+Urban"),0)),
    INDEX(All_India_Index_Upto_April23__1___1[Prepared meals, snacks, sweets etc.],
      MATCH(1,(All_India_Index_Upto_April23__1___1[Date]=EDATE($A48,-12))*
              (All_India_Index_Upto_April23__1___1[Sector]="Rural+Urban"),0))
  ),
"")</f>
        <v>149.25833333333335</v>
      </c>
      <c r="Q48" s="8">
        <f t="shared" si="5"/>
        <v>8.5199039696275847E-2</v>
      </c>
      <c r="R48" cm="1">
        <f t="array" ref="R48">IFERROR(
  INDEX(All_India_Index_Upto_April23__1___1[General index],
    MATCH(1,
      (All_India_Index_Upto_April23__1___1[Date]=$A48)*
      (All_India_Index_Upto_April23__1___1[Sector]="Rural+Urban"),
    0)
  ),
"")</f>
        <v>158.9</v>
      </c>
      <c r="S48" cm="1">
        <f t="array" ref="S48">IFERROR(
  INDEX(All_India_Index_Upto_April23__1___1[General index],
    MATCH(1,
      (All_India_Index_Upto_April23__1___1[Date]=EDATE($A48,-1))*
      (All_India_Index_Upto_April23__1___1[Sector]="Rural+Urban"),
    0)
  ),
"")</f>
        <v>158.4</v>
      </c>
      <c r="T48" s="8">
        <f t="shared" si="6"/>
        <v>3.1565656565656565E-3</v>
      </c>
    </row>
    <row r="49" spans="1:20" x14ac:dyDescent="0.2">
      <c r="A49" s="22">
        <v>44197</v>
      </c>
      <c r="B49">
        <v>2021</v>
      </c>
      <c r="C49" t="s">
        <v>31</v>
      </c>
      <c r="D49" s="2">
        <v>51</v>
      </c>
      <c r="E49" s="8">
        <f t="shared" si="1"/>
        <v>0.15686274509803921</v>
      </c>
      <c r="F49" s="8">
        <f t="shared" si="2"/>
        <v>0.15686274509803921</v>
      </c>
      <c r="G49" t="e">
        <f t="shared" si="7"/>
        <v>#N/A</v>
      </c>
      <c r="H49" s="22">
        <v>44197</v>
      </c>
      <c r="I49" cm="1">
        <f t="array" ref="I49">IFERROR(
  INDEX(All_India_Index_Upto_April23__1___1[Fuel and light],
    MATCH(1,
      (All_India_Index_Upto_April23__1___1[Date]=$A49)*
      (All_India_Index_Upto_April23__1___1[Sector]="Rural+Urban"),
    0)
  ),
"")</f>
        <v>147.9</v>
      </c>
      <c r="J49" cm="1">
        <f t="array" ref="J49">IFERROR(
  INDEX(All_India_Index_Upto_April23__1___1[Fuel and light],
    MATCH(1,
      (All_India_Index_Upto_April23__1___1[Date]=EDATE($A49,-1))*
      (All_India_Index_Upto_April23__1___1[Sector]="Rural+Urban"),
    0)
  ),
"")</f>
        <v>144.6</v>
      </c>
      <c r="K49" s="8">
        <f t="shared" si="3"/>
        <v>2.2821576763485556E-2</v>
      </c>
      <c r="L49" cm="1">
        <f t="array" ref="L49">IFERROR(
  INDEX(All_India_Index_Upto_April23__1___1[Transport and communication],
    MATCH(1,
      (All_India_Index_Upto_April23__1___1[Date]=$A49)*
      (All_India_Index_Upto_April23__1___1[Sector]="Rural+Urban"),
    0)
  ),
"")</f>
        <v>141.9</v>
      </c>
      <c r="M49" cm="1">
        <f t="array" ref="M49">IFERROR(
  INDEX(All_India_Index_Upto_April23__1___1[Transport and communication],
    MATCH(1,
      (All_India_Index_Upto_April23__1___1[Date]=EDATE($A49,-1))*
      (All_India_Index_Upto_April23__1___1[Sector]="Rural+Urban"),
    0)
  ),
"")</f>
        <v>140.69999999999999</v>
      </c>
      <c r="N49" s="8">
        <f t="shared" si="4"/>
        <v>8.5287846481877545E-3</v>
      </c>
      <c r="O49" s="2" cm="1">
        <f t="array" ref="O49">IFERROR(
  AVERAGE(
    INDEX(All_India_Index_Upto_April23__1___1[Cereals and products],
      MATCH(1,(All_India_Index_Upto_April23__1___1[Date]=$A49)*
              (All_India_Index_Upto_April23__1___1[Sector]="Rural+Urban"),0)),
    INDEX(All_India_Index_Upto_April23__1___1[Meat and fish],
      MATCH(1,(All_India_Index_Upto_April23__1___1[Date]=$A49)*
              (All_India_Index_Upto_April23__1___1[Sector]="Rural+Urban"),0)),
    INDEX(All_India_Index_Upto_April23__1___1[Egg],
      MATCH(1,(All_India_Index_Upto_April23__1___1[Date]=$A49)*
              (All_India_Index_Upto_April23__1___1[Sector]="Rural+Urban"),0)),
    INDEX(All_India_Index_Upto_April23__1___1[Milk and products],
      MATCH(1,(All_India_Index_Upto_April23__1___1[Date]=$A49)*
              (All_India_Index_Upto_April23__1___1[Sector]="Rural+Urban"),0)),
    INDEX(All_India_Index_Upto_April23__1___1[Oils and fats],
      MATCH(1,(All_India_Index_Upto_April23__1___1[Date]=$A49)*
              (All_India_Index_Upto_April23__1___1[Sector]="Rural+Urban"),0)),
    INDEX(All_India_Index_Upto_April23__1___1[Fruits],
      MATCH(1,(All_India_Index_Upto_April23__1___1[Date]=$A49)*
              (All_India_Index_Upto_April23__1___1[Sector]="Rural+Urban"),0)),
    INDEX(All_India_Index_Upto_April23__1___1[Vegetables],
      MATCH(1,(All_India_Index_Upto_April23__1___1[Date]=$A49)*
              (All_India_Index_Upto_April23__1___1[Sector]="Rural+Urban"),0)),
    INDEX(All_India_Index_Upto_April23__1___1[Pulses and products],
      MATCH(1,(All_India_Index_Upto_April23__1___1[Date]=$A49)*
              (All_India_Index_Upto_April23__1___1[Sector]="Rural+Urban"),0)),
    INDEX(All_India_Index_Upto_April23__1___1[Sugar and Confectionery],
      MATCH(1,(All_India_Index_Upto_April23__1___1[Date]=$A49)*
              (All_India_Index_Upto_April23__1___1[Sector]="Rural+Urban"),0)),
    INDEX(All_India_Index_Upto_April23__1___1[Spices],
      MATCH(1,(All_India_Index_Upto_April23__1___1[Date]=$A49)*
              (All_India_Index_Upto_April23__1___1[Sector]="Rural+Urban"),0)),
    INDEX(All_India_Index_Upto_April23__1___1[Non-alcoholic beverages],
      MATCH(1,(All_India_Index_Upto_April23__1___1[Date]=$A49)*
              (All_India_Index_Upto_April23__1___1[Sector]="Rural+Urban"),0)),
    INDEX(All_India_Index_Upto_April23__1___1[Prepared meals, snacks, sweets etc.],
      MATCH(1,(All_India_Index_Upto_April23__1___1[Date]=$A49)*
              (All_India_Index_Upto_April23__1___1[Sector]="Rural+Urban"),0))
  ),
"")</f>
        <v>159.62499999999997</v>
      </c>
      <c r="P49" s="2" cm="1">
        <f t="array" ref="P49">IFERROR(
  AVERAGE(
    INDEX(All_India_Index_Upto_April23__1___1[Cereals and products],
      MATCH(1,(All_India_Index_Upto_April23__1___1[Date]=EDATE($A49,-12))*
              (All_India_Index_Upto_April23__1___1[Sector]="Rural+Urban"),0)),
    INDEX(All_India_Index_Upto_April23__1___1[Meat and fish],
      MATCH(1,(All_India_Index_Upto_April23__1___1[Date]=EDATE($A49,-12))*
              (All_India_Index_Upto_April23__1___1[Sector]="Rural+Urban"),0)),
    INDEX(All_India_Index_Upto_April23__1___1[Egg],
      MATCH(1,(All_India_Index_Upto_April23__1___1[Date]=EDATE($A49,-12))*
              (All_India_Index_Upto_April23__1___1[Sector]="Rural+Urban"),0)),
    INDEX(All_India_Index_Upto_April23__1___1[Milk and products],
      MATCH(1,(All_India_Index_Upto_April23__1___1[Date]=EDATE($A49,-12))*
              (All_India_Index_Upto_April23__1___1[Sector]="Rural+Urban"),0)),
    INDEX(All_India_Index_Upto_April23__1___1[Oils and fats],
      MATCH(1,(All_India_Index_Upto_April23__1___1[Date]=EDATE($A49,-12))*
              (All_India_Index_Upto_April23__1___1[Sector]="Rural+Urban"),0)),
    INDEX(All_India_Index_Upto_April23__1___1[Fruits],
      MATCH(1,(All_India_Index_Upto_April23__1___1[Date]=EDATE($A49,-12))*
              (All_India_Index_Upto_April23__1___1[Sector]="Rural+Urban"),0)),
    INDEX(All_India_Index_Upto_April23__1___1[Vegetables],
      MATCH(1,(All_India_Index_Upto_April23__1___1[Date]=EDATE($A49,-12))*
              (All_India_Index_Upto_April23__1___1[Sector]="Rural+Urban"),0)),
    INDEX(All_India_Index_Upto_April23__1___1[Pulses and products],
      MATCH(1,(All_India_Index_Upto_April23__1___1[Date]=EDATE($A49,-12))*
              (All_India_Index_Upto_April23__1___1[Sector]="Rural+Urban"),0)),
    INDEX(All_India_Index_Upto_April23__1___1[Sugar and Confectionery],
      MATCH(1,(All_India_Index_Upto_April23__1___1[Date]=EDATE($A49,-12))*
              (All_India_Index_Upto_April23__1___1[Sector]="Rural+Urban"),0)),
    INDEX(All_India_Index_Upto_April23__1___1[Spices],
      MATCH(1,(All_India_Index_Upto_April23__1___1[Date]=EDATE($A49,-12))*
              (All_India_Index_Upto_April23__1___1[Sector]="Rural+Urban"),0)),
    INDEX(All_India_Index_Upto_April23__1___1[Non-alcoholic beverages],
      MATCH(1,(All_India_Index_Upto_April23__1___1[Date]=EDATE($A49,-12))*
              (All_India_Index_Upto_April23__1___1[Sector]="Rural+Urban"),0)),
    INDEX(All_India_Index_Upto_April23__1___1[Prepared meals, snacks, sweets etc.],
      MATCH(1,(All_India_Index_Upto_April23__1___1[Date]=EDATE($A49,-12))*
              (All_India_Index_Upto_April23__1___1[Sector]="Rural+Urban"),0))
  ),
"")</f>
        <v>148.90833333333333</v>
      </c>
      <c r="Q49" s="8">
        <f t="shared" si="5"/>
        <v>7.1968213106497106E-2</v>
      </c>
      <c r="R49" cm="1">
        <f t="array" ref="R49">IFERROR(
  INDEX(All_India_Index_Upto_April23__1___1[General index],
    MATCH(1,
      (All_India_Index_Upto_April23__1___1[Date]=$A49)*
      (All_India_Index_Upto_April23__1___1[Sector]="Rural+Urban"),
    0)
  ),
"")</f>
        <v>157.30000000000001</v>
      </c>
      <c r="S49" cm="1">
        <f t="array" ref="S49">IFERROR(
  INDEX(All_India_Index_Upto_April23__1___1[General index],
    MATCH(1,
      (All_India_Index_Upto_April23__1___1[Date]=EDATE($A49,-1))*
      (All_India_Index_Upto_April23__1___1[Sector]="Rural+Urban"),
    0)
  ),
"")</f>
        <v>158.9</v>
      </c>
      <c r="T49" s="8">
        <f t="shared" si="6"/>
        <v>-1.006922592825673E-2</v>
      </c>
    </row>
    <row r="50" spans="1:20" x14ac:dyDescent="0.2">
      <c r="A50" s="22">
        <v>44228</v>
      </c>
      <c r="B50">
        <v>2021</v>
      </c>
      <c r="C50" t="s">
        <v>35</v>
      </c>
      <c r="D50" s="2">
        <v>59</v>
      </c>
      <c r="E50" s="8">
        <f t="shared" si="1"/>
        <v>6.7796610169491525E-2</v>
      </c>
      <c r="F50" s="8">
        <f t="shared" si="2"/>
        <v>6.7796610169491525E-2</v>
      </c>
      <c r="G50" t="e">
        <f t="shared" si="7"/>
        <v>#N/A</v>
      </c>
      <c r="H50" s="22">
        <v>44228</v>
      </c>
      <c r="I50" cm="1">
        <f t="array" ref="I50">IFERROR(
  INDEX(All_India_Index_Upto_April23__1___1[Fuel and light],
    MATCH(1,
      (All_India_Index_Upto_April23__1___1[Date]=$A50)*
      (All_India_Index_Upto_April23__1___1[Sector]="Rural+Urban"),
    0)
  ),
"")</f>
        <v>152.4</v>
      </c>
      <c r="J50" cm="1">
        <f t="array" ref="J50">IFERROR(
  INDEX(All_India_Index_Upto_April23__1___1[Fuel and light],
    MATCH(1,
      (All_India_Index_Upto_April23__1___1[Date]=EDATE($A50,-1))*
      (All_India_Index_Upto_April23__1___1[Sector]="Rural+Urban"),
    0)
  ),
"")</f>
        <v>147.9</v>
      </c>
      <c r="K50" s="8">
        <f t="shared" si="3"/>
        <v>3.0425963488843813E-2</v>
      </c>
      <c r="L50" cm="1">
        <f t="array" ref="L50">IFERROR(
  INDEX(All_India_Index_Upto_April23__1___1[Transport and communication],
    MATCH(1,
      (All_India_Index_Upto_April23__1___1[Date]=$A50)*
      (All_India_Index_Upto_April23__1___1[Sector]="Rural+Urban"),
    0)
  ),
"")</f>
        <v>145.1</v>
      </c>
      <c r="M50" cm="1">
        <f t="array" ref="M50">IFERROR(
  INDEX(All_India_Index_Upto_April23__1___1[Transport and communication],
    MATCH(1,
      (All_India_Index_Upto_April23__1___1[Date]=EDATE($A50,-1))*
      (All_India_Index_Upto_April23__1___1[Sector]="Rural+Urban"),
    0)
  ),
"")</f>
        <v>141.9</v>
      </c>
      <c r="N50" s="8">
        <f t="shared" si="4"/>
        <v>2.2551092318534097E-2</v>
      </c>
      <c r="O50" s="2" cm="1">
        <f t="array" ref="O50">IFERROR(
  AVERAGE(
    INDEX(All_India_Index_Upto_April23__1___1[Cereals and products],
      MATCH(1,(All_India_Index_Upto_April23__1___1[Date]=$A50)*
              (All_India_Index_Upto_April23__1___1[Sector]="Rural+Urban"),0)),
    INDEX(All_India_Index_Upto_April23__1___1[Meat and fish],
      MATCH(1,(All_India_Index_Upto_April23__1___1[Date]=$A50)*
              (All_India_Index_Upto_April23__1___1[Sector]="Rural+Urban"),0)),
    INDEX(All_India_Index_Upto_April23__1___1[Egg],
      MATCH(1,(All_India_Index_Upto_April23__1___1[Date]=$A50)*
              (All_India_Index_Upto_April23__1___1[Sector]="Rural+Urban"),0)),
    INDEX(All_India_Index_Upto_April23__1___1[Milk and products],
      MATCH(1,(All_India_Index_Upto_April23__1___1[Date]=$A50)*
              (All_India_Index_Upto_April23__1___1[Sector]="Rural+Urban"),0)),
    INDEX(All_India_Index_Upto_April23__1___1[Oils and fats],
      MATCH(1,(All_India_Index_Upto_April23__1___1[Date]=$A50)*
              (All_India_Index_Upto_April23__1___1[Sector]="Rural+Urban"),0)),
    INDEX(All_India_Index_Upto_April23__1___1[Fruits],
      MATCH(1,(All_India_Index_Upto_April23__1___1[Date]=$A50)*
              (All_India_Index_Upto_April23__1___1[Sector]="Rural+Urban"),0)),
    INDEX(All_India_Index_Upto_April23__1___1[Vegetables],
      MATCH(1,(All_India_Index_Upto_April23__1___1[Date]=$A50)*
              (All_India_Index_Upto_April23__1___1[Sector]="Rural+Urban"),0)),
    INDEX(All_India_Index_Upto_April23__1___1[Pulses and products],
      MATCH(1,(All_India_Index_Upto_April23__1___1[Date]=$A50)*
              (All_India_Index_Upto_April23__1___1[Sector]="Rural+Urban"),0)),
    INDEX(All_India_Index_Upto_April23__1___1[Sugar and Confectionery],
      MATCH(1,(All_India_Index_Upto_April23__1___1[Date]=$A50)*
              (All_India_Index_Upto_April23__1___1[Sector]="Rural+Urban"),0)),
    INDEX(All_India_Index_Upto_April23__1___1[Spices],
      MATCH(1,(All_India_Index_Upto_April23__1___1[Date]=$A50)*
              (All_India_Index_Upto_April23__1___1[Sector]="Rural+Urban"),0)),
    INDEX(All_India_Index_Upto_April23__1___1[Non-alcoholic beverages],
      MATCH(1,(All_India_Index_Upto_April23__1___1[Date]=$A50)*
              (All_India_Index_Upto_April23__1___1[Sector]="Rural+Urban"),0)),
    INDEX(All_India_Index_Upto_April23__1___1[Prepared meals, snacks, sweets etc.],
      MATCH(1,(All_India_Index_Upto_April23__1___1[Date]=$A50)*
              (All_India_Index_Upto_April23__1___1[Sector]="Rural+Urban"),0))
  ),
"")</f>
        <v>156.86666666666667</v>
      </c>
      <c r="P50" s="2" cm="1">
        <f t="array" ref="P50">IFERROR(
  AVERAGE(
    INDEX(All_India_Index_Upto_April23__1___1[Cereals and products],
      MATCH(1,(All_India_Index_Upto_April23__1___1[Date]=EDATE($A50,-12))*
              (All_India_Index_Upto_April23__1___1[Sector]="Rural+Urban"),0)),
    INDEX(All_India_Index_Upto_April23__1___1[Meat and fish],
      MATCH(1,(All_India_Index_Upto_April23__1___1[Date]=EDATE($A50,-12))*
              (All_India_Index_Upto_April23__1___1[Sector]="Rural+Urban"),0)),
    INDEX(All_India_Index_Upto_April23__1___1[Egg],
      MATCH(1,(All_India_Index_Upto_April23__1___1[Date]=EDATE($A50,-12))*
              (All_India_Index_Upto_April23__1___1[Sector]="Rural+Urban"),0)),
    INDEX(All_India_Index_Upto_April23__1___1[Milk and products],
      MATCH(1,(All_India_Index_Upto_April23__1___1[Date]=EDATE($A50,-12))*
              (All_India_Index_Upto_April23__1___1[Sector]="Rural+Urban"),0)),
    INDEX(All_India_Index_Upto_April23__1___1[Oils and fats],
      MATCH(1,(All_India_Index_Upto_April23__1___1[Date]=EDATE($A50,-12))*
              (All_India_Index_Upto_April23__1___1[Sector]="Rural+Urban"),0)),
    INDEX(All_India_Index_Upto_April23__1___1[Fruits],
      MATCH(1,(All_India_Index_Upto_April23__1___1[Date]=EDATE($A50,-12))*
              (All_India_Index_Upto_April23__1___1[Sector]="Rural+Urban"),0)),
    INDEX(All_India_Index_Upto_April23__1___1[Vegetables],
      MATCH(1,(All_India_Index_Upto_April23__1___1[Date]=EDATE($A50,-12))*
              (All_India_Index_Upto_April23__1___1[Sector]="Rural+Urban"),0)),
    INDEX(All_India_Index_Upto_April23__1___1[Pulses and products],
      MATCH(1,(All_India_Index_Upto_April23__1___1[Date]=EDATE($A50,-12))*
              (All_India_Index_Upto_April23__1___1[Sector]="Rural+Urban"),0)),
    INDEX(All_India_Index_Upto_April23__1___1[Sugar and Confectionery],
      MATCH(1,(All_India_Index_Upto_April23__1___1[Date]=EDATE($A50,-12))*
              (All_India_Index_Upto_April23__1___1[Sector]="Rural+Urban"),0)),
    INDEX(All_India_Index_Upto_April23__1___1[Spices],
      MATCH(1,(All_India_Index_Upto_April23__1___1[Date]=EDATE($A50,-12))*
              (All_India_Index_Upto_April23__1___1[Sector]="Rural+Urban"),0)),
    INDEX(All_India_Index_Upto_April23__1___1[Non-alcoholic beverages],
      MATCH(1,(All_India_Index_Upto_April23__1___1[Date]=EDATE($A50,-12))*
              (All_India_Index_Upto_April23__1___1[Sector]="Rural+Urban"),0)),
    INDEX(All_India_Index_Upto_April23__1___1[Prepared meals, snacks, sweets etc.],
      MATCH(1,(All_India_Index_Upto_April23__1___1[Date]=EDATE($A50,-12))*
              (All_India_Index_Upto_April23__1___1[Sector]="Rural+Urban"),0))
  ),
"")</f>
        <v>146.75833333333333</v>
      </c>
      <c r="Q50" s="8">
        <f t="shared" si="5"/>
        <v>6.8877406166600527E-2</v>
      </c>
      <c r="R50" cm="1">
        <f t="array" ref="R50">IFERROR(
  INDEX(All_India_Index_Upto_April23__1___1[General index],
    MATCH(1,
      (All_India_Index_Upto_April23__1___1[Date]=$A50)*
      (All_India_Index_Upto_April23__1___1[Sector]="Rural+Urban"),
    0)
  ),
"")</f>
        <v>156.6</v>
      </c>
      <c r="S50" cm="1">
        <f t="array" ref="S50">IFERROR(
  INDEX(All_India_Index_Upto_April23__1___1[General index],
    MATCH(1,
      (All_India_Index_Upto_April23__1___1[Date]=EDATE($A50,-1))*
      (All_India_Index_Upto_April23__1___1[Sector]="Rural+Urban"),
    0)
  ),
"")</f>
        <v>157.30000000000001</v>
      </c>
      <c r="T50" s="8">
        <f t="shared" si="6"/>
        <v>-4.4500953591863762E-3</v>
      </c>
    </row>
    <row r="51" spans="1:20" x14ac:dyDescent="0.2">
      <c r="A51" s="22">
        <v>44256</v>
      </c>
      <c r="B51">
        <v>2021</v>
      </c>
      <c r="C51" t="s">
        <v>37</v>
      </c>
      <c r="D51" s="2">
        <v>63</v>
      </c>
      <c r="E51" s="8">
        <f t="shared" si="1"/>
        <v>-1.5873015873015872E-2</v>
      </c>
      <c r="F51" s="8">
        <f t="shared" si="2"/>
        <v>-1.5873015873015872E-2</v>
      </c>
      <c r="G51" t="e">
        <f t="shared" si="7"/>
        <v>#N/A</v>
      </c>
      <c r="H51" s="22">
        <v>44256</v>
      </c>
      <c r="I51" cm="1">
        <f t="array" ref="I51">IFERROR(
  INDEX(All_India_Index_Upto_April23__1___1[Fuel and light],
    MATCH(1,
      (All_India_Index_Upto_April23__1___1[Date]=$A51)*
      (All_India_Index_Upto_April23__1___1[Sector]="Rural+Urban"),
    0)
  ),
"")</f>
        <v>155.5</v>
      </c>
      <c r="J51" cm="1">
        <f t="array" ref="J51">IFERROR(
  INDEX(All_India_Index_Upto_April23__1___1[Fuel and light],
    MATCH(1,
      (All_India_Index_Upto_April23__1___1[Date]=EDATE($A51,-1))*
      (All_India_Index_Upto_April23__1___1[Sector]="Rural+Urban"),
    0)
  ),
"")</f>
        <v>152.4</v>
      </c>
      <c r="K51" s="8">
        <f t="shared" si="3"/>
        <v>2.0341207349081326E-2</v>
      </c>
      <c r="L51" cm="1">
        <f t="array" ref="L51">IFERROR(
  INDEX(All_India_Index_Upto_April23__1___1[Transport and communication],
    MATCH(1,
      (All_India_Index_Upto_April23__1___1[Date]=$A51)*
      (All_India_Index_Upto_April23__1___1[Sector]="Rural+Urban"),
    0)
  ),
"")</f>
        <v>146.19999999999999</v>
      </c>
      <c r="M51" cm="1">
        <f t="array" ref="M51">IFERROR(
  INDEX(All_India_Index_Upto_April23__1___1[Transport and communication],
    MATCH(1,
      (All_India_Index_Upto_April23__1___1[Date]=EDATE($A51,-1))*
      (All_India_Index_Upto_April23__1___1[Sector]="Rural+Urban"),
    0)
  ),
"")</f>
        <v>145.1</v>
      </c>
      <c r="N51" s="8">
        <f t="shared" si="4"/>
        <v>7.5809786354238068E-3</v>
      </c>
      <c r="O51" s="2" cm="1">
        <f t="array" ref="O51">IFERROR(
  AVERAGE(
    INDEX(All_India_Index_Upto_April23__1___1[Cereals and products],
      MATCH(1,(All_India_Index_Upto_April23__1___1[Date]=$A51)*
              (All_India_Index_Upto_April23__1___1[Sector]="Rural+Urban"),0)),
    INDEX(All_India_Index_Upto_April23__1___1[Meat and fish],
      MATCH(1,(All_India_Index_Upto_April23__1___1[Date]=$A51)*
              (All_India_Index_Upto_April23__1___1[Sector]="Rural+Urban"),0)),
    INDEX(All_India_Index_Upto_April23__1___1[Egg],
      MATCH(1,(All_India_Index_Upto_April23__1___1[Date]=$A51)*
              (All_India_Index_Upto_April23__1___1[Sector]="Rural+Urban"),0)),
    INDEX(All_India_Index_Upto_April23__1___1[Milk and products],
      MATCH(1,(All_India_Index_Upto_April23__1___1[Date]=$A51)*
              (All_India_Index_Upto_April23__1___1[Sector]="Rural+Urban"),0)),
    INDEX(All_India_Index_Upto_April23__1___1[Oils and fats],
      MATCH(1,(All_India_Index_Upto_April23__1___1[Date]=$A51)*
              (All_India_Index_Upto_April23__1___1[Sector]="Rural+Urban"),0)),
    INDEX(All_India_Index_Upto_April23__1___1[Fruits],
      MATCH(1,(All_India_Index_Upto_April23__1___1[Date]=$A51)*
              (All_India_Index_Upto_April23__1___1[Sector]="Rural+Urban"),0)),
    INDEX(All_India_Index_Upto_April23__1___1[Vegetables],
      MATCH(1,(All_India_Index_Upto_April23__1___1[Date]=$A51)*
              (All_India_Index_Upto_April23__1___1[Sector]="Rural+Urban"),0)),
    INDEX(All_India_Index_Upto_April23__1___1[Pulses and products],
      MATCH(1,(All_India_Index_Upto_April23__1___1[Date]=$A51)*
              (All_India_Index_Upto_April23__1___1[Sector]="Rural+Urban"),0)),
    INDEX(All_India_Index_Upto_April23__1___1[Sugar and Confectionery],
      MATCH(1,(All_India_Index_Upto_April23__1___1[Date]=$A51)*
              (All_India_Index_Upto_April23__1___1[Sector]="Rural+Urban"),0)),
    INDEX(All_India_Index_Upto_April23__1___1[Spices],
      MATCH(1,(All_India_Index_Upto_April23__1___1[Date]=$A51)*
              (All_India_Index_Upto_April23__1___1[Sector]="Rural+Urban"),0)),
    INDEX(All_India_Index_Upto_April23__1___1[Non-alcoholic beverages],
      MATCH(1,(All_India_Index_Upto_April23__1___1[Date]=$A51)*
              (All_India_Index_Upto_April23__1___1[Sector]="Rural+Urban"),0)),
    INDEX(All_India_Index_Upto_April23__1___1[Prepared meals, snacks, sweets etc.],
      MATCH(1,(All_India_Index_Upto_April23__1___1[Date]=$A51)*
              (All_India_Index_Upto_April23__1___1[Sector]="Rural+Urban"),0))
  ),
"")</f>
        <v>156.89166666666665</v>
      </c>
      <c r="P51" s="2" cm="1">
        <f t="array" ref="P51">IFERROR(
  AVERAGE(
    INDEX(All_India_Index_Upto_April23__1___1[Cereals and products],
      MATCH(1,(All_India_Index_Upto_April23__1___1[Date]=EDATE($A51,-12))*
              (All_India_Index_Upto_April23__1___1[Sector]="Rural+Urban"),0)),
    INDEX(All_India_Index_Upto_April23__1___1[Meat and fish],
      MATCH(1,(All_India_Index_Upto_April23__1___1[Date]=EDATE($A51,-12))*
              (All_India_Index_Upto_April23__1___1[Sector]="Rural+Urban"),0)),
    INDEX(All_India_Index_Upto_April23__1___1[Egg],
      MATCH(1,(All_India_Index_Upto_April23__1___1[Date]=EDATE($A51,-12))*
              (All_India_Index_Upto_April23__1___1[Sector]="Rural+Urban"),0)),
    INDEX(All_India_Index_Upto_April23__1___1[Milk and products],
      MATCH(1,(All_India_Index_Upto_April23__1___1[Date]=EDATE($A51,-12))*
              (All_India_Index_Upto_April23__1___1[Sector]="Rural+Urban"),0)),
    INDEX(All_India_Index_Upto_April23__1___1[Oils and fats],
      MATCH(1,(All_India_Index_Upto_April23__1___1[Date]=EDATE($A51,-12))*
              (All_India_Index_Upto_April23__1___1[Sector]="Rural+Urban"),0)),
    INDEX(All_India_Index_Upto_April23__1___1[Fruits],
      MATCH(1,(All_India_Index_Upto_April23__1___1[Date]=EDATE($A51,-12))*
              (All_India_Index_Upto_April23__1___1[Sector]="Rural+Urban"),0)),
    INDEX(All_India_Index_Upto_April23__1___1[Vegetables],
      MATCH(1,(All_India_Index_Upto_April23__1___1[Date]=EDATE($A51,-12))*
              (All_India_Index_Upto_April23__1___1[Sector]="Rural+Urban"),0)),
    INDEX(All_India_Index_Upto_April23__1___1[Pulses and products],
      MATCH(1,(All_India_Index_Upto_April23__1___1[Date]=EDATE($A51,-12))*
              (All_India_Index_Upto_April23__1___1[Sector]="Rural+Urban"),0)),
    INDEX(All_India_Index_Upto_April23__1___1[Sugar and Confectionery],
      MATCH(1,(All_India_Index_Upto_April23__1___1[Date]=EDATE($A51,-12))*
              (All_India_Index_Upto_April23__1___1[Sector]="Rural+Urban"),0)),
    INDEX(All_India_Index_Upto_April23__1___1[Spices],
      MATCH(1,(All_India_Index_Upto_April23__1___1[Date]=EDATE($A51,-12))*
              (All_India_Index_Upto_April23__1___1[Sector]="Rural+Urban"),0)),
    INDEX(All_India_Index_Upto_April23__1___1[Non-alcoholic beverages],
      MATCH(1,(All_India_Index_Upto_April23__1___1[Date]=EDATE($A51,-12))*
              (All_India_Index_Upto_April23__1___1[Sector]="Rural+Urban"),0)),
    INDEX(All_India_Index_Upto_April23__1___1[Prepared meals, snacks, sweets etc.],
      MATCH(1,(All_India_Index_Upto_April23__1___1[Date]=EDATE($A51,-12))*
              (All_India_Index_Upto_April23__1___1[Sector]="Rural+Urban"),0))
  ),
"")</f>
        <v>145.54166666666666</v>
      </c>
      <c r="Q51" s="8">
        <f t="shared" si="5"/>
        <v>7.7984540509590569E-2</v>
      </c>
      <c r="R51" cm="1">
        <f t="array" ref="R51">IFERROR(
  INDEX(All_India_Index_Upto_April23__1___1[General index],
    MATCH(1,
      (All_India_Index_Upto_April23__1___1[Date]=$A51)*
      (All_India_Index_Upto_April23__1___1[Sector]="Rural+Urban"),
    0)
  ),
"")</f>
        <v>156.80000000000001</v>
      </c>
      <c r="S51" cm="1">
        <f t="array" ref="S51">IFERROR(
  INDEX(All_India_Index_Upto_April23__1___1[General index],
    MATCH(1,
      (All_India_Index_Upto_April23__1___1[Date]=EDATE($A51,-1))*
      (All_India_Index_Upto_April23__1___1[Sector]="Rural+Urban"),
    0)
  ),
"")</f>
        <v>156.6</v>
      </c>
      <c r="T51" s="8">
        <f t="shared" si="6"/>
        <v>1.2771392081737999E-3</v>
      </c>
    </row>
    <row r="52" spans="1:20" x14ac:dyDescent="0.2">
      <c r="A52" s="22">
        <v>44287</v>
      </c>
      <c r="B52">
        <v>2021</v>
      </c>
      <c r="C52" t="s">
        <v>38</v>
      </c>
      <c r="D52" s="2">
        <v>62</v>
      </c>
      <c r="E52" s="8">
        <f t="shared" si="1"/>
        <v>6.4516129032258063E-2</v>
      </c>
      <c r="F52" s="8">
        <f t="shared" si="2"/>
        <v>6.4516129032258063E-2</v>
      </c>
      <c r="G52" t="e">
        <f t="shared" si="7"/>
        <v>#N/A</v>
      </c>
      <c r="H52" s="22">
        <v>44287</v>
      </c>
      <c r="I52" cm="1">
        <f t="array" ref="I52">IFERROR(
  INDEX(All_India_Index_Upto_April23__1___1[Fuel and light],
    MATCH(1,
      (All_India_Index_Upto_April23__1___1[Date]=$A52)*
      (All_India_Index_Upto_April23__1___1[Sector]="Rural+Urban"),
    0)
  ),
"")</f>
        <v>155.6</v>
      </c>
      <c r="J52" cm="1">
        <f t="array" ref="J52">IFERROR(
  INDEX(All_India_Index_Upto_April23__1___1[Fuel and light],
    MATCH(1,
      (All_India_Index_Upto_April23__1___1[Date]=EDATE($A52,-1))*
      (All_India_Index_Upto_April23__1___1[Sector]="Rural+Urban"),
    0)
  ),
"")</f>
        <v>155.5</v>
      </c>
      <c r="K52" s="8">
        <f t="shared" si="3"/>
        <v>6.4308681672022071E-4</v>
      </c>
      <c r="L52" cm="1">
        <f t="array" ref="L52">IFERROR(
  INDEX(All_India_Index_Upto_April23__1___1[Transport and communication],
    MATCH(1,
      (All_India_Index_Upto_April23__1___1[Date]=$A52)*
      (All_India_Index_Upto_April23__1___1[Sector]="Rural+Urban"),
    0)
  ),
"")</f>
        <v>146.6</v>
      </c>
      <c r="M52" cm="1">
        <f t="array" ref="M52">IFERROR(
  INDEX(All_India_Index_Upto_April23__1___1[Transport and communication],
    MATCH(1,
      (All_India_Index_Upto_April23__1___1[Date]=EDATE($A52,-1))*
      (All_India_Index_Upto_April23__1___1[Sector]="Rural+Urban"),
    0)
  ),
"")</f>
        <v>146.19999999999999</v>
      </c>
      <c r="N52" s="8">
        <f t="shared" si="4"/>
        <v>2.7359781121751416E-3</v>
      </c>
      <c r="O52" s="2" cm="1">
        <f t="array" ref="O52">IFERROR(
  AVERAGE(
    INDEX(All_India_Index_Upto_April23__1___1[Cereals and products],
      MATCH(1,(All_India_Index_Upto_April23__1___1[Date]=$A52)*
              (All_India_Index_Upto_April23__1___1[Sector]="Rural+Urban"),0)),
    INDEX(All_India_Index_Upto_April23__1___1[Meat and fish],
      MATCH(1,(All_India_Index_Upto_April23__1___1[Date]=$A52)*
              (All_India_Index_Upto_April23__1___1[Sector]="Rural+Urban"),0)),
    INDEX(All_India_Index_Upto_April23__1___1[Egg],
      MATCH(1,(All_India_Index_Upto_April23__1___1[Date]=$A52)*
              (All_India_Index_Upto_April23__1___1[Sector]="Rural+Urban"),0)),
    INDEX(All_India_Index_Upto_April23__1___1[Milk and products],
      MATCH(1,(All_India_Index_Upto_April23__1___1[Date]=$A52)*
              (All_India_Index_Upto_April23__1___1[Sector]="Rural+Urban"),0)),
    INDEX(All_India_Index_Upto_April23__1___1[Oils and fats],
      MATCH(1,(All_India_Index_Upto_April23__1___1[Date]=$A52)*
              (All_India_Index_Upto_April23__1___1[Sector]="Rural+Urban"),0)),
    INDEX(All_India_Index_Upto_April23__1___1[Fruits],
      MATCH(1,(All_India_Index_Upto_April23__1___1[Date]=$A52)*
              (All_India_Index_Upto_April23__1___1[Sector]="Rural+Urban"),0)),
    INDEX(All_India_Index_Upto_April23__1___1[Vegetables],
      MATCH(1,(All_India_Index_Upto_April23__1___1[Date]=$A52)*
              (All_India_Index_Upto_April23__1___1[Sector]="Rural+Urban"),0)),
    INDEX(All_India_Index_Upto_April23__1___1[Pulses and products],
      MATCH(1,(All_India_Index_Upto_April23__1___1[Date]=$A52)*
              (All_India_Index_Upto_April23__1___1[Sector]="Rural+Urban"),0)),
    INDEX(All_India_Index_Upto_April23__1___1[Sugar and Confectionery],
      MATCH(1,(All_India_Index_Upto_April23__1___1[Date]=$A52)*
              (All_India_Index_Upto_April23__1___1[Sector]="Rural+Urban"),0)),
    INDEX(All_India_Index_Upto_April23__1___1[Spices],
      MATCH(1,(All_India_Index_Upto_April23__1___1[Date]=$A52)*
              (All_India_Index_Upto_April23__1___1[Sector]="Rural+Urban"),0)),
    INDEX(All_India_Index_Upto_April23__1___1[Non-alcoholic beverages],
      MATCH(1,(All_India_Index_Upto_April23__1___1[Date]=$A52)*
              (All_India_Index_Upto_April23__1___1[Sector]="Rural+Urban"),0)),
    INDEX(All_India_Index_Upto_April23__1___1[Prepared meals, snacks, sweets etc.],
      MATCH(1,(All_India_Index_Upto_April23__1___1[Date]=$A52)*
              (All_India_Index_Upto_April23__1___1[Sector]="Rural+Urban"),0))
  ),
"")</f>
        <v>158.84166666666667</v>
      </c>
      <c r="P52" s="2" cm="1">
        <f t="array" ref="P52">IFERROR(
  AVERAGE(
    INDEX(All_India_Index_Upto_April23__1___1[Cereals and products],
      MATCH(1,(All_India_Index_Upto_April23__1___1[Date]=EDATE($A52,-12))*
              (All_India_Index_Upto_April23__1___1[Sector]="Rural+Urban"),0)),
    INDEX(All_India_Index_Upto_April23__1___1[Meat and fish],
      MATCH(1,(All_India_Index_Upto_April23__1___1[Date]=EDATE($A52,-12))*
              (All_India_Index_Upto_April23__1___1[Sector]="Rural+Urban"),0)),
    INDEX(All_India_Index_Upto_April23__1___1[Egg],
      MATCH(1,(All_India_Index_Upto_April23__1___1[Date]=EDATE($A52,-12))*
              (All_India_Index_Upto_April23__1___1[Sector]="Rural+Urban"),0)),
    INDEX(All_India_Index_Upto_April23__1___1[Milk and products],
      MATCH(1,(All_India_Index_Upto_April23__1___1[Date]=EDATE($A52,-12))*
              (All_India_Index_Upto_April23__1___1[Sector]="Rural+Urban"),0)),
    INDEX(All_India_Index_Upto_April23__1___1[Oils and fats],
      MATCH(1,(All_India_Index_Upto_April23__1___1[Date]=EDATE($A52,-12))*
              (All_India_Index_Upto_April23__1___1[Sector]="Rural+Urban"),0)),
    INDEX(All_India_Index_Upto_April23__1___1[Fruits],
      MATCH(1,(All_India_Index_Upto_April23__1___1[Date]=EDATE($A52,-12))*
              (All_India_Index_Upto_April23__1___1[Sector]="Rural+Urban"),0)),
    INDEX(All_India_Index_Upto_April23__1___1[Vegetables],
      MATCH(1,(All_India_Index_Upto_April23__1___1[Date]=EDATE($A52,-12))*
              (All_India_Index_Upto_April23__1___1[Sector]="Rural+Urban"),0)),
    INDEX(All_India_Index_Upto_April23__1___1[Pulses and products],
      MATCH(1,(All_India_Index_Upto_April23__1___1[Date]=EDATE($A52,-12))*
              (All_India_Index_Upto_April23__1___1[Sector]="Rural+Urban"),0)),
    INDEX(All_India_Index_Upto_April23__1___1[Sugar and Confectionery],
      MATCH(1,(All_India_Index_Upto_April23__1___1[Date]=EDATE($A52,-12))*
              (All_India_Index_Upto_April23__1___1[Sector]="Rural+Urban"),0)),
    INDEX(All_India_Index_Upto_April23__1___1[Spices],
      MATCH(1,(All_India_Index_Upto_April23__1___1[Date]=EDATE($A52,-12))*
              (All_India_Index_Upto_April23__1___1[Sector]="Rural+Urban"),0)),
    INDEX(All_India_Index_Upto_April23__1___1[Non-alcoholic beverages],
      MATCH(1,(All_India_Index_Upto_April23__1___1[Date]=EDATE($A52,-12))*
              (All_India_Index_Upto_April23__1___1[Sector]="Rural+Urban"),0)),
    INDEX(All_India_Index_Upto_April23__1___1[Prepared meals, snacks, sweets etc.],
      MATCH(1,(All_India_Index_Upto_April23__1___1[Date]=EDATE($A52,-12))*
              (All_India_Index_Upto_April23__1___1[Sector]="Rural+Urban"),0))
  ),
"")</f>
        <v>150.86249999999998</v>
      </c>
      <c r="Q52" s="8">
        <f t="shared" si="5"/>
        <v>5.289032507526182E-2</v>
      </c>
      <c r="R52" cm="1">
        <f t="array" ref="R52">IFERROR(
  INDEX(All_India_Index_Upto_April23__1___1[General index],
    MATCH(1,
      (All_India_Index_Upto_April23__1___1[Date]=$A52)*
      (All_India_Index_Upto_April23__1___1[Sector]="Rural+Urban"),
    0)
  ),
"")</f>
        <v>157.80000000000001</v>
      </c>
      <c r="S52" cm="1">
        <f t="array" ref="S52">IFERROR(
  INDEX(All_India_Index_Upto_April23__1___1[General index],
    MATCH(1,
      (All_India_Index_Upto_April23__1___1[Date]=EDATE($A52,-1))*
      (All_India_Index_Upto_April23__1___1[Sector]="Rural+Urban"),
    0)
  ),
"")</f>
        <v>156.80000000000001</v>
      </c>
      <c r="T52" s="8">
        <f t="shared" si="6"/>
        <v>6.3775510204081625E-3</v>
      </c>
    </row>
    <row r="53" spans="1:20" x14ac:dyDescent="0.2">
      <c r="A53" s="22">
        <v>44317</v>
      </c>
      <c r="B53">
        <v>2021</v>
      </c>
      <c r="C53" t="s">
        <v>40</v>
      </c>
      <c r="D53" s="2">
        <v>66</v>
      </c>
      <c r="E53" s="8">
        <f t="shared" si="1"/>
        <v>9.0909090909090912E-2</v>
      </c>
      <c r="F53" s="8">
        <f t="shared" si="2"/>
        <v>9.0909090909090912E-2</v>
      </c>
      <c r="G53" t="e">
        <f t="shared" si="7"/>
        <v>#N/A</v>
      </c>
      <c r="H53" s="22">
        <v>44317</v>
      </c>
      <c r="I53" cm="1">
        <f t="array" ref="I53">IFERROR(
  INDEX(All_India_Index_Upto_April23__1___1[Fuel and light],
    MATCH(1,
      (All_India_Index_Upto_April23__1___1[Date]=$A53)*
      (All_India_Index_Upto_April23__1___1[Sector]="Rural+Urban"),
    0)
  ),
"")</f>
        <v>159.4</v>
      </c>
      <c r="J53" cm="1">
        <f t="array" ref="J53">IFERROR(
  INDEX(All_India_Index_Upto_April23__1___1[Fuel and light],
    MATCH(1,
      (All_India_Index_Upto_April23__1___1[Date]=EDATE($A53,-1))*
      (All_India_Index_Upto_April23__1___1[Sector]="Rural+Urban"),
    0)
  ),
"")</f>
        <v>155.6</v>
      </c>
      <c r="K53" s="8">
        <f t="shared" si="3"/>
        <v>2.4421593830334265E-2</v>
      </c>
      <c r="L53" cm="1">
        <f t="array" ref="L53">IFERROR(
  INDEX(All_India_Index_Upto_April23__1___1[Transport and communication],
    MATCH(1,
      (All_India_Index_Upto_April23__1___1[Date]=$A53)*
      (All_India_Index_Upto_April23__1___1[Sector]="Rural+Urban"),
    0)
  ),
"")</f>
        <v>148.9</v>
      </c>
      <c r="M53" cm="1">
        <f t="array" ref="M53">IFERROR(
  INDEX(All_India_Index_Upto_April23__1___1[Transport and communication],
    MATCH(1,
      (All_India_Index_Upto_April23__1___1[Date]=EDATE($A53,-1))*
      (All_India_Index_Upto_April23__1___1[Sector]="Rural+Urban"),
    0)
  ),
"")</f>
        <v>146.6</v>
      </c>
      <c r="N53" s="8">
        <f t="shared" si="4"/>
        <v>1.568894952251031E-2</v>
      </c>
      <c r="O53" s="2" cm="1">
        <f t="array" ref="O53">IFERROR(
  AVERAGE(
    INDEX(All_India_Index_Upto_April23__1___1[Cereals and products],
      MATCH(1,(All_India_Index_Upto_April23__1___1[Date]=$A53)*
              (All_India_Index_Upto_April23__1___1[Sector]="Rural+Urban"),0)),
    INDEX(All_India_Index_Upto_April23__1___1[Meat and fish],
      MATCH(1,(All_India_Index_Upto_April23__1___1[Date]=$A53)*
              (All_India_Index_Upto_April23__1___1[Sector]="Rural+Urban"),0)),
    INDEX(All_India_Index_Upto_April23__1___1[Egg],
      MATCH(1,(All_India_Index_Upto_April23__1___1[Date]=$A53)*
              (All_India_Index_Upto_April23__1___1[Sector]="Rural+Urban"),0)),
    INDEX(All_India_Index_Upto_April23__1___1[Milk and products],
      MATCH(1,(All_India_Index_Upto_April23__1___1[Date]=$A53)*
              (All_India_Index_Upto_April23__1___1[Sector]="Rural+Urban"),0)),
    INDEX(All_India_Index_Upto_April23__1___1[Oils and fats],
      MATCH(1,(All_India_Index_Upto_April23__1___1[Date]=$A53)*
              (All_India_Index_Upto_April23__1___1[Sector]="Rural+Urban"),0)),
    INDEX(All_India_Index_Upto_April23__1___1[Fruits],
      MATCH(1,(All_India_Index_Upto_April23__1___1[Date]=$A53)*
              (All_India_Index_Upto_April23__1___1[Sector]="Rural+Urban"),0)),
    INDEX(All_India_Index_Upto_April23__1___1[Vegetables],
      MATCH(1,(All_India_Index_Upto_April23__1___1[Date]=$A53)*
              (All_India_Index_Upto_April23__1___1[Sector]="Rural+Urban"),0)),
    INDEX(All_India_Index_Upto_April23__1___1[Pulses and products],
      MATCH(1,(All_India_Index_Upto_April23__1___1[Date]=$A53)*
              (All_India_Index_Upto_April23__1___1[Sector]="Rural+Urban"),0)),
    INDEX(All_India_Index_Upto_April23__1___1[Sugar and Confectionery],
      MATCH(1,(All_India_Index_Upto_April23__1___1[Date]=$A53)*
              (All_India_Index_Upto_April23__1___1[Sector]="Rural+Urban"),0)),
    INDEX(All_India_Index_Upto_April23__1___1[Spices],
      MATCH(1,(All_India_Index_Upto_April23__1___1[Date]=$A53)*
              (All_India_Index_Upto_April23__1___1[Sector]="Rural+Urban"),0)),
    INDEX(All_India_Index_Upto_April23__1___1[Non-alcoholic beverages],
      MATCH(1,(All_India_Index_Upto_April23__1___1[Date]=$A53)*
              (All_India_Index_Upto_April23__1___1[Sector]="Rural+Urban"),0)),
    INDEX(All_India_Index_Upto_April23__1___1[Prepared meals, snacks, sweets etc.],
      MATCH(1,(All_India_Index_Upto_April23__1___1[Date]=$A53)*
              (All_India_Index_Upto_April23__1___1[Sector]="Rural+Urban"),0))
  ),
"")</f>
        <v>162.08333333333334</v>
      </c>
      <c r="P53" s="2" cm="1">
        <f t="array" ref="P53">IFERROR(
  AVERAGE(
    INDEX(All_India_Index_Upto_April23__1___1[Cereals and products],
      MATCH(1,(All_India_Index_Upto_April23__1___1[Date]=EDATE($A53,-12))*
              (All_India_Index_Upto_April23__1___1[Sector]="Rural+Urban"),0)),
    INDEX(All_India_Index_Upto_April23__1___1[Meat and fish],
      MATCH(1,(All_India_Index_Upto_April23__1___1[Date]=EDATE($A53,-12))*
              (All_India_Index_Upto_April23__1___1[Sector]="Rural+Urban"),0)),
    INDEX(All_India_Index_Upto_April23__1___1[Egg],
      MATCH(1,(All_India_Index_Upto_April23__1___1[Date]=EDATE($A53,-12))*
              (All_India_Index_Upto_April23__1___1[Sector]="Rural+Urban"),0)),
    INDEX(All_India_Index_Upto_April23__1___1[Milk and products],
      MATCH(1,(All_India_Index_Upto_April23__1___1[Date]=EDATE($A53,-12))*
              (All_India_Index_Upto_April23__1___1[Sector]="Rural+Urban"),0)),
    INDEX(All_India_Index_Upto_April23__1___1[Oils and fats],
      MATCH(1,(All_India_Index_Upto_April23__1___1[Date]=EDATE($A53,-12))*
              (All_India_Index_Upto_April23__1___1[Sector]="Rural+Urban"),0)),
    INDEX(All_India_Index_Upto_April23__1___1[Fruits],
      MATCH(1,(All_India_Index_Upto_April23__1___1[Date]=EDATE($A53,-12))*
              (All_India_Index_Upto_April23__1___1[Sector]="Rural+Urban"),0)),
    INDEX(All_India_Index_Upto_April23__1___1[Vegetables],
      MATCH(1,(All_India_Index_Upto_April23__1___1[Date]=EDATE($A53,-12))*
              (All_India_Index_Upto_April23__1___1[Sector]="Rural+Urban"),0)),
    INDEX(All_India_Index_Upto_April23__1___1[Pulses and products],
      MATCH(1,(All_India_Index_Upto_April23__1___1[Date]=EDATE($A53,-12))*
              (All_India_Index_Upto_April23__1___1[Sector]="Rural+Urban"),0)),
    INDEX(All_India_Index_Upto_April23__1___1[Sugar and Confectionery],
      MATCH(1,(All_India_Index_Upto_April23__1___1[Date]=EDATE($A53,-12))*
              (All_India_Index_Upto_April23__1___1[Sector]="Rural+Urban"),0)),
    INDEX(All_India_Index_Upto_April23__1___1[Spices],
      MATCH(1,(All_India_Index_Upto_April23__1___1[Date]=EDATE($A53,-12))*
              (All_India_Index_Upto_April23__1___1[Sector]="Rural+Urban"),0)),
    INDEX(All_India_Index_Upto_April23__1___1[Non-alcoholic beverages],
      MATCH(1,(All_India_Index_Upto_April23__1___1[Date]=EDATE($A53,-12))*
              (All_India_Index_Upto_April23__1___1[Sector]="Rural+Urban"),0)),
    INDEX(All_India_Index_Upto_April23__1___1[Prepared meals, snacks, sweets etc.],
      MATCH(1,(All_India_Index_Upto_April23__1___1[Date]=EDATE($A53,-12))*
              (All_India_Index_Upto_April23__1___1[Sector]="Rural+Urban"),0))
  ),
"")</f>
        <v>149.95000000000002</v>
      </c>
      <c r="Q53" s="8">
        <f t="shared" si="5"/>
        <v>8.091586084250299E-2</v>
      </c>
      <c r="R53" cm="1">
        <f t="array" ref="R53">IFERROR(
  INDEX(All_India_Index_Upto_April23__1___1[General index],
    MATCH(1,
      (All_India_Index_Upto_April23__1___1[Date]=$A53)*
      (All_India_Index_Upto_April23__1___1[Sector]="Rural+Urban"),
    0)
  ),
"")</f>
        <v>160.4</v>
      </c>
      <c r="S53" cm="1">
        <f t="array" ref="S53">IFERROR(
  INDEX(All_India_Index_Upto_April23__1___1[General index],
    MATCH(1,
      (All_India_Index_Upto_April23__1___1[Date]=EDATE($A53,-1))*
      (All_India_Index_Upto_April23__1___1[Sector]="Rural+Urban"),
    0)
  ),
"")</f>
        <v>157.80000000000001</v>
      </c>
      <c r="T53" s="8">
        <f t="shared" si="6"/>
        <v>1.6476552598225565E-2</v>
      </c>
    </row>
    <row r="54" spans="1:20" x14ac:dyDescent="0.2">
      <c r="A54" s="22">
        <v>44348</v>
      </c>
      <c r="B54">
        <v>2021</v>
      </c>
      <c r="C54" t="s">
        <v>41</v>
      </c>
      <c r="D54" s="2">
        <v>72</v>
      </c>
      <c r="E54" s="8">
        <f t="shared" si="1"/>
        <v>2.7777777777777776E-2</v>
      </c>
      <c r="F54" s="8">
        <f t="shared" si="2"/>
        <v>2.7777777777777776E-2</v>
      </c>
      <c r="G54" t="e">
        <f t="shared" si="7"/>
        <v>#N/A</v>
      </c>
      <c r="H54" s="22">
        <v>44348</v>
      </c>
      <c r="I54" cm="1">
        <f t="array" ref="I54">IFERROR(
  INDEX(All_India_Index_Upto_April23__1___1[Fuel and light],
    MATCH(1,
      (All_India_Index_Upto_April23__1___1[Date]=$A54)*
      (All_India_Index_Upto_April23__1___1[Sector]="Rural+Urban"),
    0)
  ),
"")</f>
        <v>159.80000000000001</v>
      </c>
      <c r="J54" cm="1">
        <f t="array" ref="J54">IFERROR(
  INDEX(All_India_Index_Upto_April23__1___1[Fuel and light],
    MATCH(1,
      (All_India_Index_Upto_April23__1___1[Date]=EDATE($A54,-1))*
      (All_India_Index_Upto_April23__1___1[Sector]="Rural+Urban"),
    0)
  ),
"")</f>
        <v>159.4</v>
      </c>
      <c r="K54" s="8">
        <f t="shared" si="3"/>
        <v>2.5094102885822186E-3</v>
      </c>
      <c r="L54" cm="1">
        <f t="array" ref="L54">IFERROR(
  INDEX(All_India_Index_Upto_April23__1___1[Transport and communication],
    MATCH(1,
      (All_India_Index_Upto_April23__1___1[Date]=$A54)*
      (All_India_Index_Upto_April23__1___1[Sector]="Rural+Urban"),
    0)
  ),
"")</f>
        <v>150.69999999999999</v>
      </c>
      <c r="M54" cm="1">
        <f t="array" ref="M54">IFERROR(
  INDEX(All_India_Index_Upto_April23__1___1[Transport and communication],
    MATCH(1,
      (All_India_Index_Upto_April23__1___1[Date]=EDATE($A54,-1))*
      (All_India_Index_Upto_April23__1___1[Sector]="Rural+Urban"),
    0)
  ),
"")</f>
        <v>148.9</v>
      </c>
      <c r="N54" s="8">
        <f t="shared" si="4"/>
        <v>1.2088650100738636E-2</v>
      </c>
      <c r="O54" s="2" cm="1">
        <f t="array" ref="O54">IFERROR(
  AVERAGE(
    INDEX(All_India_Index_Upto_April23__1___1[Cereals and products],
      MATCH(1,(All_India_Index_Upto_April23__1___1[Date]=$A54)*
              (All_India_Index_Upto_April23__1___1[Sector]="Rural+Urban"),0)),
    INDEX(All_India_Index_Upto_April23__1___1[Meat and fish],
      MATCH(1,(All_India_Index_Upto_April23__1___1[Date]=$A54)*
              (All_India_Index_Upto_April23__1___1[Sector]="Rural+Urban"),0)),
    INDEX(All_India_Index_Upto_April23__1___1[Egg],
      MATCH(1,(All_India_Index_Upto_April23__1___1[Date]=$A54)*
              (All_India_Index_Upto_April23__1___1[Sector]="Rural+Urban"),0)),
    INDEX(All_India_Index_Upto_April23__1___1[Milk and products],
      MATCH(1,(All_India_Index_Upto_April23__1___1[Date]=$A54)*
              (All_India_Index_Upto_April23__1___1[Sector]="Rural+Urban"),0)),
    INDEX(All_India_Index_Upto_April23__1___1[Oils and fats],
      MATCH(1,(All_India_Index_Upto_April23__1___1[Date]=$A54)*
              (All_India_Index_Upto_April23__1___1[Sector]="Rural+Urban"),0)),
    INDEX(All_India_Index_Upto_April23__1___1[Fruits],
      MATCH(1,(All_India_Index_Upto_April23__1___1[Date]=$A54)*
              (All_India_Index_Upto_April23__1___1[Sector]="Rural+Urban"),0)),
    INDEX(All_India_Index_Upto_April23__1___1[Vegetables],
      MATCH(1,(All_India_Index_Upto_April23__1___1[Date]=$A54)*
              (All_India_Index_Upto_April23__1___1[Sector]="Rural+Urban"),0)),
    INDEX(All_India_Index_Upto_April23__1___1[Pulses and products],
      MATCH(1,(All_India_Index_Upto_April23__1___1[Date]=$A54)*
              (All_India_Index_Upto_April23__1___1[Sector]="Rural+Urban"),0)),
    INDEX(All_India_Index_Upto_April23__1___1[Sugar and Confectionery],
      MATCH(1,(All_India_Index_Upto_April23__1___1[Date]=$A54)*
              (All_India_Index_Upto_April23__1___1[Sector]="Rural+Urban"),0)),
    INDEX(All_India_Index_Upto_April23__1___1[Spices],
      MATCH(1,(All_India_Index_Upto_April23__1___1[Date]=$A54)*
              (All_India_Index_Upto_April23__1___1[Sector]="Rural+Urban"),0)),
    INDEX(All_India_Index_Upto_April23__1___1[Non-alcoholic beverages],
      MATCH(1,(All_India_Index_Upto_April23__1___1[Date]=$A54)*
              (All_India_Index_Upto_April23__1___1[Sector]="Rural+Urban"),0)),
    INDEX(All_India_Index_Upto_April23__1___1[Prepared meals, snacks, sweets etc.],
      MATCH(1,(All_India_Index_Upto_April23__1___1[Date]=$A54)*
              (All_India_Index_Upto_April23__1___1[Sector]="Rural+Urban"),0))
  ),
"")</f>
        <v>164.27500000000001</v>
      </c>
      <c r="P54" s="2" cm="1">
        <f t="array" ref="P54">IFERROR(
  AVERAGE(
    INDEX(All_India_Index_Upto_April23__1___1[Cereals and products],
      MATCH(1,(All_India_Index_Upto_April23__1___1[Date]=EDATE($A54,-12))*
              (All_India_Index_Upto_April23__1___1[Sector]="Rural+Urban"),0)),
    INDEX(All_India_Index_Upto_April23__1___1[Meat and fish],
      MATCH(1,(All_India_Index_Upto_April23__1___1[Date]=EDATE($A54,-12))*
              (All_India_Index_Upto_April23__1___1[Sector]="Rural+Urban"),0)),
    INDEX(All_India_Index_Upto_April23__1___1[Egg],
      MATCH(1,(All_India_Index_Upto_April23__1___1[Date]=EDATE($A54,-12))*
              (All_India_Index_Upto_April23__1___1[Sector]="Rural+Urban"),0)),
    INDEX(All_India_Index_Upto_April23__1___1[Milk and products],
      MATCH(1,(All_India_Index_Upto_April23__1___1[Date]=EDATE($A54,-12))*
              (All_India_Index_Upto_April23__1___1[Sector]="Rural+Urban"),0)),
    INDEX(All_India_Index_Upto_April23__1___1[Oils and fats],
      MATCH(1,(All_India_Index_Upto_April23__1___1[Date]=EDATE($A54,-12))*
              (All_India_Index_Upto_April23__1___1[Sector]="Rural+Urban"),0)),
    INDEX(All_India_Index_Upto_April23__1___1[Fruits],
      MATCH(1,(All_India_Index_Upto_April23__1___1[Date]=EDATE($A54,-12))*
              (All_India_Index_Upto_April23__1___1[Sector]="Rural+Urban"),0)),
    INDEX(All_India_Index_Upto_April23__1___1[Vegetables],
      MATCH(1,(All_India_Index_Upto_April23__1___1[Date]=EDATE($A54,-12))*
              (All_India_Index_Upto_April23__1___1[Sector]="Rural+Urban"),0)),
    INDEX(All_India_Index_Upto_April23__1___1[Pulses and products],
      MATCH(1,(All_India_Index_Upto_April23__1___1[Date]=EDATE($A54,-12))*
              (All_India_Index_Upto_April23__1___1[Sector]="Rural+Urban"),0)),
    INDEX(All_India_Index_Upto_April23__1___1[Sugar and Confectionery],
      MATCH(1,(All_India_Index_Upto_April23__1___1[Date]=EDATE($A54,-12))*
              (All_India_Index_Upto_April23__1___1[Sector]="Rural+Urban"),0)),
    INDEX(All_India_Index_Upto_April23__1___1[Spices],
      MATCH(1,(All_India_Index_Upto_April23__1___1[Date]=EDATE($A54,-12))*
              (All_India_Index_Upto_April23__1___1[Sector]="Rural+Urban"),0)),
    INDEX(All_India_Index_Upto_April23__1___1[Non-alcoholic beverages],
      MATCH(1,(All_India_Index_Upto_April23__1___1[Date]=EDATE($A54,-12))*
              (All_India_Index_Upto_April23__1___1[Sector]="Rural+Urban"),0)),
    INDEX(All_India_Index_Upto_April23__1___1[Prepared meals, snacks, sweets etc.],
      MATCH(1,(All_India_Index_Upto_April23__1___1[Date]=EDATE($A54,-12))*
              (All_India_Index_Upto_April23__1___1[Sector]="Rural+Urban"),0))
  ),
"")</f>
        <v>151.06666666666669</v>
      </c>
      <c r="Q54" s="8">
        <f t="shared" si="5"/>
        <v>8.7433804060017509E-2</v>
      </c>
      <c r="R54" cm="1">
        <f t="array" ref="R54">IFERROR(
  INDEX(All_India_Index_Upto_April23__1___1[General index],
    MATCH(1,
      (All_India_Index_Upto_April23__1___1[Date]=$A54)*
      (All_India_Index_Upto_April23__1___1[Sector]="Rural+Urban"),
    0)
  ),
"")</f>
        <v>161.30000000000001</v>
      </c>
      <c r="S54" cm="1">
        <f t="array" ref="S54">IFERROR(
  INDEX(All_India_Index_Upto_April23__1___1[General index],
    MATCH(1,
      (All_India_Index_Upto_April23__1___1[Date]=EDATE($A54,-1))*
      (All_India_Index_Upto_April23__1___1[Sector]="Rural+Urban"),
    0)
  ),
"")</f>
        <v>160.4</v>
      </c>
      <c r="T54" s="8">
        <f t="shared" si="6"/>
        <v>5.6109725685785893E-3</v>
      </c>
    </row>
    <row r="55" spans="1:20" x14ac:dyDescent="0.2">
      <c r="A55" s="22">
        <v>44378</v>
      </c>
      <c r="B55">
        <v>2021</v>
      </c>
      <c r="C55" t="s">
        <v>43</v>
      </c>
      <c r="D55" s="2">
        <v>74</v>
      </c>
      <c r="E55" s="8">
        <f t="shared" si="1"/>
        <v>-6.7567567567567571E-2</v>
      </c>
      <c r="F55" s="8">
        <f t="shared" si="2"/>
        <v>-6.7567567567567571E-2</v>
      </c>
      <c r="G55" t="e">
        <f t="shared" si="7"/>
        <v>#N/A</v>
      </c>
      <c r="H55" s="22">
        <v>44378</v>
      </c>
      <c r="I55" cm="1">
        <f t="array" ref="I55">IFERROR(
  INDEX(All_India_Index_Upto_April23__1___1[Fuel and light],
    MATCH(1,
      (All_India_Index_Upto_April23__1___1[Date]=$A55)*
      (All_India_Index_Upto_April23__1___1[Sector]="Rural+Urban"),
    0)
  ),
"")</f>
        <v>160.69999999999999</v>
      </c>
      <c r="J55" cm="1">
        <f t="array" ref="J55">IFERROR(
  INDEX(All_India_Index_Upto_April23__1___1[Fuel and light],
    MATCH(1,
      (All_India_Index_Upto_April23__1___1[Date]=EDATE($A55,-1))*
      (All_India_Index_Upto_April23__1___1[Sector]="Rural+Urban"),
    0)
  ),
"")</f>
        <v>159.80000000000001</v>
      </c>
      <c r="K55" s="8">
        <f t="shared" si="3"/>
        <v>5.6320400500624356E-3</v>
      </c>
      <c r="L55" cm="1">
        <f t="array" ref="L55">IFERROR(
  INDEX(All_India_Index_Upto_April23__1___1[Transport and communication],
    MATCH(1,
      (All_India_Index_Upto_April23__1___1[Date]=$A55)*
      (All_India_Index_Upto_April23__1___1[Sector]="Rural+Urban"),
    0)
  ),
"")</f>
        <v>153.1</v>
      </c>
      <c r="M55" cm="1">
        <f t="array" ref="M55">IFERROR(
  INDEX(All_India_Index_Upto_April23__1___1[Transport and communication],
    MATCH(1,
      (All_India_Index_Upto_April23__1___1[Date]=EDATE($A55,-1))*
      (All_India_Index_Upto_April23__1___1[Sector]="Rural+Urban"),
    0)
  ),
"")</f>
        <v>150.69999999999999</v>
      </c>
      <c r="N55" s="8">
        <f t="shared" si="4"/>
        <v>1.5925680159256841E-2</v>
      </c>
      <c r="O55" s="2" cm="1">
        <f t="array" ref="O55">IFERROR(
  AVERAGE(
    INDEX(All_India_Index_Upto_April23__1___1[Cereals and products],
      MATCH(1,(All_India_Index_Upto_April23__1___1[Date]=$A55)*
              (All_India_Index_Upto_April23__1___1[Sector]="Rural+Urban"),0)),
    INDEX(All_India_Index_Upto_April23__1___1[Meat and fish],
      MATCH(1,(All_India_Index_Upto_April23__1___1[Date]=$A55)*
              (All_India_Index_Upto_April23__1___1[Sector]="Rural+Urban"),0)),
    INDEX(All_India_Index_Upto_April23__1___1[Egg],
      MATCH(1,(All_India_Index_Upto_April23__1___1[Date]=$A55)*
              (All_India_Index_Upto_April23__1___1[Sector]="Rural+Urban"),0)),
    INDEX(All_India_Index_Upto_April23__1___1[Milk and products],
      MATCH(1,(All_India_Index_Upto_April23__1___1[Date]=$A55)*
              (All_India_Index_Upto_April23__1___1[Sector]="Rural+Urban"),0)),
    INDEX(All_India_Index_Upto_April23__1___1[Oils and fats],
      MATCH(1,(All_India_Index_Upto_April23__1___1[Date]=$A55)*
              (All_India_Index_Upto_April23__1___1[Sector]="Rural+Urban"),0)),
    INDEX(All_India_Index_Upto_April23__1___1[Fruits],
      MATCH(1,(All_India_Index_Upto_April23__1___1[Date]=$A55)*
              (All_India_Index_Upto_April23__1___1[Sector]="Rural+Urban"),0)),
    INDEX(All_India_Index_Upto_April23__1___1[Vegetables],
      MATCH(1,(All_India_Index_Upto_April23__1___1[Date]=$A55)*
              (All_India_Index_Upto_April23__1___1[Sector]="Rural+Urban"),0)),
    INDEX(All_India_Index_Upto_April23__1___1[Pulses and products],
      MATCH(1,(All_India_Index_Upto_April23__1___1[Date]=$A55)*
              (All_India_Index_Upto_April23__1___1[Sector]="Rural+Urban"),0)),
    INDEX(All_India_Index_Upto_April23__1___1[Sugar and Confectionery],
      MATCH(1,(All_India_Index_Upto_April23__1___1[Date]=$A55)*
              (All_India_Index_Upto_April23__1___1[Sector]="Rural+Urban"),0)),
    INDEX(All_India_Index_Upto_April23__1___1[Spices],
      MATCH(1,(All_India_Index_Upto_April23__1___1[Date]=$A55)*
              (All_India_Index_Upto_April23__1___1[Sector]="Rural+Urban"),0)),
    INDEX(All_India_Index_Upto_April23__1___1[Non-alcoholic beverages],
      MATCH(1,(All_India_Index_Upto_April23__1___1[Date]=$A55)*
              (All_India_Index_Upto_April23__1___1[Sector]="Rural+Urban"),0)),
    INDEX(All_India_Index_Upto_April23__1___1[Prepared meals, snacks, sweets etc.],
      MATCH(1,(All_India_Index_Upto_April23__1___1[Date]=$A55)*
              (All_India_Index_Upto_April23__1___1[Sector]="Rural+Urban"),0))
  ),
"")</f>
        <v>165.25000000000003</v>
      </c>
      <c r="P55" s="2" cm="1">
        <f t="array" ref="P55">IFERROR(
  AVERAGE(
    INDEX(All_India_Index_Upto_April23__1___1[Cereals and products],
      MATCH(1,(All_India_Index_Upto_April23__1___1[Date]=EDATE($A55,-12))*
              (All_India_Index_Upto_April23__1___1[Sector]="Rural+Urban"),0)),
    INDEX(All_India_Index_Upto_April23__1___1[Meat and fish],
      MATCH(1,(All_India_Index_Upto_April23__1___1[Date]=EDATE($A55,-12))*
              (All_India_Index_Upto_April23__1___1[Sector]="Rural+Urban"),0)),
    INDEX(All_India_Index_Upto_April23__1___1[Egg],
      MATCH(1,(All_India_Index_Upto_April23__1___1[Date]=EDATE($A55,-12))*
              (All_India_Index_Upto_April23__1___1[Sector]="Rural+Urban"),0)),
    INDEX(All_India_Index_Upto_April23__1___1[Milk and products],
      MATCH(1,(All_India_Index_Upto_April23__1___1[Date]=EDATE($A55,-12))*
              (All_India_Index_Upto_April23__1___1[Sector]="Rural+Urban"),0)),
    INDEX(All_India_Index_Upto_April23__1___1[Oils and fats],
      MATCH(1,(All_India_Index_Upto_April23__1___1[Date]=EDATE($A55,-12))*
              (All_India_Index_Upto_April23__1___1[Sector]="Rural+Urban"),0)),
    INDEX(All_India_Index_Upto_April23__1___1[Fruits],
      MATCH(1,(All_India_Index_Upto_April23__1___1[Date]=EDATE($A55,-12))*
              (All_India_Index_Upto_April23__1___1[Sector]="Rural+Urban"),0)),
    INDEX(All_India_Index_Upto_April23__1___1[Vegetables],
      MATCH(1,(All_India_Index_Upto_April23__1___1[Date]=EDATE($A55,-12))*
              (All_India_Index_Upto_April23__1___1[Sector]="Rural+Urban"),0)),
    INDEX(All_India_Index_Upto_April23__1___1[Pulses and products],
      MATCH(1,(All_India_Index_Upto_April23__1___1[Date]=EDATE($A55,-12))*
              (All_India_Index_Upto_April23__1___1[Sector]="Rural+Urban"),0)),
    INDEX(All_India_Index_Upto_April23__1___1[Sugar and Confectionery],
      MATCH(1,(All_India_Index_Upto_April23__1___1[Date]=EDATE($A55,-12))*
              (All_India_Index_Upto_April23__1___1[Sector]="Rural+Urban"),0)),
    INDEX(All_India_Index_Upto_April23__1___1[Spices],
      MATCH(1,(All_India_Index_Upto_April23__1___1[Date]=EDATE($A55,-12))*
              (All_India_Index_Upto_April23__1___1[Sector]="Rural+Urban"),0)),
    INDEX(All_India_Index_Upto_April23__1___1[Non-alcoholic beverages],
      MATCH(1,(All_India_Index_Upto_April23__1___1[Date]=EDATE($A55,-12))*
              (All_India_Index_Upto_April23__1___1[Sector]="Rural+Urban"),0)),
    INDEX(All_India_Index_Upto_April23__1___1[Prepared meals, snacks, sweets etc.],
      MATCH(1,(All_India_Index_Upto_April23__1___1[Date]=EDATE($A55,-12))*
              (All_India_Index_Upto_April23__1___1[Sector]="Rural+Urban"),0))
  ),
"")</f>
        <v>151.06666666666669</v>
      </c>
      <c r="Q55" s="8">
        <f t="shared" si="5"/>
        <v>9.3887908208296567E-2</v>
      </c>
      <c r="R55" cm="1">
        <f t="array" ref="R55">IFERROR(
  INDEX(All_India_Index_Upto_April23__1___1[General index],
    MATCH(1,
      (All_India_Index_Upto_April23__1___1[Date]=$A55)*
      (All_India_Index_Upto_April23__1___1[Sector]="Rural+Urban"),
    0)
  ),
"")</f>
        <v>162.5</v>
      </c>
      <c r="S55" cm="1">
        <f t="array" ref="S55">IFERROR(
  INDEX(All_India_Index_Upto_April23__1___1[General index],
    MATCH(1,
      (All_India_Index_Upto_April23__1___1[Date]=EDATE($A55,-1))*
      (All_India_Index_Upto_April23__1___1[Sector]="Rural+Urban"),
    0)
  ),
"")</f>
        <v>161.30000000000001</v>
      </c>
      <c r="T55" s="8">
        <f t="shared" si="6"/>
        <v>7.439553626782322E-3</v>
      </c>
    </row>
    <row r="56" spans="1:20" x14ac:dyDescent="0.2">
      <c r="A56" s="22">
        <v>44409</v>
      </c>
      <c r="B56">
        <v>2021</v>
      </c>
      <c r="C56" t="s">
        <v>45</v>
      </c>
      <c r="D56" s="2">
        <v>69</v>
      </c>
      <c r="E56" s="8">
        <f t="shared" si="1"/>
        <v>4.3478260869565216E-2</v>
      </c>
      <c r="F56" s="8">
        <f t="shared" si="2"/>
        <v>4.3478260869565216E-2</v>
      </c>
      <c r="G56" t="e">
        <f t="shared" si="7"/>
        <v>#N/A</v>
      </c>
      <c r="H56" s="22">
        <v>44409</v>
      </c>
      <c r="I56" cm="1">
        <f t="array" ref="I56">IFERROR(
  INDEX(All_India_Index_Upto_April23__1___1[Fuel and light],
    MATCH(1,
      (All_India_Index_Upto_April23__1___1[Date]=$A56)*
      (All_India_Index_Upto_April23__1___1[Sector]="Rural+Urban"),
    0)
  ),
"")</f>
        <v>162.6</v>
      </c>
      <c r="J56" cm="1">
        <f t="array" ref="J56">IFERROR(
  INDEX(All_India_Index_Upto_April23__1___1[Fuel and light],
    MATCH(1,
      (All_India_Index_Upto_April23__1___1[Date]=EDATE($A56,-1))*
      (All_India_Index_Upto_April23__1___1[Sector]="Rural+Urban"),
    0)
  ),
"")</f>
        <v>160.69999999999999</v>
      </c>
      <c r="K56" s="8">
        <f t="shared" si="3"/>
        <v>1.1823273179838244E-2</v>
      </c>
      <c r="L56" cm="1">
        <f t="array" ref="L56">IFERROR(
  INDEX(All_India_Index_Upto_April23__1___1[Transport and communication],
    MATCH(1,
      (All_India_Index_Upto_April23__1___1[Date]=$A56)*
      (All_India_Index_Upto_April23__1___1[Sector]="Rural+Urban"),
    0)
  ),
"")</f>
        <v>154</v>
      </c>
      <c r="M56" cm="1">
        <f t="array" ref="M56">IFERROR(
  INDEX(All_India_Index_Upto_April23__1___1[Transport and communication],
    MATCH(1,
      (All_India_Index_Upto_April23__1___1[Date]=EDATE($A56,-1))*
      (All_India_Index_Upto_April23__1___1[Sector]="Rural+Urban"),
    0)
  ),
"")</f>
        <v>153.1</v>
      </c>
      <c r="N56" s="8">
        <f t="shared" si="4"/>
        <v>5.8785107772697954E-3</v>
      </c>
      <c r="O56" s="2" cm="1">
        <f t="array" ref="O56">IFERROR(
  AVERAGE(
    INDEX(All_India_Index_Upto_April23__1___1[Cereals and products],
      MATCH(1,(All_India_Index_Upto_April23__1___1[Date]=$A56)*
              (All_India_Index_Upto_April23__1___1[Sector]="Rural+Urban"),0)),
    INDEX(All_India_Index_Upto_April23__1___1[Meat and fish],
      MATCH(1,(All_India_Index_Upto_April23__1___1[Date]=$A56)*
              (All_India_Index_Upto_April23__1___1[Sector]="Rural+Urban"),0)),
    INDEX(All_India_Index_Upto_April23__1___1[Egg],
      MATCH(1,(All_India_Index_Upto_April23__1___1[Date]=$A56)*
              (All_India_Index_Upto_April23__1___1[Sector]="Rural+Urban"),0)),
    INDEX(All_India_Index_Upto_April23__1___1[Milk and products],
      MATCH(1,(All_India_Index_Upto_April23__1___1[Date]=$A56)*
              (All_India_Index_Upto_April23__1___1[Sector]="Rural+Urban"),0)),
    INDEX(All_India_Index_Upto_April23__1___1[Oils and fats],
      MATCH(1,(All_India_Index_Upto_April23__1___1[Date]=$A56)*
              (All_India_Index_Upto_April23__1___1[Sector]="Rural+Urban"),0)),
    INDEX(All_India_Index_Upto_April23__1___1[Fruits],
      MATCH(1,(All_India_Index_Upto_April23__1___1[Date]=$A56)*
              (All_India_Index_Upto_April23__1___1[Sector]="Rural+Urban"),0)),
    INDEX(All_India_Index_Upto_April23__1___1[Vegetables],
      MATCH(1,(All_India_Index_Upto_April23__1___1[Date]=$A56)*
              (All_India_Index_Upto_April23__1___1[Sector]="Rural+Urban"),0)),
    INDEX(All_India_Index_Upto_April23__1___1[Pulses and products],
      MATCH(1,(All_India_Index_Upto_April23__1___1[Date]=$A56)*
              (All_India_Index_Upto_April23__1___1[Sector]="Rural+Urban"),0)),
    INDEX(All_India_Index_Upto_April23__1___1[Sugar and Confectionery],
      MATCH(1,(All_India_Index_Upto_April23__1___1[Date]=$A56)*
              (All_India_Index_Upto_April23__1___1[Sector]="Rural+Urban"),0)),
    INDEX(All_India_Index_Upto_April23__1___1[Spices],
      MATCH(1,(All_India_Index_Upto_April23__1___1[Date]=$A56)*
              (All_India_Index_Upto_April23__1___1[Sector]="Rural+Urban"),0)),
    INDEX(All_India_Index_Upto_April23__1___1[Non-alcoholic beverages],
      MATCH(1,(All_India_Index_Upto_April23__1___1[Date]=$A56)*
              (All_India_Index_Upto_April23__1___1[Sector]="Rural+Urban"),0)),
    INDEX(All_India_Index_Upto_April23__1___1[Prepared meals, snacks, sweets etc.],
      MATCH(1,(All_India_Index_Upto_April23__1___1[Date]=$A56)*
              (All_India_Index_Upto_April23__1___1[Sector]="Rural+Urban"),0))
  ),
"")</f>
        <v>164.83333333333334</v>
      </c>
      <c r="P56" s="2" cm="1">
        <f t="array" ref="P56">IFERROR(
  AVERAGE(
    INDEX(All_India_Index_Upto_April23__1___1[Cereals and products],
      MATCH(1,(All_India_Index_Upto_April23__1___1[Date]=EDATE($A56,-12))*
              (All_India_Index_Upto_April23__1___1[Sector]="Rural+Urban"),0)),
    INDEX(All_India_Index_Upto_April23__1___1[Meat and fish],
      MATCH(1,(All_India_Index_Upto_April23__1___1[Date]=EDATE($A56,-12))*
              (All_India_Index_Upto_April23__1___1[Sector]="Rural+Urban"),0)),
    INDEX(All_India_Index_Upto_April23__1___1[Egg],
      MATCH(1,(All_India_Index_Upto_April23__1___1[Date]=EDATE($A56,-12))*
              (All_India_Index_Upto_April23__1___1[Sector]="Rural+Urban"),0)),
    INDEX(All_India_Index_Upto_April23__1___1[Milk and products],
      MATCH(1,(All_India_Index_Upto_April23__1___1[Date]=EDATE($A56,-12))*
              (All_India_Index_Upto_April23__1___1[Sector]="Rural+Urban"),0)),
    INDEX(All_India_Index_Upto_April23__1___1[Oils and fats],
      MATCH(1,(All_India_Index_Upto_April23__1___1[Date]=EDATE($A56,-12))*
              (All_India_Index_Upto_April23__1___1[Sector]="Rural+Urban"),0)),
    INDEX(All_India_Index_Upto_April23__1___1[Fruits],
      MATCH(1,(All_India_Index_Upto_April23__1___1[Date]=EDATE($A56,-12))*
              (All_India_Index_Upto_April23__1___1[Sector]="Rural+Urban"),0)),
    INDEX(All_India_Index_Upto_April23__1___1[Vegetables],
      MATCH(1,(All_India_Index_Upto_April23__1___1[Date]=EDATE($A56,-12))*
              (All_India_Index_Upto_April23__1___1[Sector]="Rural+Urban"),0)),
    INDEX(All_India_Index_Upto_April23__1___1[Pulses and products],
      MATCH(1,(All_India_Index_Upto_April23__1___1[Date]=EDATE($A56,-12))*
              (All_India_Index_Upto_April23__1___1[Sector]="Rural+Urban"),0)),
    INDEX(All_India_Index_Upto_April23__1___1[Sugar and Confectionery],
      MATCH(1,(All_India_Index_Upto_April23__1___1[Date]=EDATE($A56,-12))*
              (All_India_Index_Upto_April23__1___1[Sector]="Rural+Urban"),0)),
    INDEX(All_India_Index_Upto_April23__1___1[Spices],
      MATCH(1,(All_India_Index_Upto_April23__1___1[Date]=EDATE($A56,-12))*
              (All_India_Index_Upto_April23__1___1[Sector]="Rural+Urban"),0)),
    INDEX(All_India_Index_Upto_April23__1___1[Non-alcoholic beverages],
      MATCH(1,(All_India_Index_Upto_April23__1___1[Date]=EDATE($A56,-12))*
              (All_India_Index_Upto_April23__1___1[Sector]="Rural+Urban"),0)),
    INDEX(All_India_Index_Upto_April23__1___1[Prepared meals, snacks, sweets etc.],
      MATCH(1,(All_India_Index_Upto_April23__1___1[Date]=EDATE($A56,-12))*
              (All_India_Index_Upto_April23__1___1[Sector]="Rural+Urban"),0))
  ),
"")</f>
        <v>153.18333333333331</v>
      </c>
      <c r="Q56" s="8">
        <f t="shared" si="5"/>
        <v>7.6052660211076289E-2</v>
      </c>
      <c r="R56" cm="1">
        <f t="array" ref="R56">IFERROR(
  INDEX(All_India_Index_Upto_April23__1___1[General index],
    MATCH(1,
      (All_India_Index_Upto_April23__1___1[Date]=$A56)*
      (All_India_Index_Upto_April23__1___1[Sector]="Rural+Urban"),
    0)
  ),
"")</f>
        <v>163.19999999999999</v>
      </c>
      <c r="S56" cm="1">
        <f t="array" ref="S56">IFERROR(
  INDEX(All_India_Index_Upto_April23__1___1[General index],
    MATCH(1,
      (All_India_Index_Upto_April23__1___1[Date]=EDATE($A56,-1))*
      (All_India_Index_Upto_April23__1___1[Sector]="Rural+Urban"),
    0)
  ),
"")</f>
        <v>162.5</v>
      </c>
      <c r="T56" s="8">
        <f t="shared" si="6"/>
        <v>4.3076923076922381E-3</v>
      </c>
    </row>
    <row r="57" spans="1:20" x14ac:dyDescent="0.2">
      <c r="A57" s="22">
        <v>44440</v>
      </c>
      <c r="B57">
        <v>2021</v>
      </c>
      <c r="C57" t="s">
        <v>47</v>
      </c>
      <c r="D57" s="2">
        <v>72</v>
      </c>
      <c r="E57" s="8">
        <f t="shared" si="1"/>
        <v>0.1388888888888889</v>
      </c>
      <c r="F57" s="8">
        <f t="shared" si="2"/>
        <v>0.1388888888888889</v>
      </c>
      <c r="G57" t="e">
        <f t="shared" si="7"/>
        <v>#N/A</v>
      </c>
      <c r="H57" s="22">
        <v>44440</v>
      </c>
      <c r="I57" cm="1">
        <f t="array" ref="I57">IFERROR(
  INDEX(All_India_Index_Upto_April23__1___1[Fuel and light],
    MATCH(1,
      (All_India_Index_Upto_April23__1___1[Date]=$A57)*
      (All_India_Index_Upto_April23__1___1[Sector]="Rural+Urban"),
    0)
  ),
"")</f>
        <v>162.6</v>
      </c>
      <c r="J57" cm="1">
        <f t="array" ref="J57">IFERROR(
  INDEX(All_India_Index_Upto_April23__1___1[Fuel and light],
    MATCH(1,
      (All_India_Index_Upto_April23__1___1[Date]=EDATE($A57,-1))*
      (All_India_Index_Upto_April23__1___1[Sector]="Rural+Urban"),
    0)
  ),
"")</f>
        <v>162.6</v>
      </c>
      <c r="K57" s="8">
        <f t="shared" si="3"/>
        <v>0</v>
      </c>
      <c r="L57" cm="1">
        <f t="array" ref="L57">IFERROR(
  INDEX(All_India_Index_Upto_April23__1___1[Transport and communication],
    MATCH(1,
      (All_India_Index_Upto_April23__1___1[Date]=$A57)*
      (All_India_Index_Upto_April23__1___1[Sector]="Rural+Urban"),
    0)
  ),
"")</f>
        <v>154</v>
      </c>
      <c r="M57" cm="1">
        <f t="array" ref="M57">IFERROR(
  INDEX(All_India_Index_Upto_April23__1___1[Transport and communication],
    MATCH(1,
      (All_India_Index_Upto_April23__1___1[Date]=EDATE($A57,-1))*
      (All_India_Index_Upto_April23__1___1[Sector]="Rural+Urban"),
    0)
  ),
"")</f>
        <v>154</v>
      </c>
      <c r="N57" s="8">
        <f t="shared" si="4"/>
        <v>0</v>
      </c>
      <c r="O57" s="2" cm="1">
        <f t="array" ref="O57">IFERROR(
  AVERAGE(
    INDEX(All_India_Index_Upto_April23__1___1[Cereals and products],
      MATCH(1,(All_India_Index_Upto_April23__1___1[Date]=$A57)*
              (All_India_Index_Upto_April23__1___1[Sector]="Rural+Urban"),0)),
    INDEX(All_India_Index_Upto_April23__1___1[Meat and fish],
      MATCH(1,(All_India_Index_Upto_April23__1___1[Date]=$A57)*
              (All_India_Index_Upto_April23__1___1[Sector]="Rural+Urban"),0)),
    INDEX(All_India_Index_Upto_April23__1___1[Egg],
      MATCH(1,(All_India_Index_Upto_April23__1___1[Date]=$A57)*
              (All_India_Index_Upto_April23__1___1[Sector]="Rural+Urban"),0)),
    INDEX(All_India_Index_Upto_April23__1___1[Milk and products],
      MATCH(1,(All_India_Index_Upto_April23__1___1[Date]=$A57)*
              (All_India_Index_Upto_April23__1___1[Sector]="Rural+Urban"),0)),
    INDEX(All_India_Index_Upto_April23__1___1[Oils and fats],
      MATCH(1,(All_India_Index_Upto_April23__1___1[Date]=$A57)*
              (All_India_Index_Upto_April23__1___1[Sector]="Rural+Urban"),0)),
    INDEX(All_India_Index_Upto_April23__1___1[Fruits],
      MATCH(1,(All_India_Index_Upto_April23__1___1[Date]=$A57)*
              (All_India_Index_Upto_April23__1___1[Sector]="Rural+Urban"),0)),
    INDEX(All_India_Index_Upto_April23__1___1[Vegetables],
      MATCH(1,(All_India_Index_Upto_April23__1___1[Date]=$A57)*
              (All_India_Index_Upto_April23__1___1[Sector]="Rural+Urban"),0)),
    INDEX(All_India_Index_Upto_April23__1___1[Pulses and products],
      MATCH(1,(All_India_Index_Upto_April23__1___1[Date]=$A57)*
              (All_India_Index_Upto_April23__1___1[Sector]="Rural+Urban"),0)),
    INDEX(All_India_Index_Upto_April23__1___1[Sugar and Confectionery],
      MATCH(1,(All_India_Index_Upto_April23__1___1[Date]=$A57)*
              (All_India_Index_Upto_April23__1___1[Sector]="Rural+Urban"),0)),
    INDEX(All_India_Index_Upto_April23__1___1[Spices],
      MATCH(1,(All_India_Index_Upto_April23__1___1[Date]=$A57)*
              (All_India_Index_Upto_April23__1___1[Sector]="Rural+Urban"),0)),
    INDEX(All_India_Index_Upto_April23__1___1[Non-alcoholic beverages],
      MATCH(1,(All_India_Index_Upto_April23__1___1[Date]=$A57)*
              (All_India_Index_Upto_April23__1___1[Sector]="Rural+Urban"),0)),
    INDEX(All_India_Index_Upto_April23__1___1[Prepared meals, snacks, sweets etc.],
      MATCH(1,(All_India_Index_Upto_April23__1___1[Date]=$A57)*
              (All_India_Index_Upto_April23__1___1[Sector]="Rural+Urban"),0))
  ),
"")</f>
        <v>164.83333333333334</v>
      </c>
      <c r="P57" s="2" cm="1">
        <f t="array" ref="P57">IFERROR(
  AVERAGE(
    INDEX(All_India_Index_Upto_April23__1___1[Cereals and products],
      MATCH(1,(All_India_Index_Upto_April23__1___1[Date]=EDATE($A57,-12))*
              (All_India_Index_Upto_April23__1___1[Sector]="Rural+Urban"),0)),
    INDEX(All_India_Index_Upto_April23__1___1[Meat and fish],
      MATCH(1,(All_India_Index_Upto_April23__1___1[Date]=EDATE($A57,-12))*
              (All_India_Index_Upto_April23__1___1[Sector]="Rural+Urban"),0)),
    INDEX(All_India_Index_Upto_April23__1___1[Egg],
      MATCH(1,(All_India_Index_Upto_April23__1___1[Date]=EDATE($A57,-12))*
              (All_India_Index_Upto_April23__1___1[Sector]="Rural+Urban"),0)),
    INDEX(All_India_Index_Upto_April23__1___1[Milk and products],
      MATCH(1,(All_India_Index_Upto_April23__1___1[Date]=EDATE($A57,-12))*
              (All_India_Index_Upto_April23__1___1[Sector]="Rural+Urban"),0)),
    INDEX(All_India_Index_Upto_April23__1___1[Oils and fats],
      MATCH(1,(All_India_Index_Upto_April23__1___1[Date]=EDATE($A57,-12))*
              (All_India_Index_Upto_April23__1___1[Sector]="Rural+Urban"),0)),
    INDEX(All_India_Index_Upto_April23__1___1[Fruits],
      MATCH(1,(All_India_Index_Upto_April23__1___1[Date]=EDATE($A57,-12))*
              (All_India_Index_Upto_April23__1___1[Sector]="Rural+Urban"),0)),
    INDEX(All_India_Index_Upto_April23__1___1[Vegetables],
      MATCH(1,(All_India_Index_Upto_April23__1___1[Date]=EDATE($A57,-12))*
              (All_India_Index_Upto_April23__1___1[Sector]="Rural+Urban"),0)),
    INDEX(All_India_Index_Upto_April23__1___1[Pulses and products],
      MATCH(1,(All_India_Index_Upto_April23__1___1[Date]=EDATE($A57,-12))*
              (All_India_Index_Upto_April23__1___1[Sector]="Rural+Urban"),0)),
    INDEX(All_India_Index_Upto_April23__1___1[Sugar and Confectionery],
      MATCH(1,(All_India_Index_Upto_April23__1___1[Date]=EDATE($A57,-12))*
              (All_India_Index_Upto_April23__1___1[Sector]="Rural+Urban"),0)),
    INDEX(All_India_Index_Upto_April23__1___1[Spices],
      MATCH(1,(All_India_Index_Upto_April23__1___1[Date]=EDATE($A57,-12))*
              (All_India_Index_Upto_April23__1___1[Sector]="Rural+Urban"),0)),
    INDEX(All_India_Index_Upto_April23__1___1[Non-alcoholic beverages],
      MATCH(1,(All_India_Index_Upto_April23__1___1[Date]=EDATE($A57,-12))*
              (All_India_Index_Upto_April23__1___1[Sector]="Rural+Urban"),0)),
    INDEX(All_India_Index_Upto_April23__1___1[Prepared meals, snacks, sweets etc.],
      MATCH(1,(All_India_Index_Upto_April23__1___1[Date]=EDATE($A57,-12))*
              (All_India_Index_Upto_April23__1___1[Sector]="Rural+Urban"),0))
  ),
"")</f>
        <v>154.08333333333334</v>
      </c>
      <c r="Q57" s="8">
        <f t="shared" si="5"/>
        <v>6.9767441860465115E-2</v>
      </c>
      <c r="R57" cm="1">
        <f t="array" ref="R57">IFERROR(
  INDEX(All_India_Index_Upto_April23__1___1[General index],
    MATCH(1,
      (All_India_Index_Upto_April23__1___1[Date]=$A57)*
      (All_India_Index_Upto_April23__1___1[Sector]="Rural+Urban"),
    0)
  ),
"")</f>
        <v>163.19999999999999</v>
      </c>
      <c r="S57" cm="1">
        <f t="array" ref="S57">IFERROR(
  INDEX(All_India_Index_Upto_April23__1___1[General index],
    MATCH(1,
      (All_India_Index_Upto_April23__1___1[Date]=EDATE($A57,-1))*
      (All_India_Index_Upto_April23__1___1[Sector]="Rural+Urban"),
    0)
  ),
"")</f>
        <v>163.19999999999999</v>
      </c>
      <c r="T57" s="8">
        <f t="shared" si="6"/>
        <v>0</v>
      </c>
    </row>
    <row r="58" spans="1:20" x14ac:dyDescent="0.2">
      <c r="A58" s="22">
        <v>44470</v>
      </c>
      <c r="B58">
        <v>2021</v>
      </c>
      <c r="C58" t="s">
        <v>49</v>
      </c>
      <c r="D58" s="2">
        <v>82</v>
      </c>
      <c r="E58" s="8">
        <f t="shared" si="1"/>
        <v>-3.6585365853658534E-2</v>
      </c>
      <c r="F58" s="8">
        <f t="shared" si="2"/>
        <v>-3.6585365853658534E-2</v>
      </c>
      <c r="G58" t="e">
        <f t="shared" si="7"/>
        <v>#N/A</v>
      </c>
      <c r="H58" s="22">
        <v>44470</v>
      </c>
      <c r="I58" cm="1">
        <f t="array" ref="I58">IFERROR(
  INDEX(All_India_Index_Upto_April23__1___1[Fuel and light],
    MATCH(1,
      (All_India_Index_Upto_April23__1___1[Date]=$A58)*
      (All_India_Index_Upto_April23__1___1[Sector]="Rural+Urban"),
    0)
  ),
"")</f>
        <v>164.2</v>
      </c>
      <c r="J58" cm="1">
        <f t="array" ref="J58">IFERROR(
  INDEX(All_India_Index_Upto_April23__1___1[Fuel and light],
    MATCH(1,
      (All_India_Index_Upto_April23__1___1[Date]=EDATE($A58,-1))*
      (All_India_Index_Upto_April23__1___1[Sector]="Rural+Urban"),
    0)
  ),
"")</f>
        <v>162.6</v>
      </c>
      <c r="K58" s="8">
        <f t="shared" si="3"/>
        <v>9.8400984009839754E-3</v>
      </c>
      <c r="L58" cm="1">
        <f t="array" ref="L58">IFERROR(
  INDEX(All_India_Index_Upto_April23__1___1[Transport and communication],
    MATCH(1,
      (All_India_Index_Upto_April23__1___1[Date]=$A58)*
      (All_India_Index_Upto_April23__1___1[Sector]="Rural+Urban"),
    0)
  ),
"")</f>
        <v>155.69999999999999</v>
      </c>
      <c r="M58" cm="1">
        <f t="array" ref="M58">IFERROR(
  INDEX(All_India_Index_Upto_April23__1___1[Transport and communication],
    MATCH(1,
      (All_India_Index_Upto_April23__1___1[Date]=EDATE($A58,-1))*
      (All_India_Index_Upto_April23__1___1[Sector]="Rural+Urban"),
    0)
  ),
"")</f>
        <v>154</v>
      </c>
      <c r="N58" s="8">
        <f t="shared" si="4"/>
        <v>1.1038961038960965E-2</v>
      </c>
      <c r="O58" s="2" cm="1">
        <f t="array" ref="O58">IFERROR(
  AVERAGE(
    INDEX(All_India_Index_Upto_April23__1___1[Cereals and products],
      MATCH(1,(All_India_Index_Upto_April23__1___1[Date]=$A58)*
              (All_India_Index_Upto_April23__1___1[Sector]="Rural+Urban"),0)),
    INDEX(All_India_Index_Upto_April23__1___1[Meat and fish],
      MATCH(1,(All_India_Index_Upto_April23__1___1[Date]=$A58)*
              (All_India_Index_Upto_April23__1___1[Sector]="Rural+Urban"),0)),
    INDEX(All_India_Index_Upto_April23__1___1[Egg],
      MATCH(1,(All_India_Index_Upto_April23__1___1[Date]=$A58)*
              (All_India_Index_Upto_April23__1___1[Sector]="Rural+Urban"),0)),
    INDEX(All_India_Index_Upto_April23__1___1[Milk and products],
      MATCH(1,(All_India_Index_Upto_April23__1___1[Date]=$A58)*
              (All_India_Index_Upto_April23__1___1[Sector]="Rural+Urban"),0)),
    INDEX(All_India_Index_Upto_April23__1___1[Oils and fats],
      MATCH(1,(All_India_Index_Upto_April23__1___1[Date]=$A58)*
              (All_India_Index_Upto_April23__1___1[Sector]="Rural+Urban"),0)),
    INDEX(All_India_Index_Upto_April23__1___1[Fruits],
      MATCH(1,(All_India_Index_Upto_April23__1___1[Date]=$A58)*
              (All_India_Index_Upto_April23__1___1[Sector]="Rural+Urban"),0)),
    INDEX(All_India_Index_Upto_April23__1___1[Vegetables],
      MATCH(1,(All_India_Index_Upto_April23__1___1[Date]=$A58)*
              (All_India_Index_Upto_April23__1___1[Sector]="Rural+Urban"),0)),
    INDEX(All_India_Index_Upto_April23__1___1[Pulses and products],
      MATCH(1,(All_India_Index_Upto_April23__1___1[Date]=$A58)*
              (All_India_Index_Upto_April23__1___1[Sector]="Rural+Urban"),0)),
    INDEX(All_India_Index_Upto_April23__1___1[Sugar and Confectionery],
      MATCH(1,(All_India_Index_Upto_April23__1___1[Date]=$A58)*
              (All_India_Index_Upto_April23__1___1[Sector]="Rural+Urban"),0)),
    INDEX(All_India_Index_Upto_April23__1___1[Spices],
      MATCH(1,(All_India_Index_Upto_April23__1___1[Date]=$A58)*
              (All_India_Index_Upto_April23__1___1[Sector]="Rural+Urban"),0)),
    INDEX(All_India_Index_Upto_April23__1___1[Non-alcoholic beverages],
      MATCH(1,(All_India_Index_Upto_April23__1___1[Date]=$A58)*
              (All_India_Index_Upto_April23__1___1[Sector]="Rural+Urban"),0)),
    INDEX(All_India_Index_Upto_April23__1___1[Prepared meals, snacks, sweets etc.],
      MATCH(1,(All_India_Index_Upto_April23__1___1[Date]=$A58)*
              (All_India_Index_Upto_April23__1___1[Sector]="Rural+Urban"),0))
  ),
"")</f>
        <v>167.31666666666669</v>
      </c>
      <c r="P58" s="2" cm="1">
        <f t="array" ref="P58">IFERROR(
  AVERAGE(
    INDEX(All_India_Index_Upto_April23__1___1[Cereals and products],
      MATCH(1,(All_India_Index_Upto_April23__1___1[Date]=EDATE($A58,-12))*
              (All_India_Index_Upto_April23__1___1[Sector]="Rural+Urban"),0)),
    INDEX(All_India_Index_Upto_April23__1___1[Meat and fish],
      MATCH(1,(All_India_Index_Upto_April23__1___1[Date]=EDATE($A58,-12))*
              (All_India_Index_Upto_April23__1___1[Sector]="Rural+Urban"),0)),
    INDEX(All_India_Index_Upto_April23__1___1[Egg],
      MATCH(1,(All_India_Index_Upto_April23__1___1[Date]=EDATE($A58,-12))*
              (All_India_Index_Upto_April23__1___1[Sector]="Rural+Urban"),0)),
    INDEX(All_India_Index_Upto_April23__1___1[Milk and products],
      MATCH(1,(All_India_Index_Upto_April23__1___1[Date]=EDATE($A58,-12))*
              (All_India_Index_Upto_April23__1___1[Sector]="Rural+Urban"),0)),
    INDEX(All_India_Index_Upto_April23__1___1[Oils and fats],
      MATCH(1,(All_India_Index_Upto_April23__1___1[Date]=EDATE($A58,-12))*
              (All_India_Index_Upto_April23__1___1[Sector]="Rural+Urban"),0)),
    INDEX(All_India_Index_Upto_April23__1___1[Fruits],
      MATCH(1,(All_India_Index_Upto_April23__1___1[Date]=EDATE($A58,-12))*
              (All_India_Index_Upto_April23__1___1[Sector]="Rural+Urban"),0)),
    INDEX(All_India_Index_Upto_April23__1___1[Vegetables],
      MATCH(1,(All_India_Index_Upto_April23__1___1[Date]=EDATE($A58,-12))*
              (All_India_Index_Upto_April23__1___1[Sector]="Rural+Urban"),0)),
    INDEX(All_India_Index_Upto_April23__1___1[Pulses and products],
      MATCH(1,(All_India_Index_Upto_April23__1___1[Date]=EDATE($A58,-12))*
              (All_India_Index_Upto_April23__1___1[Sector]="Rural+Urban"),0)),
    INDEX(All_India_Index_Upto_April23__1___1[Sugar and Confectionery],
      MATCH(1,(All_India_Index_Upto_April23__1___1[Date]=EDATE($A58,-12))*
              (All_India_Index_Upto_April23__1___1[Sector]="Rural+Urban"),0)),
    INDEX(All_India_Index_Upto_April23__1___1[Spices],
      MATCH(1,(All_India_Index_Upto_April23__1___1[Date]=EDATE($A58,-12))*
              (All_India_Index_Upto_April23__1___1[Sector]="Rural+Urban"),0)),
    INDEX(All_India_Index_Upto_April23__1___1[Non-alcoholic beverages],
      MATCH(1,(All_India_Index_Upto_April23__1___1[Date]=EDATE($A58,-12))*
              (All_India_Index_Upto_April23__1___1[Sector]="Rural+Urban"),0)),
    INDEX(All_India_Index_Upto_April23__1___1[Prepared meals, snacks, sweets etc.],
      MATCH(1,(All_India_Index_Upto_April23__1___1[Date]=EDATE($A58,-12))*
              (All_India_Index_Upto_April23__1___1[Sector]="Rural+Urban"),0))
  ),
"")</f>
        <v>157.26666666666668</v>
      </c>
      <c r="Q58" s="8">
        <f t="shared" si="5"/>
        <v>6.390419669351427E-2</v>
      </c>
      <c r="R58" cm="1">
        <f t="array" ref="R58">IFERROR(
  INDEX(All_India_Index_Upto_April23__1___1[General index],
    MATCH(1,
      (All_India_Index_Upto_April23__1___1[Date]=$A58)*
      (All_India_Index_Upto_April23__1___1[Sector]="Rural+Urban"),
    0)
  ),
"")</f>
        <v>165.5</v>
      </c>
      <c r="S58" cm="1">
        <f t="array" ref="S58">IFERROR(
  INDEX(All_India_Index_Upto_April23__1___1[General index],
    MATCH(1,
      (All_India_Index_Upto_April23__1___1[Date]=EDATE($A58,-1))*
      (All_India_Index_Upto_April23__1___1[Sector]="Rural+Urban"),
    0)
  ),
"")</f>
        <v>163.19999999999999</v>
      </c>
      <c r="T58" s="8">
        <f t="shared" si="6"/>
        <v>1.4093137254902032E-2</v>
      </c>
    </row>
    <row r="59" spans="1:20" x14ac:dyDescent="0.2">
      <c r="A59" s="22">
        <v>44501</v>
      </c>
      <c r="B59">
        <v>2021</v>
      </c>
      <c r="C59" t="s">
        <v>51</v>
      </c>
      <c r="D59" s="2">
        <v>79</v>
      </c>
      <c r="E59" s="8">
        <f t="shared" si="1"/>
        <v>-6.3291139240506333E-2</v>
      </c>
      <c r="F59" s="8">
        <f t="shared" si="2"/>
        <v>-6.3291139240506333E-2</v>
      </c>
      <c r="G59" t="e">
        <f t="shared" si="7"/>
        <v>#N/A</v>
      </c>
      <c r="H59" s="22">
        <v>44501</v>
      </c>
      <c r="I59" cm="1">
        <f t="array" ref="I59">IFERROR(
  INDEX(All_India_Index_Upto_April23__1___1[Fuel and light],
    MATCH(1,
      (All_India_Index_Upto_April23__1___1[Date]=$A59)*
      (All_India_Index_Upto_April23__1___1[Sector]="Rural+Urban"),
    0)
  ),
"")</f>
        <v>163.9</v>
      </c>
      <c r="J59" cm="1">
        <f t="array" ref="J59">IFERROR(
  INDEX(All_India_Index_Upto_April23__1___1[Fuel and light],
    MATCH(1,
      (All_India_Index_Upto_April23__1___1[Date]=EDATE($A59,-1))*
      (All_India_Index_Upto_April23__1___1[Sector]="Rural+Urban"),
    0)
  ),
"")</f>
        <v>164.2</v>
      </c>
      <c r="K59" s="8">
        <f t="shared" si="3"/>
        <v>-1.8270401948841837E-3</v>
      </c>
      <c r="L59" cm="1">
        <f t="array" ref="L59">IFERROR(
  INDEX(All_India_Index_Upto_April23__1___1[Transport and communication],
    MATCH(1,
      (All_India_Index_Upto_April23__1___1[Date]=$A59)*
      (All_India_Index_Upto_April23__1___1[Sector]="Rural+Urban"),
    0)
  ),
"")</f>
        <v>154.80000000000001</v>
      </c>
      <c r="M59" cm="1">
        <f t="array" ref="M59">IFERROR(
  INDEX(All_India_Index_Upto_April23__1___1[Transport and communication],
    MATCH(1,
      (All_India_Index_Upto_April23__1___1[Date]=EDATE($A59,-1))*
      (All_India_Index_Upto_April23__1___1[Sector]="Rural+Urban"),
    0)
  ),
"")</f>
        <v>155.69999999999999</v>
      </c>
      <c r="N59" s="8">
        <f t="shared" si="4"/>
        <v>-5.7803468208091026E-3</v>
      </c>
      <c r="O59" s="2" cm="1">
        <f t="array" ref="O59">IFERROR(
  AVERAGE(
    INDEX(All_India_Index_Upto_April23__1___1[Cereals and products],
      MATCH(1,(All_India_Index_Upto_April23__1___1[Date]=$A59)*
              (All_India_Index_Upto_April23__1___1[Sector]="Rural+Urban"),0)),
    INDEX(All_India_Index_Upto_April23__1___1[Meat and fish],
      MATCH(1,(All_India_Index_Upto_April23__1___1[Date]=$A59)*
              (All_India_Index_Upto_April23__1___1[Sector]="Rural+Urban"),0)),
    INDEX(All_India_Index_Upto_April23__1___1[Egg],
      MATCH(1,(All_India_Index_Upto_April23__1___1[Date]=$A59)*
              (All_India_Index_Upto_April23__1___1[Sector]="Rural+Urban"),0)),
    INDEX(All_India_Index_Upto_April23__1___1[Milk and products],
      MATCH(1,(All_India_Index_Upto_April23__1___1[Date]=$A59)*
              (All_India_Index_Upto_April23__1___1[Sector]="Rural+Urban"),0)),
    INDEX(All_India_Index_Upto_April23__1___1[Oils and fats],
      MATCH(1,(All_India_Index_Upto_April23__1___1[Date]=$A59)*
              (All_India_Index_Upto_April23__1___1[Sector]="Rural+Urban"),0)),
    INDEX(All_India_Index_Upto_April23__1___1[Fruits],
      MATCH(1,(All_India_Index_Upto_April23__1___1[Date]=$A59)*
              (All_India_Index_Upto_April23__1___1[Sector]="Rural+Urban"),0)),
    INDEX(All_India_Index_Upto_April23__1___1[Vegetables],
      MATCH(1,(All_India_Index_Upto_April23__1___1[Date]=$A59)*
              (All_India_Index_Upto_April23__1___1[Sector]="Rural+Urban"),0)),
    INDEX(All_India_Index_Upto_April23__1___1[Pulses and products],
      MATCH(1,(All_India_Index_Upto_April23__1___1[Date]=$A59)*
              (All_India_Index_Upto_April23__1___1[Sector]="Rural+Urban"),0)),
    INDEX(All_India_Index_Upto_April23__1___1[Sugar and Confectionery],
      MATCH(1,(All_India_Index_Upto_April23__1___1[Date]=$A59)*
              (All_India_Index_Upto_April23__1___1[Sector]="Rural+Urban"),0)),
    INDEX(All_India_Index_Upto_April23__1___1[Spices],
      MATCH(1,(All_India_Index_Upto_April23__1___1[Date]=$A59)*
              (All_India_Index_Upto_April23__1___1[Sector]="Rural+Urban"),0)),
    INDEX(All_India_Index_Upto_April23__1___1[Non-alcoholic beverages],
      MATCH(1,(All_India_Index_Upto_April23__1___1[Date]=$A59)*
              (All_India_Index_Upto_April23__1___1[Sector]="Rural+Urban"),0)),
    INDEX(All_India_Index_Upto_April23__1___1[Prepared meals, snacks, sweets etc.],
      MATCH(1,(All_India_Index_Upto_April23__1___1[Date]=$A59)*
              (All_India_Index_Upto_April23__1___1[Sector]="Rural+Urban"),0))
  ),
"")</f>
        <v>168.7</v>
      </c>
      <c r="P59" s="2" cm="1">
        <f t="array" ref="P59">IFERROR(
  AVERAGE(
    INDEX(All_India_Index_Upto_April23__1___1[Cereals and products],
      MATCH(1,(All_India_Index_Upto_April23__1___1[Date]=EDATE($A59,-12))*
              (All_India_Index_Upto_April23__1___1[Sector]="Rural+Urban"),0)),
    INDEX(All_India_Index_Upto_April23__1___1[Meat and fish],
      MATCH(1,(All_India_Index_Upto_April23__1___1[Date]=EDATE($A59,-12))*
              (All_India_Index_Upto_April23__1___1[Sector]="Rural+Urban"),0)),
    INDEX(All_India_Index_Upto_April23__1___1[Egg],
      MATCH(1,(All_India_Index_Upto_April23__1___1[Date]=EDATE($A59,-12))*
              (All_India_Index_Upto_April23__1___1[Sector]="Rural+Urban"),0)),
    INDEX(All_India_Index_Upto_April23__1___1[Milk and products],
      MATCH(1,(All_India_Index_Upto_April23__1___1[Date]=EDATE($A59,-12))*
              (All_India_Index_Upto_April23__1___1[Sector]="Rural+Urban"),0)),
    INDEX(All_India_Index_Upto_April23__1___1[Oils and fats],
      MATCH(1,(All_India_Index_Upto_April23__1___1[Date]=EDATE($A59,-12))*
              (All_India_Index_Upto_April23__1___1[Sector]="Rural+Urban"),0)),
    INDEX(All_India_Index_Upto_April23__1___1[Fruits],
      MATCH(1,(All_India_Index_Upto_April23__1___1[Date]=EDATE($A59,-12))*
              (All_India_Index_Upto_April23__1___1[Sector]="Rural+Urban"),0)),
    INDEX(All_India_Index_Upto_April23__1___1[Vegetables],
      MATCH(1,(All_India_Index_Upto_April23__1___1[Date]=EDATE($A59,-12))*
              (All_India_Index_Upto_April23__1___1[Sector]="Rural+Urban"),0)),
    INDEX(All_India_Index_Upto_April23__1___1[Pulses and products],
      MATCH(1,(All_India_Index_Upto_April23__1___1[Date]=EDATE($A59,-12))*
              (All_India_Index_Upto_April23__1___1[Sector]="Rural+Urban"),0)),
    INDEX(All_India_Index_Upto_April23__1___1[Sugar and Confectionery],
      MATCH(1,(All_India_Index_Upto_April23__1___1[Date]=EDATE($A59,-12))*
              (All_India_Index_Upto_April23__1___1[Sector]="Rural+Urban"),0)),
    INDEX(All_India_Index_Upto_April23__1___1[Spices],
      MATCH(1,(All_India_Index_Upto_April23__1___1[Date]=EDATE($A59,-12))*
              (All_India_Index_Upto_April23__1___1[Sector]="Rural+Urban"),0)),
    INDEX(All_India_Index_Upto_April23__1___1[Non-alcoholic beverages],
      MATCH(1,(All_India_Index_Upto_April23__1___1[Date]=EDATE($A59,-12))*
              (All_India_Index_Upto_April23__1___1[Sector]="Rural+Urban"),0)),
    INDEX(All_India_Index_Upto_April23__1___1[Prepared meals, snacks, sweets etc.],
      MATCH(1,(All_India_Index_Upto_April23__1___1[Date]=EDATE($A59,-12))*
              (All_India_Index_Upto_April23__1___1[Sector]="Rural+Urban"),0))
  ),
"")</f>
        <v>160.90833333333333</v>
      </c>
      <c r="Q59" s="8">
        <f t="shared" si="5"/>
        <v>4.8423015174271007E-2</v>
      </c>
      <c r="R59" cm="1">
        <f t="array" ref="R59">IFERROR(
  INDEX(All_India_Index_Upto_April23__1___1[General index],
    MATCH(1,
      (All_India_Index_Upto_April23__1___1[Date]=$A59)*
      (All_India_Index_Upto_April23__1___1[Sector]="Rural+Urban"),
    0)
  ),
"")</f>
        <v>166.7</v>
      </c>
      <c r="S59" cm="1">
        <f t="array" ref="S59">IFERROR(
  INDEX(All_India_Index_Upto_April23__1___1[General index],
    MATCH(1,
      (All_India_Index_Upto_April23__1___1[Date]=EDATE($A59,-1))*
      (All_India_Index_Upto_April23__1___1[Sector]="Rural+Urban"),
    0)
  ),
"")</f>
        <v>165.5</v>
      </c>
      <c r="T59" s="8">
        <f t="shared" si="6"/>
        <v>7.2507552870089949E-3</v>
      </c>
    </row>
    <row r="60" spans="1:20" x14ac:dyDescent="0.2">
      <c r="A60" s="22">
        <v>44531</v>
      </c>
      <c r="B60">
        <v>2021</v>
      </c>
      <c r="C60" t="s">
        <v>53</v>
      </c>
      <c r="D60" s="2">
        <v>74</v>
      </c>
      <c r="E60" s="8">
        <f t="shared" si="1"/>
        <v>0.13513513513513514</v>
      </c>
      <c r="F60" s="8">
        <f t="shared" si="2"/>
        <v>0.13513513513513514</v>
      </c>
      <c r="G60" t="e">
        <f t="shared" si="7"/>
        <v>#N/A</v>
      </c>
      <c r="H60" s="22">
        <v>44531</v>
      </c>
      <c r="I60" cm="1">
        <f t="array" ref="I60">IFERROR(
  INDEX(All_India_Index_Upto_April23__1___1[Fuel and light],
    MATCH(1,
      (All_India_Index_Upto_April23__1___1[Date]=$A60)*
      (All_India_Index_Upto_April23__1___1[Sector]="Rural+Urban"),
    0)
  ),
"")</f>
        <v>164.1</v>
      </c>
      <c r="J60" cm="1">
        <f t="array" ref="J60">IFERROR(
  INDEX(All_India_Index_Upto_April23__1___1[Fuel and light],
    MATCH(1,
      (All_India_Index_Upto_April23__1___1[Date]=EDATE($A60,-1))*
      (All_India_Index_Upto_April23__1___1[Sector]="Rural+Urban"),
    0)
  ),
"")</f>
        <v>163.9</v>
      </c>
      <c r="K60" s="8">
        <f t="shared" si="3"/>
        <v>1.2202562538132314E-3</v>
      </c>
      <c r="L60" cm="1">
        <f t="array" ref="L60">IFERROR(
  INDEX(All_India_Index_Upto_April23__1___1[Transport and communication],
    MATCH(1,
      (All_India_Index_Upto_April23__1___1[Date]=$A60)*
      (All_India_Index_Upto_April23__1___1[Sector]="Rural+Urban"),
    0)
  ),
"")</f>
        <v>155.69999999999999</v>
      </c>
      <c r="M60" cm="1">
        <f t="array" ref="M60">IFERROR(
  INDEX(All_India_Index_Upto_April23__1___1[Transport and communication],
    MATCH(1,
      (All_India_Index_Upto_April23__1___1[Date]=EDATE($A60,-1))*
      (All_India_Index_Upto_April23__1___1[Sector]="Rural+Urban"),
    0)
  ),
"")</f>
        <v>154.80000000000001</v>
      </c>
      <c r="N60" s="8">
        <f t="shared" si="4"/>
        <v>5.8139534883719455E-3</v>
      </c>
      <c r="O60" s="2" cm="1">
        <f t="array" ref="O60">IFERROR(
  AVERAGE(
    INDEX(All_India_Index_Upto_April23__1___1[Cereals and products],
      MATCH(1,(All_India_Index_Upto_April23__1___1[Date]=$A60)*
              (All_India_Index_Upto_April23__1___1[Sector]="Rural+Urban"),0)),
    INDEX(All_India_Index_Upto_April23__1___1[Meat and fish],
      MATCH(1,(All_India_Index_Upto_April23__1___1[Date]=$A60)*
              (All_India_Index_Upto_April23__1___1[Sector]="Rural+Urban"),0)),
    INDEX(All_India_Index_Upto_April23__1___1[Egg],
      MATCH(1,(All_India_Index_Upto_April23__1___1[Date]=$A60)*
              (All_India_Index_Upto_April23__1___1[Sector]="Rural+Urban"),0)),
    INDEX(All_India_Index_Upto_April23__1___1[Milk and products],
      MATCH(1,(All_India_Index_Upto_April23__1___1[Date]=$A60)*
              (All_India_Index_Upto_April23__1___1[Sector]="Rural+Urban"),0)),
    INDEX(All_India_Index_Upto_April23__1___1[Oils and fats],
      MATCH(1,(All_India_Index_Upto_April23__1___1[Date]=$A60)*
              (All_India_Index_Upto_April23__1___1[Sector]="Rural+Urban"),0)),
    INDEX(All_India_Index_Upto_April23__1___1[Fruits],
      MATCH(1,(All_India_Index_Upto_April23__1___1[Date]=$A60)*
              (All_India_Index_Upto_April23__1___1[Sector]="Rural+Urban"),0)),
    INDEX(All_India_Index_Upto_April23__1___1[Vegetables],
      MATCH(1,(All_India_Index_Upto_April23__1___1[Date]=$A60)*
              (All_India_Index_Upto_April23__1___1[Sector]="Rural+Urban"),0)),
    INDEX(All_India_Index_Upto_April23__1___1[Pulses and products],
      MATCH(1,(All_India_Index_Upto_April23__1___1[Date]=$A60)*
              (All_India_Index_Upto_April23__1___1[Sector]="Rural+Urban"),0)),
    INDEX(All_India_Index_Upto_April23__1___1[Sugar and Confectionery],
      MATCH(1,(All_India_Index_Upto_April23__1___1[Date]=$A60)*
              (All_India_Index_Upto_April23__1___1[Sector]="Rural+Urban"),0)),
    INDEX(All_India_Index_Upto_April23__1___1[Spices],
      MATCH(1,(All_India_Index_Upto_April23__1___1[Date]=$A60)*
              (All_India_Index_Upto_April23__1___1[Sector]="Rural+Urban"),0)),
    INDEX(All_India_Index_Upto_April23__1___1[Non-alcoholic beverages],
      MATCH(1,(All_India_Index_Upto_April23__1___1[Date]=$A60)*
              (All_India_Index_Upto_April23__1___1[Sector]="Rural+Urban"),0)),
    INDEX(All_India_Index_Upto_April23__1___1[Prepared meals, snacks, sweets etc.],
      MATCH(1,(All_India_Index_Upto_April23__1___1[Date]=$A60)*
              (All_India_Index_Upto_April23__1___1[Sector]="Rural+Urban"),0))
  ),
"")</f>
        <v>167.72499999999999</v>
      </c>
      <c r="P60" s="2" cm="1">
        <f t="array" ref="P60">IFERROR(
  AVERAGE(
    INDEX(All_India_Index_Upto_April23__1___1[Cereals and products],
      MATCH(1,(All_India_Index_Upto_April23__1___1[Date]=EDATE($A60,-12))*
              (All_India_Index_Upto_April23__1___1[Sector]="Rural+Urban"),0)),
    INDEX(All_India_Index_Upto_April23__1___1[Meat and fish],
      MATCH(1,(All_India_Index_Upto_April23__1___1[Date]=EDATE($A60,-12))*
              (All_India_Index_Upto_April23__1___1[Sector]="Rural+Urban"),0)),
    INDEX(All_India_Index_Upto_April23__1___1[Egg],
      MATCH(1,(All_India_Index_Upto_April23__1___1[Date]=EDATE($A60,-12))*
              (All_India_Index_Upto_April23__1___1[Sector]="Rural+Urban"),0)),
    INDEX(All_India_Index_Upto_April23__1___1[Milk and products],
      MATCH(1,(All_India_Index_Upto_April23__1___1[Date]=EDATE($A60,-12))*
              (All_India_Index_Upto_April23__1___1[Sector]="Rural+Urban"),0)),
    INDEX(All_India_Index_Upto_April23__1___1[Oils and fats],
      MATCH(1,(All_India_Index_Upto_April23__1___1[Date]=EDATE($A60,-12))*
              (All_India_Index_Upto_April23__1___1[Sector]="Rural+Urban"),0)),
    INDEX(All_India_Index_Upto_April23__1___1[Fruits],
      MATCH(1,(All_India_Index_Upto_April23__1___1[Date]=EDATE($A60,-12))*
              (All_India_Index_Upto_April23__1___1[Sector]="Rural+Urban"),0)),
    INDEX(All_India_Index_Upto_April23__1___1[Vegetables],
      MATCH(1,(All_India_Index_Upto_April23__1___1[Date]=EDATE($A60,-12))*
              (All_India_Index_Upto_April23__1___1[Sector]="Rural+Urban"),0)),
    INDEX(All_India_Index_Upto_April23__1___1[Pulses and products],
      MATCH(1,(All_India_Index_Upto_April23__1___1[Date]=EDATE($A60,-12))*
              (All_India_Index_Upto_April23__1___1[Sector]="Rural+Urban"),0)),
    INDEX(All_India_Index_Upto_April23__1___1[Sugar and Confectionery],
      MATCH(1,(All_India_Index_Upto_April23__1___1[Date]=EDATE($A60,-12))*
              (All_India_Index_Upto_April23__1___1[Sector]="Rural+Urban"),0)),
    INDEX(All_India_Index_Upto_April23__1___1[Spices],
      MATCH(1,(All_India_Index_Upto_April23__1___1[Date]=EDATE($A60,-12))*
              (All_India_Index_Upto_April23__1___1[Sector]="Rural+Urban"),0)),
    INDEX(All_India_Index_Upto_April23__1___1[Non-alcoholic beverages],
      MATCH(1,(All_India_Index_Upto_April23__1___1[Date]=EDATE($A60,-12))*
              (All_India_Index_Upto_April23__1___1[Sector]="Rural+Urban"),0)),
    INDEX(All_India_Index_Upto_April23__1___1[Prepared meals, snacks, sweets etc.],
      MATCH(1,(All_India_Index_Upto_April23__1___1[Date]=EDATE($A60,-12))*
              (All_India_Index_Upto_April23__1___1[Sector]="Rural+Urban"),0))
  ),
"")</f>
        <v>161.97499999999999</v>
      </c>
      <c r="Q60" s="8">
        <f t="shared" si="5"/>
        <v>3.5499305448371661E-2</v>
      </c>
      <c r="R60" cm="1">
        <f t="array" ref="R60">IFERROR(
  INDEX(All_India_Index_Upto_April23__1___1[General index],
    MATCH(1,
      (All_India_Index_Upto_April23__1___1[Date]=$A60)*
      (All_India_Index_Upto_April23__1___1[Sector]="Rural+Urban"),
    0)
  ),
"")</f>
        <v>166.2</v>
      </c>
      <c r="S60" cm="1">
        <f t="array" ref="S60">IFERROR(
  INDEX(All_India_Index_Upto_April23__1___1[General index],
    MATCH(1,
      (All_India_Index_Upto_April23__1___1[Date]=EDATE($A60,-1))*
      (All_India_Index_Upto_April23__1___1[Sector]="Rural+Urban"),
    0)
  ),
"")</f>
        <v>166.7</v>
      </c>
      <c r="T60" s="8">
        <f t="shared" si="6"/>
        <v>-2.999400119976005E-3</v>
      </c>
    </row>
    <row r="61" spans="1:20" x14ac:dyDescent="0.2">
      <c r="A61" s="22">
        <v>44562</v>
      </c>
      <c r="B61">
        <v>2022</v>
      </c>
      <c r="C61" t="s">
        <v>31</v>
      </c>
      <c r="D61" s="2">
        <v>84</v>
      </c>
      <c r="E61" s="8">
        <f t="shared" si="1"/>
        <v>0.14285714285714285</v>
      </c>
      <c r="F61" s="8">
        <f t="shared" si="2"/>
        <v>0.14285714285714285</v>
      </c>
      <c r="G61" t="e">
        <f t="shared" si="7"/>
        <v>#N/A</v>
      </c>
      <c r="H61" s="22">
        <v>44562</v>
      </c>
      <c r="I61" cm="1">
        <f t="array" ref="I61">IFERROR(
  INDEX(All_India_Index_Upto_April23__1___1[Fuel and light],
    MATCH(1,
      (All_India_Index_Upto_April23__1___1[Date]=$A61)*
      (All_India_Index_Upto_April23__1___1[Sector]="Rural+Urban"),
    0)
  ),
"")</f>
        <v>164.2</v>
      </c>
      <c r="J61" cm="1">
        <f t="array" ref="J61">IFERROR(
  INDEX(All_India_Index_Upto_April23__1___1[Fuel and light],
    MATCH(1,
      (All_India_Index_Upto_April23__1___1[Date]=EDATE($A61,-1))*
      (All_India_Index_Upto_April23__1___1[Sector]="Rural+Urban"),
    0)
  ),
"")</f>
        <v>164.1</v>
      </c>
      <c r="K61" s="8">
        <f t="shared" si="3"/>
        <v>6.0938452163311586E-4</v>
      </c>
      <c r="L61" cm="1">
        <f t="array" ref="L61">IFERROR(
  INDEX(All_India_Index_Upto_April23__1___1[Transport and communication],
    MATCH(1,
      (All_India_Index_Upto_April23__1___1[Date]=$A61)*
      (All_India_Index_Upto_April23__1___1[Sector]="Rural+Urban"),
    0)
  ),
"")</f>
        <v>156.5</v>
      </c>
      <c r="M61" cm="1">
        <f t="array" ref="M61">IFERROR(
  INDEX(All_India_Index_Upto_April23__1___1[Transport and communication],
    MATCH(1,
      (All_India_Index_Upto_April23__1___1[Date]=EDATE($A61,-1))*
      (All_India_Index_Upto_April23__1___1[Sector]="Rural+Urban"),
    0)
  ),
"")</f>
        <v>155.69999999999999</v>
      </c>
      <c r="N61" s="8">
        <f t="shared" si="4"/>
        <v>5.1380860629416276E-3</v>
      </c>
      <c r="O61" s="2" cm="1">
        <f t="array" ref="O61">IFERROR(
  AVERAGE(
    INDEX(All_India_Index_Upto_April23__1___1[Cereals and products],
      MATCH(1,(All_India_Index_Upto_April23__1___1[Date]=$A61)*
              (All_India_Index_Upto_April23__1___1[Sector]="Rural+Urban"),0)),
    INDEX(All_India_Index_Upto_April23__1___1[Meat and fish],
      MATCH(1,(All_India_Index_Upto_April23__1___1[Date]=$A61)*
              (All_India_Index_Upto_April23__1___1[Sector]="Rural+Urban"),0)),
    INDEX(All_India_Index_Upto_April23__1___1[Egg],
      MATCH(1,(All_India_Index_Upto_April23__1___1[Date]=$A61)*
              (All_India_Index_Upto_April23__1___1[Sector]="Rural+Urban"),0)),
    INDEX(All_India_Index_Upto_April23__1___1[Milk and products],
      MATCH(1,(All_India_Index_Upto_April23__1___1[Date]=$A61)*
              (All_India_Index_Upto_April23__1___1[Sector]="Rural+Urban"),0)),
    INDEX(All_India_Index_Upto_April23__1___1[Oils and fats],
      MATCH(1,(All_India_Index_Upto_April23__1___1[Date]=$A61)*
              (All_India_Index_Upto_April23__1___1[Sector]="Rural+Urban"),0)),
    INDEX(All_India_Index_Upto_April23__1___1[Fruits],
      MATCH(1,(All_India_Index_Upto_April23__1___1[Date]=$A61)*
              (All_India_Index_Upto_April23__1___1[Sector]="Rural+Urban"),0)),
    INDEX(All_India_Index_Upto_April23__1___1[Vegetables],
      MATCH(1,(All_India_Index_Upto_April23__1___1[Date]=$A61)*
              (All_India_Index_Upto_April23__1___1[Sector]="Rural+Urban"),0)),
    INDEX(All_India_Index_Upto_April23__1___1[Pulses and products],
      MATCH(1,(All_India_Index_Upto_April23__1___1[Date]=$A61)*
              (All_India_Index_Upto_April23__1___1[Sector]="Rural+Urban"),0)),
    INDEX(All_India_Index_Upto_April23__1___1[Sugar and Confectionery],
      MATCH(1,(All_India_Index_Upto_April23__1___1[Date]=$A61)*
              (All_India_Index_Upto_April23__1___1[Sector]="Rural+Urban"),0)),
    INDEX(All_India_Index_Upto_April23__1___1[Spices],
      MATCH(1,(All_India_Index_Upto_April23__1___1[Date]=$A61)*
              (All_India_Index_Upto_April23__1___1[Sector]="Rural+Urban"),0)),
    INDEX(All_India_Index_Upto_April23__1___1[Non-alcoholic beverages],
      MATCH(1,(All_India_Index_Upto_April23__1___1[Date]=$A61)*
              (All_India_Index_Upto_April23__1___1[Sector]="Rural+Urban"),0)),
    INDEX(All_India_Index_Upto_April23__1___1[Prepared meals, snacks, sweets etc.],
      MATCH(1,(All_India_Index_Upto_April23__1___1[Date]=$A61)*
              (All_India_Index_Upto_April23__1___1[Sector]="Rural+Urban"),0))
  ),
"")</f>
        <v>166.48333333333332</v>
      </c>
      <c r="P61" s="2" cm="1">
        <f t="array" ref="P61">IFERROR(
  AVERAGE(
    INDEX(All_India_Index_Upto_April23__1___1[Cereals and products],
      MATCH(1,(All_India_Index_Upto_April23__1___1[Date]=EDATE($A61,-12))*
              (All_India_Index_Upto_April23__1___1[Sector]="Rural+Urban"),0)),
    INDEX(All_India_Index_Upto_April23__1___1[Meat and fish],
      MATCH(1,(All_India_Index_Upto_April23__1___1[Date]=EDATE($A61,-12))*
              (All_India_Index_Upto_April23__1___1[Sector]="Rural+Urban"),0)),
    INDEX(All_India_Index_Upto_April23__1___1[Egg],
      MATCH(1,(All_India_Index_Upto_April23__1___1[Date]=EDATE($A61,-12))*
              (All_India_Index_Upto_April23__1___1[Sector]="Rural+Urban"),0)),
    INDEX(All_India_Index_Upto_April23__1___1[Milk and products],
      MATCH(1,(All_India_Index_Upto_April23__1___1[Date]=EDATE($A61,-12))*
              (All_India_Index_Upto_April23__1___1[Sector]="Rural+Urban"),0)),
    INDEX(All_India_Index_Upto_April23__1___1[Oils and fats],
      MATCH(1,(All_India_Index_Upto_April23__1___1[Date]=EDATE($A61,-12))*
              (All_India_Index_Upto_April23__1___1[Sector]="Rural+Urban"),0)),
    INDEX(All_India_Index_Upto_April23__1___1[Fruits],
      MATCH(1,(All_India_Index_Upto_April23__1___1[Date]=EDATE($A61,-12))*
              (All_India_Index_Upto_April23__1___1[Sector]="Rural+Urban"),0)),
    INDEX(All_India_Index_Upto_April23__1___1[Vegetables],
      MATCH(1,(All_India_Index_Upto_April23__1___1[Date]=EDATE($A61,-12))*
              (All_India_Index_Upto_April23__1___1[Sector]="Rural+Urban"),0)),
    INDEX(All_India_Index_Upto_April23__1___1[Pulses and products],
      MATCH(1,(All_India_Index_Upto_April23__1___1[Date]=EDATE($A61,-12))*
              (All_India_Index_Upto_April23__1___1[Sector]="Rural+Urban"),0)),
    INDEX(All_India_Index_Upto_April23__1___1[Sugar and Confectionery],
      MATCH(1,(All_India_Index_Upto_April23__1___1[Date]=EDATE($A61,-12))*
              (All_India_Index_Upto_April23__1___1[Sector]="Rural+Urban"),0)),
    INDEX(All_India_Index_Upto_April23__1___1[Spices],
      MATCH(1,(All_India_Index_Upto_April23__1___1[Date]=EDATE($A61,-12))*
              (All_India_Index_Upto_April23__1___1[Sector]="Rural+Urban"),0)),
    INDEX(All_India_Index_Upto_April23__1___1[Non-alcoholic beverages],
      MATCH(1,(All_India_Index_Upto_April23__1___1[Date]=EDATE($A61,-12))*
              (All_India_Index_Upto_April23__1___1[Sector]="Rural+Urban"),0)),
    INDEX(All_India_Index_Upto_April23__1___1[Prepared meals, snacks, sweets etc.],
      MATCH(1,(All_India_Index_Upto_April23__1___1[Date]=EDATE($A61,-12))*
              (All_India_Index_Upto_April23__1___1[Sector]="Rural+Urban"),0))
  ),
"")</f>
        <v>159.62499999999997</v>
      </c>
      <c r="Q61" s="8">
        <f t="shared" si="5"/>
        <v>4.2965283215870634E-2</v>
      </c>
      <c r="R61" cm="1">
        <f t="array" ref="R61">IFERROR(
  INDEX(All_India_Index_Upto_April23__1___1[General index],
    MATCH(1,
      (All_India_Index_Upto_April23__1___1[Date]=$A61)*
      (All_India_Index_Upto_April23__1___1[Sector]="Rural+Urban"),
    0)
  ),
"")</f>
        <v>165.7</v>
      </c>
      <c r="S61" cm="1">
        <f t="array" ref="S61">IFERROR(
  INDEX(All_India_Index_Upto_April23__1___1[General index],
    MATCH(1,
      (All_India_Index_Upto_April23__1___1[Date]=EDATE($A61,-1))*
      (All_India_Index_Upto_April23__1___1[Sector]="Rural+Urban"),
    0)
  ),
"")</f>
        <v>166.2</v>
      </c>
      <c r="T61" s="8">
        <f t="shared" si="6"/>
        <v>-3.0084235860409147E-3</v>
      </c>
    </row>
    <row r="62" spans="1:20" x14ac:dyDescent="0.2">
      <c r="A62" s="22">
        <v>44593</v>
      </c>
      <c r="B62">
        <v>2022</v>
      </c>
      <c r="C62" t="s">
        <v>35</v>
      </c>
      <c r="D62" s="2">
        <v>96</v>
      </c>
      <c r="E62" s="8">
        <f t="shared" si="1"/>
        <v>0.22916666666666666</v>
      </c>
      <c r="F62" s="8">
        <f t="shared" si="2"/>
        <v>0.22916666666666666</v>
      </c>
      <c r="G62" t="e">
        <f t="shared" si="7"/>
        <v>#N/A</v>
      </c>
      <c r="H62" s="22">
        <v>44593</v>
      </c>
      <c r="I62" cm="1">
        <f t="array" ref="I62">IFERROR(
  INDEX(All_India_Index_Upto_April23__1___1[Fuel and light],
    MATCH(1,
      (All_India_Index_Upto_April23__1___1[Date]=$A62)*
      (All_India_Index_Upto_April23__1___1[Sector]="Rural+Urban"),
    0)
  ),
"")</f>
        <v>165.7</v>
      </c>
      <c r="J62" cm="1">
        <f t="array" ref="J62">IFERROR(
  INDEX(All_India_Index_Upto_April23__1___1[Fuel and light],
    MATCH(1,
      (All_India_Index_Upto_April23__1___1[Date]=EDATE($A62,-1))*
      (All_India_Index_Upto_April23__1___1[Sector]="Rural+Urban"),
    0)
  ),
"")</f>
        <v>164.2</v>
      </c>
      <c r="K62" s="8">
        <f t="shared" si="3"/>
        <v>9.1352009744214372E-3</v>
      </c>
      <c r="L62" cm="1">
        <f t="array" ref="L62">IFERROR(
  INDEX(All_India_Index_Upto_April23__1___1[Transport and communication],
    MATCH(1,
      (All_India_Index_Upto_April23__1___1[Date]=$A62)*
      (All_India_Index_Upto_April23__1___1[Sector]="Rural+Urban"),
    0)
  ),
"")</f>
        <v>156.9</v>
      </c>
      <c r="M62" cm="1">
        <f t="array" ref="M62">IFERROR(
  INDEX(All_India_Index_Upto_April23__1___1[Transport and communication],
    MATCH(1,
      (All_India_Index_Upto_April23__1___1[Date]=EDATE($A62,-1))*
      (All_India_Index_Upto_April23__1___1[Sector]="Rural+Urban"),
    0)
  ),
"")</f>
        <v>156.5</v>
      </c>
      <c r="N62" s="8">
        <f t="shared" si="4"/>
        <v>2.5559105431310269E-3</v>
      </c>
      <c r="O62" s="2" cm="1">
        <f t="array" ref="O62">IFERROR(
  AVERAGE(
    INDEX(All_India_Index_Upto_April23__1___1[Cereals and products],
      MATCH(1,(All_India_Index_Upto_April23__1___1[Date]=$A62)*
              (All_India_Index_Upto_April23__1___1[Sector]="Rural+Urban"),0)),
    INDEX(All_India_Index_Upto_April23__1___1[Meat and fish],
      MATCH(1,(All_India_Index_Upto_April23__1___1[Date]=$A62)*
              (All_India_Index_Upto_April23__1___1[Sector]="Rural+Urban"),0)),
    INDEX(All_India_Index_Upto_April23__1___1[Egg],
      MATCH(1,(All_India_Index_Upto_April23__1___1[Date]=$A62)*
              (All_India_Index_Upto_April23__1___1[Sector]="Rural+Urban"),0)),
    INDEX(All_India_Index_Upto_April23__1___1[Milk and products],
      MATCH(1,(All_India_Index_Upto_April23__1___1[Date]=$A62)*
              (All_India_Index_Upto_April23__1___1[Sector]="Rural+Urban"),0)),
    INDEX(All_India_Index_Upto_April23__1___1[Oils and fats],
      MATCH(1,(All_India_Index_Upto_April23__1___1[Date]=$A62)*
              (All_India_Index_Upto_April23__1___1[Sector]="Rural+Urban"),0)),
    INDEX(All_India_Index_Upto_April23__1___1[Fruits],
      MATCH(1,(All_India_Index_Upto_April23__1___1[Date]=$A62)*
              (All_India_Index_Upto_April23__1___1[Sector]="Rural+Urban"),0)),
    INDEX(All_India_Index_Upto_April23__1___1[Vegetables],
      MATCH(1,(All_India_Index_Upto_April23__1___1[Date]=$A62)*
              (All_India_Index_Upto_April23__1___1[Sector]="Rural+Urban"),0)),
    INDEX(All_India_Index_Upto_April23__1___1[Pulses and products],
      MATCH(1,(All_India_Index_Upto_April23__1___1[Date]=$A62)*
              (All_India_Index_Upto_April23__1___1[Sector]="Rural+Urban"),0)),
    INDEX(All_India_Index_Upto_April23__1___1[Sugar and Confectionery],
      MATCH(1,(All_India_Index_Upto_April23__1___1[Date]=$A62)*
              (All_India_Index_Upto_April23__1___1[Sector]="Rural+Urban"),0)),
    INDEX(All_India_Index_Upto_April23__1___1[Spices],
      MATCH(1,(All_India_Index_Upto_April23__1___1[Date]=$A62)*
              (All_India_Index_Upto_April23__1___1[Sector]="Rural+Urban"),0)),
    INDEX(All_India_Index_Upto_April23__1___1[Non-alcoholic beverages],
      MATCH(1,(All_India_Index_Upto_April23__1___1[Date]=$A62)*
              (All_India_Index_Upto_April23__1___1[Sector]="Rural+Urban"),0)),
    INDEX(All_India_Index_Upto_April23__1___1[Prepared meals, snacks, sweets etc.],
      MATCH(1,(All_India_Index_Upto_April23__1___1[Date]=$A62)*
              (All_India_Index_Upto_April23__1___1[Sector]="Rural+Urban"),0))
  ),
"")</f>
        <v>166.25000000000003</v>
      </c>
      <c r="P62" s="2" cm="1">
        <f t="array" ref="P62">IFERROR(
  AVERAGE(
    INDEX(All_India_Index_Upto_April23__1___1[Cereals and products],
      MATCH(1,(All_India_Index_Upto_April23__1___1[Date]=EDATE($A62,-12))*
              (All_India_Index_Upto_April23__1___1[Sector]="Rural+Urban"),0)),
    INDEX(All_India_Index_Upto_April23__1___1[Meat and fish],
      MATCH(1,(All_India_Index_Upto_April23__1___1[Date]=EDATE($A62,-12))*
              (All_India_Index_Upto_April23__1___1[Sector]="Rural+Urban"),0)),
    INDEX(All_India_Index_Upto_April23__1___1[Egg],
      MATCH(1,(All_India_Index_Upto_April23__1___1[Date]=EDATE($A62,-12))*
              (All_India_Index_Upto_April23__1___1[Sector]="Rural+Urban"),0)),
    INDEX(All_India_Index_Upto_April23__1___1[Milk and products],
      MATCH(1,(All_India_Index_Upto_April23__1___1[Date]=EDATE($A62,-12))*
              (All_India_Index_Upto_April23__1___1[Sector]="Rural+Urban"),0)),
    INDEX(All_India_Index_Upto_April23__1___1[Oils and fats],
      MATCH(1,(All_India_Index_Upto_April23__1___1[Date]=EDATE($A62,-12))*
              (All_India_Index_Upto_April23__1___1[Sector]="Rural+Urban"),0)),
    INDEX(All_India_Index_Upto_April23__1___1[Fruits],
      MATCH(1,(All_India_Index_Upto_April23__1___1[Date]=EDATE($A62,-12))*
              (All_India_Index_Upto_April23__1___1[Sector]="Rural+Urban"),0)),
    INDEX(All_India_Index_Upto_April23__1___1[Vegetables],
      MATCH(1,(All_India_Index_Upto_April23__1___1[Date]=EDATE($A62,-12))*
              (All_India_Index_Upto_April23__1___1[Sector]="Rural+Urban"),0)),
    INDEX(All_India_Index_Upto_April23__1___1[Pulses and products],
      MATCH(1,(All_India_Index_Upto_April23__1___1[Date]=EDATE($A62,-12))*
              (All_India_Index_Upto_April23__1___1[Sector]="Rural+Urban"),0)),
    INDEX(All_India_Index_Upto_April23__1___1[Sugar and Confectionery],
      MATCH(1,(All_India_Index_Upto_April23__1___1[Date]=EDATE($A62,-12))*
              (All_India_Index_Upto_April23__1___1[Sector]="Rural+Urban"),0)),
    INDEX(All_India_Index_Upto_April23__1___1[Spices],
      MATCH(1,(All_India_Index_Upto_April23__1___1[Date]=EDATE($A62,-12))*
              (All_India_Index_Upto_April23__1___1[Sector]="Rural+Urban"),0)),
    INDEX(All_India_Index_Upto_April23__1___1[Non-alcoholic beverages],
      MATCH(1,(All_India_Index_Upto_April23__1___1[Date]=EDATE($A62,-12))*
              (All_India_Index_Upto_April23__1___1[Sector]="Rural+Urban"),0)),
    INDEX(All_India_Index_Upto_April23__1___1[Prepared meals, snacks, sweets etc.],
      MATCH(1,(All_India_Index_Upto_April23__1___1[Date]=EDATE($A62,-12))*
              (All_India_Index_Upto_April23__1___1[Sector]="Rural+Urban"),0))
  ),
"")</f>
        <v>156.86666666666667</v>
      </c>
      <c r="Q62" s="8">
        <f t="shared" si="5"/>
        <v>5.9817254568635916E-2</v>
      </c>
      <c r="R62" cm="1">
        <f t="array" ref="R62">IFERROR(
  INDEX(All_India_Index_Upto_April23__1___1[General index],
    MATCH(1,
      (All_India_Index_Upto_April23__1___1[Date]=$A62)*
      (All_India_Index_Upto_April23__1___1[Sector]="Rural+Urban"),
    0)
  ),
"")</f>
        <v>166.1</v>
      </c>
      <c r="S62" cm="1">
        <f t="array" ref="S62">IFERROR(
  INDEX(All_India_Index_Upto_April23__1___1[General index],
    MATCH(1,
      (All_India_Index_Upto_April23__1___1[Date]=EDATE($A62,-1))*
      (All_India_Index_Upto_April23__1___1[Sector]="Rural+Urban"),
    0)
  ),
"")</f>
        <v>165.7</v>
      </c>
      <c r="T62" s="8">
        <f t="shared" si="6"/>
        <v>2.4140012070006378E-3</v>
      </c>
    </row>
    <row r="63" spans="1:20" x14ac:dyDescent="0.2">
      <c r="A63" s="22">
        <v>44621</v>
      </c>
      <c r="B63">
        <v>2022</v>
      </c>
      <c r="C63" t="s">
        <v>37</v>
      </c>
      <c r="D63" s="2">
        <v>118</v>
      </c>
      <c r="E63" s="8">
        <f t="shared" si="1"/>
        <v>-0.11016949152542373</v>
      </c>
      <c r="F63" s="8">
        <f t="shared" si="2"/>
        <v>-0.11016949152542373</v>
      </c>
      <c r="G63" t="e">
        <f t="shared" si="7"/>
        <v>#N/A</v>
      </c>
      <c r="H63" s="22">
        <v>44621</v>
      </c>
      <c r="I63" cm="1">
        <f t="array" ref="I63">IFERROR(
  INDEX(All_India_Index_Upto_April23__1___1[Fuel and light],
    MATCH(1,
      (All_India_Index_Upto_April23__1___1[Date]=$A63)*
      (All_India_Index_Upto_April23__1___1[Sector]="Rural+Urban"),
    0)
  ),
"")</f>
        <v>167.2</v>
      </c>
      <c r="J63" cm="1">
        <f t="array" ref="J63">IFERROR(
  INDEX(All_India_Index_Upto_April23__1___1[Fuel and light],
    MATCH(1,
      (All_India_Index_Upto_April23__1___1[Date]=EDATE($A63,-1))*
      (All_India_Index_Upto_April23__1___1[Sector]="Rural+Urban"),
    0)
  ),
"")</f>
        <v>165.7</v>
      </c>
      <c r="K63" s="8">
        <f t="shared" si="3"/>
        <v>9.0525045262522634E-3</v>
      </c>
      <c r="L63" cm="1">
        <f t="array" ref="L63">IFERROR(
  INDEX(All_India_Index_Upto_April23__1___1[Transport and communication],
    MATCH(1,
      (All_India_Index_Upto_April23__1___1[Date]=$A63)*
      (All_India_Index_Upto_April23__1___1[Sector]="Rural+Urban"),
    0)
  ),
"")</f>
        <v>157.9</v>
      </c>
      <c r="M63" cm="1">
        <f t="array" ref="M63">IFERROR(
  INDEX(All_India_Index_Upto_April23__1___1[Transport and communication],
    MATCH(1,
      (All_India_Index_Upto_April23__1___1[Date]=EDATE($A63,-1))*
      (All_India_Index_Upto_April23__1___1[Sector]="Rural+Urban"),
    0)
  ),
"")</f>
        <v>156.9</v>
      </c>
      <c r="N63" s="8">
        <f t="shared" si="4"/>
        <v>6.3734862970044612E-3</v>
      </c>
      <c r="O63" s="2" cm="1">
        <f t="array" ref="O63">IFERROR(
  AVERAGE(
    INDEX(All_India_Index_Upto_April23__1___1[Cereals and products],
      MATCH(1,(All_India_Index_Upto_April23__1___1[Date]=$A63)*
              (All_India_Index_Upto_April23__1___1[Sector]="Rural+Urban"),0)),
    INDEX(All_India_Index_Upto_April23__1___1[Meat and fish],
      MATCH(1,(All_India_Index_Upto_April23__1___1[Date]=$A63)*
              (All_India_Index_Upto_April23__1___1[Sector]="Rural+Urban"),0)),
    INDEX(All_India_Index_Upto_April23__1___1[Egg],
      MATCH(1,(All_India_Index_Upto_April23__1___1[Date]=$A63)*
              (All_India_Index_Upto_April23__1___1[Sector]="Rural+Urban"),0)),
    INDEX(All_India_Index_Upto_April23__1___1[Milk and products],
      MATCH(1,(All_India_Index_Upto_April23__1___1[Date]=$A63)*
              (All_India_Index_Upto_April23__1___1[Sector]="Rural+Urban"),0)),
    INDEX(All_India_Index_Upto_April23__1___1[Oils and fats],
      MATCH(1,(All_India_Index_Upto_April23__1___1[Date]=$A63)*
              (All_India_Index_Upto_April23__1___1[Sector]="Rural+Urban"),0)),
    INDEX(All_India_Index_Upto_April23__1___1[Fruits],
      MATCH(1,(All_India_Index_Upto_April23__1___1[Date]=$A63)*
              (All_India_Index_Upto_April23__1___1[Sector]="Rural+Urban"),0)),
    INDEX(All_India_Index_Upto_April23__1___1[Vegetables],
      MATCH(1,(All_India_Index_Upto_April23__1___1[Date]=$A63)*
              (All_India_Index_Upto_April23__1___1[Sector]="Rural+Urban"),0)),
    INDEX(All_India_Index_Upto_April23__1___1[Pulses and products],
      MATCH(1,(All_India_Index_Upto_April23__1___1[Date]=$A63)*
              (All_India_Index_Upto_April23__1___1[Sector]="Rural+Urban"),0)),
    INDEX(All_India_Index_Upto_April23__1___1[Sugar and Confectionery],
      MATCH(1,(All_India_Index_Upto_April23__1___1[Date]=$A63)*
              (All_India_Index_Upto_April23__1___1[Sector]="Rural+Urban"),0)),
    INDEX(All_India_Index_Upto_April23__1___1[Spices],
      MATCH(1,(All_India_Index_Upto_April23__1___1[Date]=$A63)*
              (All_India_Index_Upto_April23__1___1[Sector]="Rural+Urban"),0)),
    INDEX(All_India_Index_Upto_April23__1___1[Non-alcoholic beverages],
      MATCH(1,(All_India_Index_Upto_April23__1___1[Date]=$A63)*
              (All_India_Index_Upto_April23__1___1[Sector]="Rural+Urban"),0)),
    INDEX(All_India_Index_Upto_April23__1___1[Prepared meals, snacks, sweets etc.],
      MATCH(1,(All_India_Index_Upto_April23__1___1[Date]=$A63)*
              (All_India_Index_Upto_April23__1___1[Sector]="Rural+Urban"),0))
  ),
"")</f>
        <v>167.98333333333335</v>
      </c>
      <c r="P63" s="2" cm="1">
        <f t="array" ref="P63">IFERROR(
  AVERAGE(
    INDEX(All_India_Index_Upto_April23__1___1[Cereals and products],
      MATCH(1,(All_India_Index_Upto_April23__1___1[Date]=EDATE($A63,-12))*
              (All_India_Index_Upto_April23__1___1[Sector]="Rural+Urban"),0)),
    INDEX(All_India_Index_Upto_April23__1___1[Meat and fish],
      MATCH(1,(All_India_Index_Upto_April23__1___1[Date]=EDATE($A63,-12))*
              (All_India_Index_Upto_April23__1___1[Sector]="Rural+Urban"),0)),
    INDEX(All_India_Index_Upto_April23__1___1[Egg],
      MATCH(1,(All_India_Index_Upto_April23__1___1[Date]=EDATE($A63,-12))*
              (All_India_Index_Upto_April23__1___1[Sector]="Rural+Urban"),0)),
    INDEX(All_India_Index_Upto_April23__1___1[Milk and products],
      MATCH(1,(All_India_Index_Upto_April23__1___1[Date]=EDATE($A63,-12))*
              (All_India_Index_Upto_April23__1___1[Sector]="Rural+Urban"),0)),
    INDEX(All_India_Index_Upto_April23__1___1[Oils and fats],
      MATCH(1,(All_India_Index_Upto_April23__1___1[Date]=EDATE($A63,-12))*
              (All_India_Index_Upto_April23__1___1[Sector]="Rural+Urban"),0)),
    INDEX(All_India_Index_Upto_April23__1___1[Fruits],
      MATCH(1,(All_India_Index_Upto_April23__1___1[Date]=EDATE($A63,-12))*
              (All_India_Index_Upto_April23__1___1[Sector]="Rural+Urban"),0)),
    INDEX(All_India_Index_Upto_April23__1___1[Vegetables],
      MATCH(1,(All_India_Index_Upto_April23__1___1[Date]=EDATE($A63,-12))*
              (All_India_Index_Upto_April23__1___1[Sector]="Rural+Urban"),0)),
    INDEX(All_India_Index_Upto_April23__1___1[Pulses and products],
      MATCH(1,(All_India_Index_Upto_April23__1___1[Date]=EDATE($A63,-12))*
              (All_India_Index_Upto_April23__1___1[Sector]="Rural+Urban"),0)),
    INDEX(All_India_Index_Upto_April23__1___1[Sugar and Confectionery],
      MATCH(1,(All_India_Index_Upto_April23__1___1[Date]=EDATE($A63,-12))*
              (All_India_Index_Upto_April23__1___1[Sector]="Rural+Urban"),0)),
    INDEX(All_India_Index_Upto_April23__1___1[Spices],
      MATCH(1,(All_India_Index_Upto_April23__1___1[Date]=EDATE($A63,-12))*
              (All_India_Index_Upto_April23__1___1[Sector]="Rural+Urban"),0)),
    INDEX(All_India_Index_Upto_April23__1___1[Non-alcoholic beverages],
      MATCH(1,(All_India_Index_Upto_April23__1___1[Date]=EDATE($A63,-12))*
              (All_India_Index_Upto_April23__1___1[Sector]="Rural+Urban"),0)),
    INDEX(All_India_Index_Upto_April23__1___1[Prepared meals, snacks, sweets etc.],
      MATCH(1,(All_India_Index_Upto_April23__1___1[Date]=EDATE($A63,-12))*
              (All_India_Index_Upto_April23__1___1[Sector]="Rural+Urban"),0))
  ),
"")</f>
        <v>156.89166666666665</v>
      </c>
      <c r="Q63" s="8">
        <f t="shared" si="5"/>
        <v>7.069634036224591E-2</v>
      </c>
      <c r="R63" cm="1">
        <f t="array" ref="R63">IFERROR(
  INDEX(All_India_Index_Upto_April23__1___1[General index],
    MATCH(1,
      (All_India_Index_Upto_April23__1___1[Date]=$A63)*
      (All_India_Index_Upto_April23__1___1[Sector]="Rural+Urban"),
    0)
  ),
"")</f>
        <v>167.7</v>
      </c>
      <c r="S63" cm="1">
        <f t="array" ref="S63">IFERROR(
  INDEX(All_India_Index_Upto_April23__1___1[General index],
    MATCH(1,
      (All_India_Index_Upto_April23__1___1[Date]=EDATE($A63,-1))*
      (All_India_Index_Upto_April23__1___1[Sector]="Rural+Urban"),
    0)
  ),
"")</f>
        <v>166.1</v>
      </c>
      <c r="T63" s="8">
        <f t="shared" si="6"/>
        <v>9.6327513546056245E-3</v>
      </c>
    </row>
    <row r="64" spans="1:20" x14ac:dyDescent="0.2">
      <c r="A64" s="22">
        <v>44652</v>
      </c>
      <c r="B64">
        <v>2022</v>
      </c>
      <c r="C64" t="s">
        <v>38</v>
      </c>
      <c r="D64" s="2">
        <v>105</v>
      </c>
      <c r="E64" s="8">
        <f t="shared" si="1"/>
        <v>7.6190476190476197E-2</v>
      </c>
      <c r="F64" s="8">
        <f t="shared" si="2"/>
        <v>7.6190476190476197E-2</v>
      </c>
      <c r="G64" t="e">
        <f t="shared" si="7"/>
        <v>#N/A</v>
      </c>
      <c r="H64" s="22">
        <v>44652</v>
      </c>
      <c r="I64" cm="1">
        <f t="array" ref="I64">IFERROR(
  INDEX(All_India_Index_Upto_April23__1___1[Fuel and light],
    MATCH(1,
      (All_India_Index_Upto_April23__1___1[Date]=$A64)*
      (All_India_Index_Upto_April23__1___1[Sector]="Rural+Urban"),
    0)
  ),
"")</f>
        <v>172.2</v>
      </c>
      <c r="J64" cm="1">
        <f t="array" ref="J64">IFERROR(
  INDEX(All_India_Index_Upto_April23__1___1[Fuel and light],
    MATCH(1,
      (All_India_Index_Upto_April23__1___1[Date]=EDATE($A64,-1))*
      (All_India_Index_Upto_April23__1___1[Sector]="Rural+Urban"),
    0)
  ),
"")</f>
        <v>167.2</v>
      </c>
      <c r="K64" s="8">
        <f t="shared" si="3"/>
        <v>2.9904306220095697E-2</v>
      </c>
      <c r="L64" cm="1">
        <f t="array" ref="L64">IFERROR(
  INDEX(All_India_Index_Upto_April23__1___1[Transport and communication],
    MATCH(1,
      (All_India_Index_Upto_April23__1___1[Date]=$A64)*
      (All_India_Index_Upto_April23__1___1[Sector]="Rural+Urban"),
    0)
  ),
"")</f>
        <v>162.6</v>
      </c>
      <c r="M64" cm="1">
        <f t="array" ref="M64">IFERROR(
  INDEX(All_India_Index_Upto_April23__1___1[Transport and communication],
    MATCH(1,
      (All_India_Index_Upto_April23__1___1[Date]=EDATE($A64,-1))*
      (All_India_Index_Upto_April23__1___1[Sector]="Rural+Urban"),
    0)
  ),
"")</f>
        <v>157.9</v>
      </c>
      <c r="N64" s="8">
        <f t="shared" si="4"/>
        <v>2.9765674477517344E-2</v>
      </c>
      <c r="O64" s="2" cm="1">
        <f t="array" ref="O64">IFERROR(
  AVERAGE(
    INDEX(All_India_Index_Upto_April23__1___1[Cereals and products],
      MATCH(1,(All_India_Index_Upto_April23__1___1[Date]=$A64)*
              (All_India_Index_Upto_April23__1___1[Sector]="Rural+Urban"),0)),
    INDEX(All_India_Index_Upto_April23__1___1[Meat and fish],
      MATCH(1,(All_India_Index_Upto_April23__1___1[Date]=$A64)*
              (All_India_Index_Upto_April23__1___1[Sector]="Rural+Urban"),0)),
    INDEX(All_India_Index_Upto_April23__1___1[Egg],
      MATCH(1,(All_India_Index_Upto_April23__1___1[Date]=$A64)*
              (All_India_Index_Upto_April23__1___1[Sector]="Rural+Urban"),0)),
    INDEX(All_India_Index_Upto_April23__1___1[Milk and products],
      MATCH(1,(All_India_Index_Upto_April23__1___1[Date]=$A64)*
              (All_India_Index_Upto_April23__1___1[Sector]="Rural+Urban"),0)),
    INDEX(All_India_Index_Upto_April23__1___1[Oils and fats],
      MATCH(1,(All_India_Index_Upto_April23__1___1[Date]=$A64)*
              (All_India_Index_Upto_April23__1___1[Sector]="Rural+Urban"),0)),
    INDEX(All_India_Index_Upto_April23__1___1[Fruits],
      MATCH(1,(All_India_Index_Upto_April23__1___1[Date]=$A64)*
              (All_India_Index_Upto_April23__1___1[Sector]="Rural+Urban"),0)),
    INDEX(All_India_Index_Upto_April23__1___1[Vegetables],
      MATCH(1,(All_India_Index_Upto_April23__1___1[Date]=$A64)*
              (All_India_Index_Upto_April23__1___1[Sector]="Rural+Urban"),0)),
    INDEX(All_India_Index_Upto_April23__1___1[Pulses and products],
      MATCH(1,(All_India_Index_Upto_April23__1___1[Date]=$A64)*
              (All_India_Index_Upto_April23__1___1[Sector]="Rural+Urban"),0)),
    INDEX(All_India_Index_Upto_April23__1___1[Sugar and Confectionery],
      MATCH(1,(All_India_Index_Upto_April23__1___1[Date]=$A64)*
              (All_India_Index_Upto_April23__1___1[Sector]="Rural+Urban"),0)),
    INDEX(All_India_Index_Upto_April23__1___1[Spices],
      MATCH(1,(All_India_Index_Upto_April23__1___1[Date]=$A64)*
              (All_India_Index_Upto_April23__1___1[Sector]="Rural+Urban"),0)),
    INDEX(All_India_Index_Upto_April23__1___1[Non-alcoholic beverages],
      MATCH(1,(All_India_Index_Upto_April23__1___1[Date]=$A64)*
              (All_India_Index_Upto_April23__1___1[Sector]="Rural+Urban"),0)),
    INDEX(All_India_Index_Upto_April23__1___1[Prepared meals, snacks, sweets etc.],
      MATCH(1,(All_India_Index_Upto_April23__1___1[Date]=$A64)*
              (All_India_Index_Upto_April23__1___1[Sector]="Rural+Urban"),0))
  ),
"")</f>
        <v>170.29166666666669</v>
      </c>
      <c r="P64" s="2" cm="1">
        <f t="array" ref="P64">IFERROR(
  AVERAGE(
    INDEX(All_India_Index_Upto_April23__1___1[Cereals and products],
      MATCH(1,(All_India_Index_Upto_April23__1___1[Date]=EDATE($A64,-12))*
              (All_India_Index_Upto_April23__1___1[Sector]="Rural+Urban"),0)),
    INDEX(All_India_Index_Upto_April23__1___1[Meat and fish],
      MATCH(1,(All_India_Index_Upto_April23__1___1[Date]=EDATE($A64,-12))*
              (All_India_Index_Upto_April23__1___1[Sector]="Rural+Urban"),0)),
    INDEX(All_India_Index_Upto_April23__1___1[Egg],
      MATCH(1,(All_India_Index_Upto_April23__1___1[Date]=EDATE($A64,-12))*
              (All_India_Index_Upto_April23__1___1[Sector]="Rural+Urban"),0)),
    INDEX(All_India_Index_Upto_April23__1___1[Milk and products],
      MATCH(1,(All_India_Index_Upto_April23__1___1[Date]=EDATE($A64,-12))*
              (All_India_Index_Upto_April23__1___1[Sector]="Rural+Urban"),0)),
    INDEX(All_India_Index_Upto_April23__1___1[Oils and fats],
      MATCH(1,(All_India_Index_Upto_April23__1___1[Date]=EDATE($A64,-12))*
              (All_India_Index_Upto_April23__1___1[Sector]="Rural+Urban"),0)),
    INDEX(All_India_Index_Upto_April23__1___1[Fruits],
      MATCH(1,(All_India_Index_Upto_April23__1___1[Date]=EDATE($A64,-12))*
              (All_India_Index_Upto_April23__1___1[Sector]="Rural+Urban"),0)),
    INDEX(All_India_Index_Upto_April23__1___1[Vegetables],
      MATCH(1,(All_India_Index_Upto_April23__1___1[Date]=EDATE($A64,-12))*
              (All_India_Index_Upto_April23__1___1[Sector]="Rural+Urban"),0)),
    INDEX(All_India_Index_Upto_April23__1___1[Pulses and products],
      MATCH(1,(All_India_Index_Upto_April23__1___1[Date]=EDATE($A64,-12))*
              (All_India_Index_Upto_April23__1___1[Sector]="Rural+Urban"),0)),
    INDEX(All_India_Index_Upto_April23__1___1[Sugar and Confectionery],
      MATCH(1,(All_India_Index_Upto_April23__1___1[Date]=EDATE($A64,-12))*
              (All_India_Index_Upto_April23__1___1[Sector]="Rural+Urban"),0)),
    INDEX(All_India_Index_Upto_April23__1___1[Spices],
      MATCH(1,(All_India_Index_Upto_April23__1___1[Date]=EDATE($A64,-12))*
              (All_India_Index_Upto_April23__1___1[Sector]="Rural+Urban"),0)),
    INDEX(All_India_Index_Upto_April23__1___1[Non-alcoholic beverages],
      MATCH(1,(All_India_Index_Upto_April23__1___1[Date]=EDATE($A64,-12))*
              (All_India_Index_Upto_April23__1___1[Sector]="Rural+Urban"),0)),
    INDEX(All_India_Index_Upto_April23__1___1[Prepared meals, snacks, sweets etc.],
      MATCH(1,(All_India_Index_Upto_April23__1___1[Date]=EDATE($A64,-12))*
              (All_India_Index_Upto_April23__1___1[Sector]="Rural+Urban"),0))
  ),
"")</f>
        <v>158.84166666666667</v>
      </c>
      <c r="Q64" s="8">
        <f t="shared" si="5"/>
        <v>7.2084360736582656E-2</v>
      </c>
      <c r="R64" cm="1">
        <f t="array" ref="R64">IFERROR(
  INDEX(All_India_Index_Upto_April23__1___1[General index],
    MATCH(1,
      (All_India_Index_Upto_April23__1___1[Date]=$A64)*
      (All_India_Index_Upto_April23__1___1[Sector]="Rural+Urban"),
    0)
  ),
"")</f>
        <v>170.1</v>
      </c>
      <c r="S64" cm="1">
        <f t="array" ref="S64">IFERROR(
  INDEX(All_India_Index_Upto_April23__1___1[General index],
    MATCH(1,
      (All_India_Index_Upto_April23__1___1[Date]=EDATE($A64,-1))*
      (All_India_Index_Upto_April23__1___1[Sector]="Rural+Urban"),
    0)
  ),
"")</f>
        <v>167.7</v>
      </c>
      <c r="T64" s="8">
        <f t="shared" si="6"/>
        <v>1.4311270125223648E-2</v>
      </c>
    </row>
    <row r="65" spans="1:20" x14ac:dyDescent="0.2">
      <c r="A65" s="22">
        <v>44682</v>
      </c>
      <c r="B65">
        <v>2022</v>
      </c>
      <c r="C65" t="s">
        <v>40</v>
      </c>
      <c r="D65" s="2">
        <v>113</v>
      </c>
      <c r="E65" s="8">
        <f t="shared" si="1"/>
        <v>3.5398230088495575E-2</v>
      </c>
      <c r="F65" s="8">
        <f t="shared" si="2"/>
        <v>3.5398230088495575E-2</v>
      </c>
      <c r="G65" t="e">
        <f t="shared" si="7"/>
        <v>#N/A</v>
      </c>
      <c r="H65" s="22">
        <v>44682</v>
      </c>
      <c r="I65" cm="1">
        <f t="array" ref="I65">IFERROR(
  INDEX(All_India_Index_Upto_April23__1___1[Fuel and light],
    MATCH(1,
      (All_India_Index_Upto_April23__1___1[Date]=$A65)*
      (All_India_Index_Upto_April23__1___1[Sector]="Rural+Urban"),
    0)
  ),
"")</f>
        <v>174.6</v>
      </c>
      <c r="J65" cm="1">
        <f t="array" ref="J65">IFERROR(
  INDEX(All_India_Index_Upto_April23__1___1[Fuel and light],
    MATCH(1,
      (All_India_Index_Upto_April23__1___1[Date]=EDATE($A65,-1))*
      (All_India_Index_Upto_April23__1___1[Sector]="Rural+Urban"),
    0)
  ),
"")</f>
        <v>172.2</v>
      </c>
      <c r="K65" s="8">
        <f t="shared" si="3"/>
        <v>1.3937282229965191E-2</v>
      </c>
      <c r="L65" cm="1">
        <f t="array" ref="L65">IFERROR(
  INDEX(All_India_Index_Upto_April23__1___1[Transport and communication],
    MATCH(1,
      (All_India_Index_Upto_April23__1___1[Date]=$A65)*
      (All_India_Index_Upto_April23__1___1[Sector]="Rural+Urban"),
    0)
  ),
"")</f>
        <v>163</v>
      </c>
      <c r="M65" cm="1">
        <f t="array" ref="M65">IFERROR(
  INDEX(All_India_Index_Upto_April23__1___1[Transport and communication],
    MATCH(1,
      (All_India_Index_Upto_April23__1___1[Date]=EDATE($A65,-1))*
      (All_India_Index_Upto_April23__1___1[Sector]="Rural+Urban"),
    0)
  ),
"")</f>
        <v>162.6</v>
      </c>
      <c r="N65" s="8">
        <f t="shared" si="4"/>
        <v>2.4600246002460377E-3</v>
      </c>
      <c r="O65" s="2" cm="1">
        <f t="array" ref="O65">IFERROR(
  AVERAGE(
    INDEX(All_India_Index_Upto_April23__1___1[Cereals and products],
      MATCH(1,(All_India_Index_Upto_April23__1___1[Date]=$A65)*
              (All_India_Index_Upto_April23__1___1[Sector]="Rural+Urban"),0)),
    INDEX(All_India_Index_Upto_April23__1___1[Meat and fish],
      MATCH(1,(All_India_Index_Upto_April23__1___1[Date]=$A65)*
              (All_India_Index_Upto_April23__1___1[Sector]="Rural+Urban"),0)),
    INDEX(All_India_Index_Upto_April23__1___1[Egg],
      MATCH(1,(All_India_Index_Upto_April23__1___1[Date]=$A65)*
              (All_India_Index_Upto_April23__1___1[Sector]="Rural+Urban"),0)),
    INDEX(All_India_Index_Upto_April23__1___1[Milk and products],
      MATCH(1,(All_India_Index_Upto_April23__1___1[Date]=$A65)*
              (All_India_Index_Upto_April23__1___1[Sector]="Rural+Urban"),0)),
    INDEX(All_India_Index_Upto_April23__1___1[Oils and fats],
      MATCH(1,(All_India_Index_Upto_April23__1___1[Date]=$A65)*
              (All_India_Index_Upto_April23__1___1[Sector]="Rural+Urban"),0)),
    INDEX(All_India_Index_Upto_April23__1___1[Fruits],
      MATCH(1,(All_India_Index_Upto_April23__1___1[Date]=$A65)*
              (All_India_Index_Upto_April23__1___1[Sector]="Rural+Urban"),0)),
    INDEX(All_India_Index_Upto_April23__1___1[Vegetables],
      MATCH(1,(All_India_Index_Upto_April23__1___1[Date]=$A65)*
              (All_India_Index_Upto_April23__1___1[Sector]="Rural+Urban"),0)),
    INDEX(All_India_Index_Upto_April23__1___1[Pulses and products],
      MATCH(1,(All_India_Index_Upto_April23__1___1[Date]=$A65)*
              (All_India_Index_Upto_April23__1___1[Sector]="Rural+Urban"),0)),
    INDEX(All_India_Index_Upto_April23__1___1[Sugar and Confectionery],
      MATCH(1,(All_India_Index_Upto_April23__1___1[Date]=$A65)*
              (All_India_Index_Upto_April23__1___1[Sector]="Rural+Urban"),0)),
    INDEX(All_India_Index_Upto_April23__1___1[Spices],
      MATCH(1,(All_India_Index_Upto_April23__1___1[Date]=$A65)*
              (All_India_Index_Upto_April23__1___1[Sector]="Rural+Urban"),0)),
    INDEX(All_India_Index_Upto_April23__1___1[Non-alcoholic beverages],
      MATCH(1,(All_India_Index_Upto_April23__1___1[Date]=$A65)*
              (All_India_Index_Upto_April23__1___1[Sector]="Rural+Urban"),0)),
    INDEX(All_India_Index_Upto_April23__1___1[Prepared meals, snacks, sweets etc.],
      MATCH(1,(All_India_Index_Upto_April23__1___1[Date]=$A65)*
              (All_India_Index_Upto_April23__1___1[Sector]="Rural+Urban"),0))
  ),
"")</f>
        <v>172.13333333333335</v>
      </c>
      <c r="P65" s="2" cm="1">
        <f t="array" ref="P65">IFERROR(
  AVERAGE(
    INDEX(All_India_Index_Upto_April23__1___1[Cereals and products],
      MATCH(1,(All_India_Index_Upto_April23__1___1[Date]=EDATE($A65,-12))*
              (All_India_Index_Upto_April23__1___1[Sector]="Rural+Urban"),0)),
    INDEX(All_India_Index_Upto_April23__1___1[Meat and fish],
      MATCH(1,(All_India_Index_Upto_April23__1___1[Date]=EDATE($A65,-12))*
              (All_India_Index_Upto_April23__1___1[Sector]="Rural+Urban"),0)),
    INDEX(All_India_Index_Upto_April23__1___1[Egg],
      MATCH(1,(All_India_Index_Upto_April23__1___1[Date]=EDATE($A65,-12))*
              (All_India_Index_Upto_April23__1___1[Sector]="Rural+Urban"),0)),
    INDEX(All_India_Index_Upto_April23__1___1[Milk and products],
      MATCH(1,(All_India_Index_Upto_April23__1___1[Date]=EDATE($A65,-12))*
              (All_India_Index_Upto_April23__1___1[Sector]="Rural+Urban"),0)),
    INDEX(All_India_Index_Upto_April23__1___1[Oils and fats],
      MATCH(1,(All_India_Index_Upto_April23__1___1[Date]=EDATE($A65,-12))*
              (All_India_Index_Upto_April23__1___1[Sector]="Rural+Urban"),0)),
    INDEX(All_India_Index_Upto_April23__1___1[Fruits],
      MATCH(1,(All_India_Index_Upto_April23__1___1[Date]=EDATE($A65,-12))*
              (All_India_Index_Upto_April23__1___1[Sector]="Rural+Urban"),0)),
    INDEX(All_India_Index_Upto_April23__1___1[Vegetables],
      MATCH(1,(All_India_Index_Upto_April23__1___1[Date]=EDATE($A65,-12))*
              (All_India_Index_Upto_April23__1___1[Sector]="Rural+Urban"),0)),
    INDEX(All_India_Index_Upto_April23__1___1[Pulses and products],
      MATCH(1,(All_India_Index_Upto_April23__1___1[Date]=EDATE($A65,-12))*
              (All_India_Index_Upto_April23__1___1[Sector]="Rural+Urban"),0)),
    INDEX(All_India_Index_Upto_April23__1___1[Sugar and Confectionery],
      MATCH(1,(All_India_Index_Upto_April23__1___1[Date]=EDATE($A65,-12))*
              (All_India_Index_Upto_April23__1___1[Sector]="Rural+Urban"),0)),
    INDEX(All_India_Index_Upto_April23__1___1[Spices],
      MATCH(1,(All_India_Index_Upto_April23__1___1[Date]=EDATE($A65,-12))*
              (All_India_Index_Upto_April23__1___1[Sector]="Rural+Urban"),0)),
    INDEX(All_India_Index_Upto_April23__1___1[Non-alcoholic beverages],
      MATCH(1,(All_India_Index_Upto_April23__1___1[Date]=EDATE($A65,-12))*
              (All_India_Index_Upto_April23__1___1[Sector]="Rural+Urban"),0)),
    INDEX(All_India_Index_Upto_April23__1___1[Prepared meals, snacks, sweets etc.],
      MATCH(1,(All_India_Index_Upto_April23__1___1[Date]=EDATE($A65,-12))*
              (All_India_Index_Upto_April23__1___1[Sector]="Rural+Urban"),0))
  ),
"")</f>
        <v>162.08333333333334</v>
      </c>
      <c r="Q65" s="8">
        <f t="shared" si="5"/>
        <v>6.2005141388174874E-2</v>
      </c>
      <c r="R65" cm="1">
        <f t="array" ref="R65">IFERROR(
  INDEX(All_India_Index_Upto_April23__1___1[General index],
    MATCH(1,
      (All_India_Index_Upto_April23__1___1[Date]=$A65)*
      (All_India_Index_Upto_April23__1___1[Sector]="Rural+Urban"),
    0)
  ),
"")</f>
        <v>171.7</v>
      </c>
      <c r="S65" cm="1">
        <f t="array" ref="S65">IFERROR(
  INDEX(All_India_Index_Upto_April23__1___1[General index],
    MATCH(1,
      (All_India_Index_Upto_April23__1___1[Date]=EDATE($A65,-1))*
      (All_India_Index_Upto_April23__1___1[Sector]="Rural+Urban"),
    0)
  ),
"")</f>
        <v>170.1</v>
      </c>
      <c r="T65" s="8">
        <f t="shared" si="6"/>
        <v>9.4062316284538178E-3</v>
      </c>
    </row>
    <row r="66" spans="1:20" x14ac:dyDescent="0.2">
      <c r="A66" s="22">
        <v>44713</v>
      </c>
      <c r="B66">
        <v>2022</v>
      </c>
      <c r="C66" t="s">
        <v>41</v>
      </c>
      <c r="D66" s="2">
        <v>117</v>
      </c>
      <c r="E66" s="8">
        <f t="shared" si="1"/>
        <v>-0.10256410256410256</v>
      </c>
      <c r="F66" s="8">
        <f t="shared" si="2"/>
        <v>-0.10256410256410256</v>
      </c>
      <c r="G66" t="e">
        <f t="shared" ref="G66:G77" si="8">IF(A66=DATE(2020,3,1),40,NA())</f>
        <v>#N/A</v>
      </c>
      <c r="H66" s="22">
        <v>44713</v>
      </c>
      <c r="I66" cm="1">
        <f t="array" ref="I66">IFERROR(
  INDEX(All_India_Index_Upto_April23__1___1[Fuel and light],
    MATCH(1,
      (All_India_Index_Upto_April23__1___1[Date]=$A66)*
      (All_India_Index_Upto_April23__1___1[Sector]="Rural+Urban"),
    0)
  ),
"")</f>
        <v>176</v>
      </c>
      <c r="J66" cm="1">
        <f t="array" ref="J66">IFERROR(
  INDEX(All_India_Index_Upto_April23__1___1[Fuel and light],
    MATCH(1,
      (All_India_Index_Upto_April23__1___1[Date]=EDATE($A66,-1))*
      (All_India_Index_Upto_April23__1___1[Sector]="Rural+Urban"),
    0)
  ),
"")</f>
        <v>174.6</v>
      </c>
      <c r="K66" s="8">
        <f t="shared" si="3"/>
        <v>8.0183276059565042E-3</v>
      </c>
      <c r="L66" cm="1">
        <f t="array" ref="L66">IFERROR(
  INDEX(All_India_Index_Upto_April23__1___1[Transport and communication],
    MATCH(1,
      (All_India_Index_Upto_April23__1___1[Date]=$A66)*
      (All_India_Index_Upto_April23__1___1[Sector]="Rural+Urban"),
    0)
  ),
"")</f>
        <v>161.1</v>
      </c>
      <c r="M66" cm="1">
        <f t="array" ref="M66">IFERROR(
  INDEX(All_India_Index_Upto_April23__1___1[Transport and communication],
    MATCH(1,
      (All_India_Index_Upto_April23__1___1[Date]=EDATE($A66,-1))*
      (All_India_Index_Upto_April23__1___1[Sector]="Rural+Urban"),
    0)
  ),
"")</f>
        <v>163</v>
      </c>
      <c r="N66" s="8">
        <f t="shared" si="4"/>
        <v>-1.1656441717791446E-2</v>
      </c>
      <c r="O66" s="2" cm="1">
        <f t="array" ref="O66">IFERROR(
  AVERAGE(
    INDEX(All_India_Index_Upto_April23__1___1[Cereals and products],
      MATCH(1,(All_India_Index_Upto_April23__1___1[Date]=$A66)*
              (All_India_Index_Upto_April23__1___1[Sector]="Rural+Urban"),0)),
    INDEX(All_India_Index_Upto_April23__1___1[Meat and fish],
      MATCH(1,(All_India_Index_Upto_April23__1___1[Date]=$A66)*
              (All_India_Index_Upto_April23__1___1[Sector]="Rural+Urban"),0)),
    INDEX(All_India_Index_Upto_April23__1___1[Egg],
      MATCH(1,(All_India_Index_Upto_April23__1___1[Date]=$A66)*
              (All_India_Index_Upto_April23__1___1[Sector]="Rural+Urban"),0)),
    INDEX(All_India_Index_Upto_April23__1___1[Milk and products],
      MATCH(1,(All_India_Index_Upto_April23__1___1[Date]=$A66)*
              (All_India_Index_Upto_April23__1___1[Sector]="Rural+Urban"),0)),
    INDEX(All_India_Index_Upto_April23__1___1[Oils and fats],
      MATCH(1,(All_India_Index_Upto_April23__1___1[Date]=$A66)*
              (All_India_Index_Upto_April23__1___1[Sector]="Rural+Urban"),0)),
    INDEX(All_India_Index_Upto_April23__1___1[Fruits],
      MATCH(1,(All_India_Index_Upto_April23__1___1[Date]=$A66)*
              (All_India_Index_Upto_April23__1___1[Sector]="Rural+Urban"),0)),
    INDEX(All_India_Index_Upto_April23__1___1[Vegetables],
      MATCH(1,(All_India_Index_Upto_April23__1___1[Date]=$A66)*
              (All_India_Index_Upto_April23__1___1[Sector]="Rural+Urban"),0)),
    INDEX(All_India_Index_Upto_April23__1___1[Pulses and products],
      MATCH(1,(All_India_Index_Upto_April23__1___1[Date]=$A66)*
              (All_India_Index_Upto_April23__1___1[Sector]="Rural+Urban"),0)),
    INDEX(All_India_Index_Upto_April23__1___1[Sugar and Confectionery],
      MATCH(1,(All_India_Index_Upto_April23__1___1[Date]=$A66)*
              (All_India_Index_Upto_April23__1___1[Sector]="Rural+Urban"),0)),
    INDEX(All_India_Index_Upto_April23__1___1[Spices],
      MATCH(1,(All_India_Index_Upto_April23__1___1[Date]=$A66)*
              (All_India_Index_Upto_April23__1___1[Sector]="Rural+Urban"),0)),
    INDEX(All_India_Index_Upto_April23__1___1[Non-alcoholic beverages],
      MATCH(1,(All_India_Index_Upto_April23__1___1[Date]=$A66)*
              (All_India_Index_Upto_April23__1___1[Sector]="Rural+Urban"),0)),
    INDEX(All_India_Index_Upto_April23__1___1[Prepared meals, snacks, sweets etc.],
      MATCH(1,(All_India_Index_Upto_April23__1___1[Date]=$A66)*
              (All_India_Index_Upto_April23__1___1[Sector]="Rural+Urban"),0))
  ),
"")</f>
        <v>173.91666666666666</v>
      </c>
      <c r="P66" s="2" cm="1">
        <f t="array" ref="P66">IFERROR(
  AVERAGE(
    INDEX(All_India_Index_Upto_April23__1___1[Cereals and products],
      MATCH(1,(All_India_Index_Upto_April23__1___1[Date]=EDATE($A66,-12))*
              (All_India_Index_Upto_April23__1___1[Sector]="Rural+Urban"),0)),
    INDEX(All_India_Index_Upto_April23__1___1[Meat and fish],
      MATCH(1,(All_India_Index_Upto_April23__1___1[Date]=EDATE($A66,-12))*
              (All_India_Index_Upto_April23__1___1[Sector]="Rural+Urban"),0)),
    INDEX(All_India_Index_Upto_April23__1___1[Egg],
      MATCH(1,(All_India_Index_Upto_April23__1___1[Date]=EDATE($A66,-12))*
              (All_India_Index_Upto_April23__1___1[Sector]="Rural+Urban"),0)),
    INDEX(All_India_Index_Upto_April23__1___1[Milk and products],
      MATCH(1,(All_India_Index_Upto_April23__1___1[Date]=EDATE($A66,-12))*
              (All_India_Index_Upto_April23__1___1[Sector]="Rural+Urban"),0)),
    INDEX(All_India_Index_Upto_April23__1___1[Oils and fats],
      MATCH(1,(All_India_Index_Upto_April23__1___1[Date]=EDATE($A66,-12))*
              (All_India_Index_Upto_April23__1___1[Sector]="Rural+Urban"),0)),
    INDEX(All_India_Index_Upto_April23__1___1[Fruits],
      MATCH(1,(All_India_Index_Upto_April23__1___1[Date]=EDATE($A66,-12))*
              (All_India_Index_Upto_April23__1___1[Sector]="Rural+Urban"),0)),
    INDEX(All_India_Index_Upto_April23__1___1[Vegetables],
      MATCH(1,(All_India_Index_Upto_April23__1___1[Date]=EDATE($A66,-12))*
              (All_India_Index_Upto_April23__1___1[Sector]="Rural+Urban"),0)),
    INDEX(All_India_Index_Upto_April23__1___1[Pulses and products],
      MATCH(1,(All_India_Index_Upto_April23__1___1[Date]=EDATE($A66,-12))*
              (All_India_Index_Upto_April23__1___1[Sector]="Rural+Urban"),0)),
    INDEX(All_India_Index_Upto_April23__1___1[Sugar and Confectionery],
      MATCH(1,(All_India_Index_Upto_April23__1___1[Date]=EDATE($A66,-12))*
              (All_India_Index_Upto_April23__1___1[Sector]="Rural+Urban"),0)),
    INDEX(All_India_Index_Upto_April23__1___1[Spices],
      MATCH(1,(All_India_Index_Upto_April23__1___1[Date]=EDATE($A66,-12))*
              (All_India_Index_Upto_April23__1___1[Sector]="Rural+Urban"),0)),
    INDEX(All_India_Index_Upto_April23__1___1[Non-alcoholic beverages],
      MATCH(1,(All_India_Index_Upto_April23__1___1[Date]=EDATE($A66,-12))*
              (All_India_Index_Upto_April23__1___1[Sector]="Rural+Urban"),0)),
    INDEX(All_India_Index_Upto_April23__1___1[Prepared meals, snacks, sweets etc.],
      MATCH(1,(All_India_Index_Upto_April23__1___1[Date]=EDATE($A66,-12))*
              (All_India_Index_Upto_April23__1___1[Sector]="Rural+Urban"),0))
  ),
"")</f>
        <v>164.27500000000001</v>
      </c>
      <c r="Q66" s="8">
        <f t="shared" si="5"/>
        <v>5.8692233551463406E-2</v>
      </c>
      <c r="R66" cm="1">
        <f t="array" ref="R66">IFERROR(
  INDEX(All_India_Index_Upto_April23__1___1[General index],
    MATCH(1,
      (All_India_Index_Upto_April23__1___1[Date]=$A66)*
      (All_India_Index_Upto_April23__1___1[Sector]="Rural+Urban"),
    0)
  ),
"")</f>
        <v>172.6</v>
      </c>
      <c r="S66" cm="1">
        <f t="array" ref="S66">IFERROR(
  INDEX(All_India_Index_Upto_April23__1___1[General index],
    MATCH(1,
      (All_India_Index_Upto_April23__1___1[Date]=EDATE($A66,-1))*
      (All_India_Index_Upto_April23__1___1[Sector]="Rural+Urban"),
    0)
  ),
"")</f>
        <v>171.7</v>
      </c>
      <c r="T66" s="8">
        <f t="shared" si="6"/>
        <v>5.2417006406523343E-3</v>
      </c>
    </row>
    <row r="67" spans="1:20" x14ac:dyDescent="0.2">
      <c r="A67" s="22">
        <v>44743</v>
      </c>
      <c r="B67">
        <v>2022</v>
      </c>
      <c r="C67" t="s">
        <v>43</v>
      </c>
      <c r="D67" s="2">
        <v>105</v>
      </c>
      <c r="E67" s="8">
        <f t="shared" ref="E67:E76" si="9">(D68-D67)/D67</f>
        <v>-7.6190476190476197E-2</v>
      </c>
      <c r="F67" s="8">
        <f t="shared" ref="F67:F76" si="10">IF(ABS(E67)&gt;30%,NA(),E67)</f>
        <v>-7.6190476190476197E-2</v>
      </c>
      <c r="G67" t="e">
        <f t="shared" si="8"/>
        <v>#N/A</v>
      </c>
      <c r="H67" s="22">
        <v>44743</v>
      </c>
      <c r="I67" cm="1">
        <f t="array" ref="I67">IFERROR(
  INDEX(All_India_Index_Upto_April23__1___1[Fuel and light],
    MATCH(1,
      (All_India_Index_Upto_April23__1___1[Date]=$A67)*
      (All_India_Index_Upto_April23__1___1[Sector]="Rural+Urban"),
    0)
  ),
"")</f>
        <v>179.6</v>
      </c>
      <c r="J67" cm="1">
        <f t="array" ref="J67">IFERROR(
  INDEX(All_India_Index_Upto_April23__1___1[Fuel and light],
    MATCH(1,
      (All_India_Index_Upto_April23__1___1[Date]=EDATE($A67,-1))*
      (All_India_Index_Upto_April23__1___1[Sector]="Rural+Urban"),
    0)
  ),
"")</f>
        <v>176</v>
      </c>
      <c r="K67" s="8">
        <f t="shared" ref="K67:K77" si="11">IFERROR((I67-J67)/J67,"")</f>
        <v>2.0454545454545423E-2</v>
      </c>
      <c r="L67" cm="1">
        <f t="array" ref="L67">IFERROR(
  INDEX(All_India_Index_Upto_April23__1___1[Transport and communication],
    MATCH(1,
      (All_India_Index_Upto_April23__1___1[Date]=$A67)*
      (All_India_Index_Upto_April23__1___1[Sector]="Rural+Urban"),
    0)
  ),
"")</f>
        <v>161.6</v>
      </c>
      <c r="M67" cm="1">
        <f t="array" ref="M67">IFERROR(
  INDEX(All_India_Index_Upto_April23__1___1[Transport and communication],
    MATCH(1,
      (All_India_Index_Upto_April23__1___1[Date]=EDATE($A67,-1))*
      (All_India_Index_Upto_April23__1___1[Sector]="Rural+Urban"),
    0)
  ),
"")</f>
        <v>161.1</v>
      </c>
      <c r="N67" s="8">
        <f t="shared" ref="N67:N77" si="12">IFERROR((L67-M67)/M67,"")</f>
        <v>3.1036623215394167E-3</v>
      </c>
      <c r="O67" s="2" cm="1">
        <f t="array" ref="O67">IFERROR(
  AVERAGE(
    INDEX(All_India_Index_Upto_April23__1___1[Cereals and products],
      MATCH(1,(All_India_Index_Upto_April23__1___1[Date]=$A67)*
              (All_India_Index_Upto_April23__1___1[Sector]="Rural+Urban"),0)),
    INDEX(All_India_Index_Upto_April23__1___1[Meat and fish],
      MATCH(1,(All_India_Index_Upto_April23__1___1[Date]=$A67)*
              (All_India_Index_Upto_April23__1___1[Sector]="Rural+Urban"),0)),
    INDEX(All_India_Index_Upto_April23__1___1[Egg],
      MATCH(1,(All_India_Index_Upto_April23__1___1[Date]=$A67)*
              (All_India_Index_Upto_April23__1___1[Sector]="Rural+Urban"),0)),
    INDEX(All_India_Index_Upto_April23__1___1[Milk and products],
      MATCH(1,(All_India_Index_Upto_April23__1___1[Date]=$A67)*
              (All_India_Index_Upto_April23__1___1[Sector]="Rural+Urban"),0)),
    INDEX(All_India_Index_Upto_April23__1___1[Oils and fats],
      MATCH(1,(All_India_Index_Upto_April23__1___1[Date]=$A67)*
              (All_India_Index_Upto_April23__1___1[Sector]="Rural+Urban"),0)),
    INDEX(All_India_Index_Upto_April23__1___1[Fruits],
      MATCH(1,(All_India_Index_Upto_April23__1___1[Date]=$A67)*
              (All_India_Index_Upto_April23__1___1[Sector]="Rural+Urban"),0)),
    INDEX(All_India_Index_Upto_April23__1___1[Vegetables],
      MATCH(1,(All_India_Index_Upto_April23__1___1[Date]=$A67)*
              (All_India_Index_Upto_April23__1___1[Sector]="Rural+Urban"),0)),
    INDEX(All_India_Index_Upto_April23__1___1[Pulses and products],
      MATCH(1,(All_India_Index_Upto_April23__1___1[Date]=$A67)*
              (All_India_Index_Upto_April23__1___1[Sector]="Rural+Urban"),0)),
    INDEX(All_India_Index_Upto_April23__1___1[Sugar and Confectionery],
      MATCH(1,(All_India_Index_Upto_April23__1___1[Date]=$A67)*
              (All_India_Index_Upto_April23__1___1[Sector]="Rural+Urban"),0)),
    INDEX(All_India_Index_Upto_April23__1___1[Spices],
      MATCH(1,(All_India_Index_Upto_April23__1___1[Date]=$A67)*
              (All_India_Index_Upto_April23__1___1[Sector]="Rural+Urban"),0)),
    INDEX(All_India_Index_Upto_April23__1___1[Non-alcoholic beverages],
      MATCH(1,(All_India_Index_Upto_April23__1___1[Date]=$A67)*
              (All_India_Index_Upto_April23__1___1[Sector]="Rural+Urban"),0)),
    INDEX(All_India_Index_Upto_April23__1___1[Prepared meals, snacks, sweets etc.],
      MATCH(1,(All_India_Index_Upto_April23__1___1[Date]=$A67)*
              (All_India_Index_Upto_April23__1___1[Sector]="Rural+Urban"),0))
  ),
"")</f>
        <v>174.27500000000001</v>
      </c>
      <c r="P67" s="2" cm="1">
        <f t="array" ref="P67">IFERROR(
  AVERAGE(
    INDEX(All_India_Index_Upto_April23__1___1[Cereals and products],
      MATCH(1,(All_India_Index_Upto_April23__1___1[Date]=EDATE($A67,-12))*
              (All_India_Index_Upto_April23__1___1[Sector]="Rural+Urban"),0)),
    INDEX(All_India_Index_Upto_April23__1___1[Meat and fish],
      MATCH(1,(All_India_Index_Upto_April23__1___1[Date]=EDATE($A67,-12))*
              (All_India_Index_Upto_April23__1___1[Sector]="Rural+Urban"),0)),
    INDEX(All_India_Index_Upto_April23__1___1[Egg],
      MATCH(1,(All_India_Index_Upto_April23__1___1[Date]=EDATE($A67,-12))*
              (All_India_Index_Upto_April23__1___1[Sector]="Rural+Urban"),0)),
    INDEX(All_India_Index_Upto_April23__1___1[Milk and products],
      MATCH(1,(All_India_Index_Upto_April23__1___1[Date]=EDATE($A67,-12))*
              (All_India_Index_Upto_April23__1___1[Sector]="Rural+Urban"),0)),
    INDEX(All_India_Index_Upto_April23__1___1[Oils and fats],
      MATCH(1,(All_India_Index_Upto_April23__1___1[Date]=EDATE($A67,-12))*
              (All_India_Index_Upto_April23__1___1[Sector]="Rural+Urban"),0)),
    INDEX(All_India_Index_Upto_April23__1___1[Fruits],
      MATCH(1,(All_India_Index_Upto_April23__1___1[Date]=EDATE($A67,-12))*
              (All_India_Index_Upto_April23__1___1[Sector]="Rural+Urban"),0)),
    INDEX(All_India_Index_Upto_April23__1___1[Vegetables],
      MATCH(1,(All_India_Index_Upto_April23__1___1[Date]=EDATE($A67,-12))*
              (All_India_Index_Upto_April23__1___1[Sector]="Rural+Urban"),0)),
    INDEX(All_India_Index_Upto_April23__1___1[Pulses and products],
      MATCH(1,(All_India_Index_Upto_April23__1___1[Date]=EDATE($A67,-12))*
              (All_India_Index_Upto_April23__1___1[Sector]="Rural+Urban"),0)),
    INDEX(All_India_Index_Upto_April23__1___1[Sugar and Confectionery],
      MATCH(1,(All_India_Index_Upto_April23__1___1[Date]=EDATE($A67,-12))*
              (All_India_Index_Upto_April23__1___1[Sector]="Rural+Urban"),0)),
    INDEX(All_India_Index_Upto_April23__1___1[Spices],
      MATCH(1,(All_India_Index_Upto_April23__1___1[Date]=EDATE($A67,-12))*
              (All_India_Index_Upto_April23__1___1[Sector]="Rural+Urban"),0)),
    INDEX(All_India_Index_Upto_April23__1___1[Non-alcoholic beverages],
      MATCH(1,(All_India_Index_Upto_April23__1___1[Date]=EDATE($A67,-12))*
              (All_India_Index_Upto_April23__1___1[Sector]="Rural+Urban"),0)),
    INDEX(All_India_Index_Upto_April23__1___1[Prepared meals, snacks, sweets etc.],
      MATCH(1,(All_India_Index_Upto_April23__1___1[Date]=EDATE($A67,-12))*
              (All_India_Index_Upto_April23__1___1[Sector]="Rural+Urban"),0))
  ),
"")</f>
        <v>165.25000000000003</v>
      </c>
      <c r="Q67" s="8">
        <f t="shared" ref="Q67:Q77" si="13">IFERROR((O67-P67)/P67,"")</f>
        <v>5.461422087745825E-2</v>
      </c>
      <c r="R67" cm="1">
        <f t="array" ref="R67">IFERROR(
  INDEX(All_India_Index_Upto_April23__1___1[General index],
    MATCH(1,
      (All_India_Index_Upto_April23__1___1[Date]=$A67)*
      (All_India_Index_Upto_April23__1___1[Sector]="Rural+Urban"),
    0)
  ),
"")</f>
        <v>173.4</v>
      </c>
      <c r="S67" cm="1">
        <f t="array" ref="S67">IFERROR(
  INDEX(All_India_Index_Upto_April23__1___1[General index],
    MATCH(1,
      (All_India_Index_Upto_April23__1___1[Date]=EDATE($A67,-1))*
      (All_India_Index_Upto_April23__1___1[Sector]="Rural+Urban"),
    0)
  ),
"")</f>
        <v>172.6</v>
      </c>
      <c r="T67" s="8">
        <f t="shared" ref="T67:T77" si="14">IFERROR((R67-S67)/S67,"")</f>
        <v>4.634994206257308E-3</v>
      </c>
    </row>
    <row r="68" spans="1:20" x14ac:dyDescent="0.2">
      <c r="A68" s="22">
        <v>44774</v>
      </c>
      <c r="B68">
        <v>2022</v>
      </c>
      <c r="C68" t="s">
        <v>45</v>
      </c>
      <c r="D68" s="2">
        <v>97</v>
      </c>
      <c r="E68" s="8">
        <f t="shared" si="9"/>
        <v>-7.2164948453608241E-2</v>
      </c>
      <c r="F68" s="8">
        <f t="shared" si="10"/>
        <v>-7.2164948453608241E-2</v>
      </c>
      <c r="G68" t="e">
        <f t="shared" si="8"/>
        <v>#N/A</v>
      </c>
      <c r="H68" s="22">
        <v>44774</v>
      </c>
      <c r="I68" cm="1">
        <f t="array" ref="I68">IFERROR(
  INDEX(All_India_Index_Upto_April23__1___1[Fuel and light],
    MATCH(1,
      (All_India_Index_Upto_April23__1___1[Date]=$A68)*
      (All_India_Index_Upto_April23__1___1[Sector]="Rural+Urban"),
    0)
  ),
"")</f>
        <v>178.8</v>
      </c>
      <c r="J68" cm="1">
        <f t="array" ref="J68">IFERROR(
  INDEX(All_India_Index_Upto_April23__1___1[Fuel and light],
    MATCH(1,
      (All_India_Index_Upto_April23__1___1[Date]=EDATE($A68,-1))*
      (All_India_Index_Upto_April23__1___1[Sector]="Rural+Urban"),
    0)
  ),
"")</f>
        <v>179.6</v>
      </c>
      <c r="K68" s="8">
        <f t="shared" si="11"/>
        <v>-4.4543429844097048E-3</v>
      </c>
      <c r="L68" cm="1">
        <f t="array" ref="L68">IFERROR(
  INDEX(All_India_Index_Upto_April23__1___1[Transport and communication],
    MATCH(1,
      (All_India_Index_Upto_April23__1___1[Date]=$A68)*
      (All_India_Index_Upto_April23__1___1[Sector]="Rural+Urban"),
    0)
  ),
"")</f>
        <v>161.9</v>
      </c>
      <c r="M68" cm="1">
        <f t="array" ref="M68">IFERROR(
  INDEX(All_India_Index_Upto_April23__1___1[Transport and communication],
    MATCH(1,
      (All_India_Index_Upto_April23__1___1[Date]=EDATE($A68,-1))*
      (All_India_Index_Upto_April23__1___1[Sector]="Rural+Urban"),
    0)
  ),
"")</f>
        <v>161.6</v>
      </c>
      <c r="N68" s="8">
        <f t="shared" si="12"/>
        <v>1.8564356435644268E-3</v>
      </c>
      <c r="O68" s="2" cm="1">
        <f t="array" ref="O68">IFERROR(
  AVERAGE(
    INDEX(All_India_Index_Upto_April23__1___1[Cereals and products],
      MATCH(1,(All_India_Index_Upto_April23__1___1[Date]=$A68)*
              (All_India_Index_Upto_April23__1___1[Sector]="Rural+Urban"),0)),
    INDEX(All_India_Index_Upto_April23__1___1[Meat and fish],
      MATCH(1,(All_India_Index_Upto_April23__1___1[Date]=$A68)*
              (All_India_Index_Upto_April23__1___1[Sector]="Rural+Urban"),0)),
    INDEX(All_India_Index_Upto_April23__1___1[Egg],
      MATCH(1,(All_India_Index_Upto_April23__1___1[Date]=$A68)*
              (All_India_Index_Upto_April23__1___1[Sector]="Rural+Urban"),0)),
    INDEX(All_India_Index_Upto_April23__1___1[Milk and products],
      MATCH(1,(All_India_Index_Upto_April23__1___1[Date]=$A68)*
              (All_India_Index_Upto_April23__1___1[Sector]="Rural+Urban"),0)),
    INDEX(All_India_Index_Upto_April23__1___1[Oils and fats],
      MATCH(1,(All_India_Index_Upto_April23__1___1[Date]=$A68)*
              (All_India_Index_Upto_April23__1___1[Sector]="Rural+Urban"),0)),
    INDEX(All_India_Index_Upto_April23__1___1[Fruits],
      MATCH(1,(All_India_Index_Upto_April23__1___1[Date]=$A68)*
              (All_India_Index_Upto_April23__1___1[Sector]="Rural+Urban"),0)),
    INDEX(All_India_Index_Upto_April23__1___1[Vegetables],
      MATCH(1,(All_India_Index_Upto_April23__1___1[Date]=$A68)*
              (All_India_Index_Upto_April23__1___1[Sector]="Rural+Urban"),0)),
    INDEX(All_India_Index_Upto_April23__1___1[Pulses and products],
      MATCH(1,(All_India_Index_Upto_April23__1___1[Date]=$A68)*
              (All_India_Index_Upto_April23__1___1[Sector]="Rural+Urban"),0)),
    INDEX(All_India_Index_Upto_April23__1___1[Sugar and Confectionery],
      MATCH(1,(All_India_Index_Upto_April23__1___1[Date]=$A68)*
              (All_India_Index_Upto_April23__1___1[Sector]="Rural+Urban"),0)),
    INDEX(All_India_Index_Upto_April23__1___1[Spices],
      MATCH(1,(All_India_Index_Upto_April23__1___1[Date]=$A68)*
              (All_India_Index_Upto_April23__1___1[Sector]="Rural+Urban"),0)),
    INDEX(All_India_Index_Upto_April23__1___1[Non-alcoholic beverages],
      MATCH(1,(All_India_Index_Upto_April23__1___1[Date]=$A68)*
              (All_India_Index_Upto_April23__1___1[Sector]="Rural+Urban"),0)),
    INDEX(All_India_Index_Upto_April23__1___1[Prepared meals, snacks, sweets etc.],
      MATCH(1,(All_India_Index_Upto_April23__1___1[Date]=$A68)*
              (All_India_Index_Upto_April23__1___1[Sector]="Rural+Urban"),0))
  ),
"")</f>
        <v>174.40833333333333</v>
      </c>
      <c r="P68" s="2" cm="1">
        <f t="array" ref="P68">IFERROR(
  AVERAGE(
    INDEX(All_India_Index_Upto_April23__1___1[Cereals and products],
      MATCH(1,(All_India_Index_Upto_April23__1___1[Date]=EDATE($A68,-12))*
              (All_India_Index_Upto_April23__1___1[Sector]="Rural+Urban"),0)),
    INDEX(All_India_Index_Upto_April23__1___1[Meat and fish],
      MATCH(1,(All_India_Index_Upto_April23__1___1[Date]=EDATE($A68,-12))*
              (All_India_Index_Upto_April23__1___1[Sector]="Rural+Urban"),0)),
    INDEX(All_India_Index_Upto_April23__1___1[Egg],
      MATCH(1,(All_India_Index_Upto_April23__1___1[Date]=EDATE($A68,-12))*
              (All_India_Index_Upto_April23__1___1[Sector]="Rural+Urban"),0)),
    INDEX(All_India_Index_Upto_April23__1___1[Milk and products],
      MATCH(1,(All_India_Index_Upto_April23__1___1[Date]=EDATE($A68,-12))*
              (All_India_Index_Upto_April23__1___1[Sector]="Rural+Urban"),0)),
    INDEX(All_India_Index_Upto_April23__1___1[Oils and fats],
      MATCH(1,(All_India_Index_Upto_April23__1___1[Date]=EDATE($A68,-12))*
              (All_India_Index_Upto_April23__1___1[Sector]="Rural+Urban"),0)),
    INDEX(All_India_Index_Upto_April23__1___1[Fruits],
      MATCH(1,(All_India_Index_Upto_April23__1___1[Date]=EDATE($A68,-12))*
              (All_India_Index_Upto_April23__1___1[Sector]="Rural+Urban"),0)),
    INDEX(All_India_Index_Upto_April23__1___1[Vegetables],
      MATCH(1,(All_India_Index_Upto_April23__1___1[Date]=EDATE($A68,-12))*
              (All_India_Index_Upto_April23__1___1[Sector]="Rural+Urban"),0)),
    INDEX(All_India_Index_Upto_April23__1___1[Pulses and products],
      MATCH(1,(All_India_Index_Upto_April23__1___1[Date]=EDATE($A68,-12))*
              (All_India_Index_Upto_April23__1___1[Sector]="Rural+Urban"),0)),
    INDEX(All_India_Index_Upto_April23__1___1[Sugar and Confectionery],
      MATCH(1,(All_India_Index_Upto_April23__1___1[Date]=EDATE($A68,-12))*
              (All_India_Index_Upto_April23__1___1[Sector]="Rural+Urban"),0)),
    INDEX(All_India_Index_Upto_April23__1___1[Spices],
      MATCH(1,(All_India_Index_Upto_April23__1___1[Date]=EDATE($A68,-12))*
              (All_India_Index_Upto_April23__1___1[Sector]="Rural+Urban"),0)),
    INDEX(All_India_Index_Upto_April23__1___1[Non-alcoholic beverages],
      MATCH(1,(All_India_Index_Upto_April23__1___1[Date]=EDATE($A68,-12))*
              (All_India_Index_Upto_April23__1___1[Sector]="Rural+Urban"),0)),
    INDEX(All_India_Index_Upto_April23__1___1[Prepared meals, snacks, sweets etc.],
      MATCH(1,(All_India_Index_Upto_April23__1___1[Date]=EDATE($A68,-12))*
              (All_India_Index_Upto_April23__1___1[Sector]="Rural+Urban"),0))
  ),
"")</f>
        <v>164.83333333333334</v>
      </c>
      <c r="Q68" s="8">
        <f t="shared" si="13"/>
        <v>5.8088978766430668E-2</v>
      </c>
      <c r="R68" cm="1">
        <f t="array" ref="R68">IFERROR(
  INDEX(All_India_Index_Upto_April23__1___1[General index],
    MATCH(1,
      (All_India_Index_Upto_April23__1___1[Date]=$A68)*
      (All_India_Index_Upto_April23__1___1[Sector]="Rural+Urban"),
    0)
  ),
"")</f>
        <v>174.3</v>
      </c>
      <c r="S68" cm="1">
        <f t="array" ref="S68">IFERROR(
  INDEX(All_India_Index_Upto_April23__1___1[General index],
    MATCH(1,
      (All_India_Index_Upto_April23__1___1[Date]=EDATE($A68,-1))*
      (All_India_Index_Upto_April23__1___1[Sector]="Rural+Urban"),
    0)
  ),
"")</f>
        <v>173.4</v>
      </c>
      <c r="T68" s="8">
        <f t="shared" si="14"/>
        <v>5.1903114186851538E-3</v>
      </c>
    </row>
    <row r="69" spans="1:20" x14ac:dyDescent="0.2">
      <c r="A69" s="22">
        <v>44805</v>
      </c>
      <c r="B69">
        <v>2022</v>
      </c>
      <c r="C69" t="s">
        <v>47</v>
      </c>
      <c r="D69" s="2">
        <v>90</v>
      </c>
      <c r="E69" s="8">
        <f t="shared" si="9"/>
        <v>3.3333333333333333E-2</v>
      </c>
      <c r="F69" s="8">
        <f t="shared" si="10"/>
        <v>3.3333333333333333E-2</v>
      </c>
      <c r="G69" t="e">
        <f t="shared" si="8"/>
        <v>#N/A</v>
      </c>
      <c r="H69" s="22">
        <v>44805</v>
      </c>
      <c r="I69" cm="1">
        <f t="array" ref="I69">IFERROR(
  INDEX(All_India_Index_Upto_April23__1___1[Fuel and light],
    MATCH(1,
      (All_India_Index_Upto_April23__1___1[Date]=$A69)*
      (All_India_Index_Upto_April23__1___1[Sector]="Rural+Urban"),
    0)
  ),
"")</f>
        <v>179.5</v>
      </c>
      <c r="J69" cm="1">
        <f t="array" ref="J69">IFERROR(
  INDEX(All_India_Index_Upto_April23__1___1[Fuel and light],
    MATCH(1,
      (All_India_Index_Upto_April23__1___1[Date]=EDATE($A69,-1))*
      (All_India_Index_Upto_April23__1___1[Sector]="Rural+Urban"),
    0)
  ),
"")</f>
        <v>178.8</v>
      </c>
      <c r="K69" s="8">
        <f t="shared" si="11"/>
        <v>3.9149888143176093E-3</v>
      </c>
      <c r="L69" cm="1">
        <f t="array" ref="L69">IFERROR(
  INDEX(All_India_Index_Upto_April23__1___1[Transport and communication],
    MATCH(1,
      (All_India_Index_Upto_April23__1___1[Date]=$A69)*
      (All_India_Index_Upto_April23__1___1[Sector]="Rural+Urban"),
    0)
  ),
"")</f>
        <v>162.30000000000001</v>
      </c>
      <c r="M69" cm="1">
        <f t="array" ref="M69">IFERROR(
  INDEX(All_India_Index_Upto_April23__1___1[Transport and communication],
    MATCH(1,
      (All_India_Index_Upto_April23__1___1[Date]=EDATE($A69,-1))*
      (All_India_Index_Upto_April23__1___1[Sector]="Rural+Urban"),
    0)
  ),
"")</f>
        <v>161.9</v>
      </c>
      <c r="N69" s="8">
        <f t="shared" si="12"/>
        <v>2.470660901791264E-3</v>
      </c>
      <c r="O69" s="2" cm="1">
        <f t="array" ref="O69">IFERROR(
  AVERAGE(
    INDEX(All_India_Index_Upto_April23__1___1[Cereals and products],
      MATCH(1,(All_India_Index_Upto_April23__1___1[Date]=$A69)*
              (All_India_Index_Upto_April23__1___1[Sector]="Rural+Urban"),0)),
    INDEX(All_India_Index_Upto_April23__1___1[Meat and fish],
      MATCH(1,(All_India_Index_Upto_April23__1___1[Date]=$A69)*
              (All_India_Index_Upto_April23__1___1[Sector]="Rural+Urban"),0)),
    INDEX(All_India_Index_Upto_April23__1___1[Egg],
      MATCH(1,(All_India_Index_Upto_April23__1___1[Date]=$A69)*
              (All_India_Index_Upto_April23__1___1[Sector]="Rural+Urban"),0)),
    INDEX(All_India_Index_Upto_April23__1___1[Milk and products],
      MATCH(1,(All_India_Index_Upto_April23__1___1[Date]=$A69)*
              (All_India_Index_Upto_April23__1___1[Sector]="Rural+Urban"),0)),
    INDEX(All_India_Index_Upto_April23__1___1[Oils and fats],
      MATCH(1,(All_India_Index_Upto_April23__1___1[Date]=$A69)*
              (All_India_Index_Upto_April23__1___1[Sector]="Rural+Urban"),0)),
    INDEX(All_India_Index_Upto_April23__1___1[Fruits],
      MATCH(1,(All_India_Index_Upto_April23__1___1[Date]=$A69)*
              (All_India_Index_Upto_April23__1___1[Sector]="Rural+Urban"),0)),
    INDEX(All_India_Index_Upto_April23__1___1[Vegetables],
      MATCH(1,(All_India_Index_Upto_April23__1___1[Date]=$A69)*
              (All_India_Index_Upto_April23__1___1[Sector]="Rural+Urban"),0)),
    INDEX(All_India_Index_Upto_April23__1___1[Pulses and products],
      MATCH(1,(All_India_Index_Upto_April23__1___1[Date]=$A69)*
              (All_India_Index_Upto_April23__1___1[Sector]="Rural+Urban"),0)),
    INDEX(All_India_Index_Upto_April23__1___1[Sugar and Confectionery],
      MATCH(1,(All_India_Index_Upto_April23__1___1[Date]=$A69)*
              (All_India_Index_Upto_April23__1___1[Sector]="Rural+Urban"),0)),
    INDEX(All_India_Index_Upto_April23__1___1[Spices],
      MATCH(1,(All_India_Index_Upto_April23__1___1[Date]=$A69)*
              (All_India_Index_Upto_April23__1___1[Sector]="Rural+Urban"),0)),
    INDEX(All_India_Index_Upto_April23__1___1[Non-alcoholic beverages],
      MATCH(1,(All_India_Index_Upto_April23__1___1[Date]=$A69)*
              (All_India_Index_Upto_April23__1___1[Sector]="Rural+Urban"),0)),
    INDEX(All_India_Index_Upto_April23__1___1[Prepared meals, snacks, sweets etc.],
      MATCH(1,(All_India_Index_Upto_April23__1___1[Date]=$A69)*
              (All_India_Index_Upto_April23__1___1[Sector]="Rural+Urban"),0))
  ),
"")</f>
        <v>175.25833333333333</v>
      </c>
      <c r="P69" s="2" cm="1">
        <f t="array" ref="P69">IFERROR(
  AVERAGE(
    INDEX(All_India_Index_Upto_April23__1___1[Cereals and products],
      MATCH(1,(All_India_Index_Upto_April23__1___1[Date]=EDATE($A69,-12))*
              (All_India_Index_Upto_April23__1___1[Sector]="Rural+Urban"),0)),
    INDEX(All_India_Index_Upto_April23__1___1[Meat and fish],
      MATCH(1,(All_India_Index_Upto_April23__1___1[Date]=EDATE($A69,-12))*
              (All_India_Index_Upto_April23__1___1[Sector]="Rural+Urban"),0)),
    INDEX(All_India_Index_Upto_April23__1___1[Egg],
      MATCH(1,(All_India_Index_Upto_April23__1___1[Date]=EDATE($A69,-12))*
              (All_India_Index_Upto_April23__1___1[Sector]="Rural+Urban"),0)),
    INDEX(All_India_Index_Upto_April23__1___1[Milk and products],
      MATCH(1,(All_India_Index_Upto_April23__1___1[Date]=EDATE($A69,-12))*
              (All_India_Index_Upto_April23__1___1[Sector]="Rural+Urban"),0)),
    INDEX(All_India_Index_Upto_April23__1___1[Oils and fats],
      MATCH(1,(All_India_Index_Upto_April23__1___1[Date]=EDATE($A69,-12))*
              (All_India_Index_Upto_April23__1___1[Sector]="Rural+Urban"),0)),
    INDEX(All_India_Index_Upto_April23__1___1[Fruits],
      MATCH(1,(All_India_Index_Upto_April23__1___1[Date]=EDATE($A69,-12))*
              (All_India_Index_Upto_April23__1___1[Sector]="Rural+Urban"),0)),
    INDEX(All_India_Index_Upto_April23__1___1[Vegetables],
      MATCH(1,(All_India_Index_Upto_April23__1___1[Date]=EDATE($A69,-12))*
              (All_India_Index_Upto_April23__1___1[Sector]="Rural+Urban"),0)),
    INDEX(All_India_Index_Upto_April23__1___1[Pulses and products],
      MATCH(1,(All_India_Index_Upto_April23__1___1[Date]=EDATE($A69,-12))*
              (All_India_Index_Upto_April23__1___1[Sector]="Rural+Urban"),0)),
    INDEX(All_India_Index_Upto_April23__1___1[Sugar and Confectionery],
      MATCH(1,(All_India_Index_Upto_April23__1___1[Date]=EDATE($A69,-12))*
              (All_India_Index_Upto_April23__1___1[Sector]="Rural+Urban"),0)),
    INDEX(All_India_Index_Upto_April23__1___1[Spices],
      MATCH(1,(All_India_Index_Upto_April23__1___1[Date]=EDATE($A69,-12))*
              (All_India_Index_Upto_April23__1___1[Sector]="Rural+Urban"),0)),
    INDEX(All_India_Index_Upto_April23__1___1[Non-alcoholic beverages],
      MATCH(1,(All_India_Index_Upto_April23__1___1[Date]=EDATE($A69,-12))*
              (All_India_Index_Upto_April23__1___1[Sector]="Rural+Urban"),0)),
    INDEX(All_India_Index_Upto_April23__1___1[Prepared meals, snacks, sweets etc.],
      MATCH(1,(All_India_Index_Upto_April23__1___1[Date]=EDATE($A69,-12))*
              (All_India_Index_Upto_April23__1___1[Sector]="Rural+Urban"),0))
  ),
"")</f>
        <v>164.83333333333334</v>
      </c>
      <c r="Q69" s="8">
        <f t="shared" si="13"/>
        <v>6.3245702730030232E-2</v>
      </c>
      <c r="R69" cm="1">
        <f t="array" ref="R69">IFERROR(
  INDEX(All_India_Index_Upto_April23__1___1[General index],
    MATCH(1,
      (All_India_Index_Upto_April23__1___1[Date]=$A69)*
      (All_India_Index_Upto_April23__1___1[Sector]="Rural+Urban"),
    0)
  ),
"")</f>
        <v>175.3</v>
      </c>
      <c r="S69" cm="1">
        <f t="array" ref="S69">IFERROR(
  INDEX(All_India_Index_Upto_April23__1___1[General index],
    MATCH(1,
      (All_India_Index_Upto_April23__1___1[Date]=EDATE($A69,-1))*
      (All_India_Index_Upto_April23__1___1[Sector]="Rural+Urban"),
    0)
  ),
"")</f>
        <v>174.3</v>
      </c>
      <c r="T69" s="8">
        <f t="shared" si="14"/>
        <v>5.737234652897303E-3</v>
      </c>
    </row>
    <row r="70" spans="1:20" x14ac:dyDescent="0.2">
      <c r="A70" s="22">
        <v>44835</v>
      </c>
      <c r="B70">
        <v>2022</v>
      </c>
      <c r="C70" t="s">
        <v>49</v>
      </c>
      <c r="D70" s="2">
        <v>93</v>
      </c>
      <c r="E70" s="8">
        <f t="shared" si="9"/>
        <v>-5.3763440860215055E-2</v>
      </c>
      <c r="F70" s="8">
        <f t="shared" si="10"/>
        <v>-5.3763440860215055E-2</v>
      </c>
      <c r="G70" t="e">
        <f t="shared" si="8"/>
        <v>#N/A</v>
      </c>
      <c r="H70" s="22">
        <v>44835</v>
      </c>
      <c r="I70" cm="1">
        <f t="array" ref="I70">IFERROR(
  INDEX(All_India_Index_Upto_April23__1___1[Fuel and light],
    MATCH(1,
      (All_India_Index_Upto_April23__1___1[Date]=$A70)*
      (All_India_Index_Upto_April23__1___1[Sector]="Rural+Urban"),
    0)
  ),
"")</f>
        <v>180.5</v>
      </c>
      <c r="J70" cm="1">
        <f t="array" ref="J70">IFERROR(
  INDEX(All_India_Index_Upto_April23__1___1[Fuel and light],
    MATCH(1,
      (All_India_Index_Upto_April23__1___1[Date]=EDATE($A70,-1))*
      (All_India_Index_Upto_April23__1___1[Sector]="Rural+Urban"),
    0)
  ),
"")</f>
        <v>179.5</v>
      </c>
      <c r="K70" s="8">
        <f t="shared" si="11"/>
        <v>5.5710306406685237E-3</v>
      </c>
      <c r="L70" cm="1">
        <f t="array" ref="L70">IFERROR(
  INDEX(All_India_Index_Upto_April23__1___1[Transport and communication],
    MATCH(1,
      (All_India_Index_Upto_April23__1___1[Date]=$A70)*
      (All_India_Index_Upto_April23__1___1[Sector]="Rural+Urban"),
    0)
  ),
"")</f>
        <v>162.9</v>
      </c>
      <c r="M70" cm="1">
        <f t="array" ref="M70">IFERROR(
  INDEX(All_India_Index_Upto_April23__1___1[Transport and communication],
    MATCH(1,
      (All_India_Index_Upto_April23__1___1[Date]=EDATE($A70,-1))*
      (All_India_Index_Upto_April23__1___1[Sector]="Rural+Urban"),
    0)
  ),
"")</f>
        <v>162.30000000000001</v>
      </c>
      <c r="N70" s="8">
        <f t="shared" si="12"/>
        <v>3.6968576709796321E-3</v>
      </c>
      <c r="O70" s="2" cm="1">
        <f t="array" ref="O70">IFERROR(
  AVERAGE(
    INDEX(All_India_Index_Upto_April23__1___1[Cereals and products],
      MATCH(1,(All_India_Index_Upto_April23__1___1[Date]=$A70)*
              (All_India_Index_Upto_April23__1___1[Sector]="Rural+Urban"),0)),
    INDEX(All_India_Index_Upto_April23__1___1[Meat and fish],
      MATCH(1,(All_India_Index_Upto_April23__1___1[Date]=$A70)*
              (All_India_Index_Upto_April23__1___1[Sector]="Rural+Urban"),0)),
    INDEX(All_India_Index_Upto_April23__1___1[Egg],
      MATCH(1,(All_India_Index_Upto_April23__1___1[Date]=$A70)*
              (All_India_Index_Upto_April23__1___1[Sector]="Rural+Urban"),0)),
    INDEX(All_India_Index_Upto_April23__1___1[Milk and products],
      MATCH(1,(All_India_Index_Upto_April23__1___1[Date]=$A70)*
              (All_India_Index_Upto_April23__1___1[Sector]="Rural+Urban"),0)),
    INDEX(All_India_Index_Upto_April23__1___1[Oils and fats],
      MATCH(1,(All_India_Index_Upto_April23__1___1[Date]=$A70)*
              (All_India_Index_Upto_April23__1___1[Sector]="Rural+Urban"),0)),
    INDEX(All_India_Index_Upto_April23__1___1[Fruits],
      MATCH(1,(All_India_Index_Upto_April23__1___1[Date]=$A70)*
              (All_India_Index_Upto_April23__1___1[Sector]="Rural+Urban"),0)),
    INDEX(All_India_Index_Upto_April23__1___1[Vegetables],
      MATCH(1,(All_India_Index_Upto_April23__1___1[Date]=$A70)*
              (All_India_Index_Upto_April23__1___1[Sector]="Rural+Urban"),0)),
    INDEX(All_India_Index_Upto_April23__1___1[Pulses and products],
      MATCH(1,(All_India_Index_Upto_April23__1___1[Date]=$A70)*
              (All_India_Index_Upto_April23__1___1[Sector]="Rural+Urban"),0)),
    INDEX(All_India_Index_Upto_April23__1___1[Sugar and Confectionery],
      MATCH(1,(All_India_Index_Upto_April23__1___1[Date]=$A70)*
              (All_India_Index_Upto_April23__1___1[Sector]="Rural+Urban"),0)),
    INDEX(All_India_Index_Upto_April23__1___1[Spices],
      MATCH(1,(All_India_Index_Upto_April23__1___1[Date]=$A70)*
              (All_India_Index_Upto_April23__1___1[Sector]="Rural+Urban"),0)),
    INDEX(All_India_Index_Upto_April23__1___1[Non-alcoholic beverages],
      MATCH(1,(All_India_Index_Upto_April23__1___1[Date]=$A70)*
              (All_India_Index_Upto_April23__1___1[Sector]="Rural+Urban"),0)),
    INDEX(All_India_Index_Upto_April23__1___1[Prepared meals, snacks, sweets etc.],
      MATCH(1,(All_India_Index_Upto_April23__1___1[Date]=$A70)*
              (All_India_Index_Upto_April23__1___1[Sector]="Rural+Urban"),0))
  ),
"")</f>
        <v>176.47500000000002</v>
      </c>
      <c r="P70" s="2" cm="1">
        <f t="array" ref="P70">IFERROR(
  AVERAGE(
    INDEX(All_India_Index_Upto_April23__1___1[Cereals and products],
      MATCH(1,(All_India_Index_Upto_April23__1___1[Date]=EDATE($A70,-12))*
              (All_India_Index_Upto_April23__1___1[Sector]="Rural+Urban"),0)),
    INDEX(All_India_Index_Upto_April23__1___1[Meat and fish],
      MATCH(1,(All_India_Index_Upto_April23__1___1[Date]=EDATE($A70,-12))*
              (All_India_Index_Upto_April23__1___1[Sector]="Rural+Urban"),0)),
    INDEX(All_India_Index_Upto_April23__1___1[Egg],
      MATCH(1,(All_India_Index_Upto_April23__1___1[Date]=EDATE($A70,-12))*
              (All_India_Index_Upto_April23__1___1[Sector]="Rural+Urban"),0)),
    INDEX(All_India_Index_Upto_April23__1___1[Milk and products],
      MATCH(1,(All_India_Index_Upto_April23__1___1[Date]=EDATE($A70,-12))*
              (All_India_Index_Upto_April23__1___1[Sector]="Rural+Urban"),0)),
    INDEX(All_India_Index_Upto_April23__1___1[Oils and fats],
      MATCH(1,(All_India_Index_Upto_April23__1___1[Date]=EDATE($A70,-12))*
              (All_India_Index_Upto_April23__1___1[Sector]="Rural+Urban"),0)),
    INDEX(All_India_Index_Upto_April23__1___1[Fruits],
      MATCH(1,(All_India_Index_Upto_April23__1___1[Date]=EDATE($A70,-12))*
              (All_India_Index_Upto_April23__1___1[Sector]="Rural+Urban"),0)),
    INDEX(All_India_Index_Upto_April23__1___1[Vegetables],
      MATCH(1,(All_India_Index_Upto_April23__1___1[Date]=EDATE($A70,-12))*
              (All_India_Index_Upto_April23__1___1[Sector]="Rural+Urban"),0)),
    INDEX(All_India_Index_Upto_April23__1___1[Pulses and products],
      MATCH(1,(All_India_Index_Upto_April23__1___1[Date]=EDATE($A70,-12))*
              (All_India_Index_Upto_April23__1___1[Sector]="Rural+Urban"),0)),
    INDEX(All_India_Index_Upto_April23__1___1[Sugar and Confectionery],
      MATCH(1,(All_India_Index_Upto_April23__1___1[Date]=EDATE($A70,-12))*
              (All_India_Index_Upto_April23__1___1[Sector]="Rural+Urban"),0)),
    INDEX(All_India_Index_Upto_April23__1___1[Spices],
      MATCH(1,(All_India_Index_Upto_April23__1___1[Date]=EDATE($A70,-12))*
              (All_India_Index_Upto_April23__1___1[Sector]="Rural+Urban"),0)),
    INDEX(All_India_Index_Upto_April23__1___1[Non-alcoholic beverages],
      MATCH(1,(All_India_Index_Upto_April23__1___1[Date]=EDATE($A70,-12))*
              (All_India_Index_Upto_April23__1___1[Sector]="Rural+Urban"),0)),
    INDEX(All_India_Index_Upto_April23__1___1[Prepared meals, snacks, sweets etc.],
      MATCH(1,(All_India_Index_Upto_April23__1___1[Date]=EDATE($A70,-12))*
              (All_India_Index_Upto_April23__1___1[Sector]="Rural+Urban"),0))
  ),
"")</f>
        <v>167.31666666666669</v>
      </c>
      <c r="Q70" s="8">
        <f t="shared" si="13"/>
        <v>5.4736527542583902E-2</v>
      </c>
      <c r="R70" cm="1">
        <f t="array" ref="R70">IFERROR(
  INDEX(All_India_Index_Upto_April23__1___1[General index],
    MATCH(1,
      (All_India_Index_Upto_April23__1___1[Date]=$A70)*
      (All_India_Index_Upto_April23__1___1[Sector]="Rural+Urban"),
    0)
  ),
"")</f>
        <v>176.7</v>
      </c>
      <c r="S70" cm="1">
        <f t="array" ref="S70">IFERROR(
  INDEX(All_India_Index_Upto_April23__1___1[General index],
    MATCH(1,
      (All_India_Index_Upto_April23__1___1[Date]=EDATE($A70,-1))*
      (All_India_Index_Upto_April23__1___1[Sector]="Rural+Urban"),
    0)
  ),
"")</f>
        <v>175.3</v>
      </c>
      <c r="T70" s="8">
        <f t="shared" si="14"/>
        <v>7.9863091842554308E-3</v>
      </c>
    </row>
    <row r="71" spans="1:20" x14ac:dyDescent="0.2">
      <c r="A71" s="22">
        <v>44866</v>
      </c>
      <c r="B71">
        <v>2022</v>
      </c>
      <c r="C71" t="s">
        <v>51</v>
      </c>
      <c r="D71" s="2">
        <v>88</v>
      </c>
      <c r="E71" s="8">
        <f t="shared" si="9"/>
        <v>-6.8181818181818177E-2</v>
      </c>
      <c r="F71" s="8">
        <f t="shared" si="10"/>
        <v>-6.8181818181818177E-2</v>
      </c>
      <c r="G71" t="e">
        <f t="shared" si="8"/>
        <v>#N/A</v>
      </c>
      <c r="H71" s="22">
        <v>44866</v>
      </c>
      <c r="I71" cm="1">
        <f t="array" ref="I71">IFERROR(
  INDEX(All_India_Index_Upto_April23__1___1[Fuel and light],
    MATCH(1,
      (All_India_Index_Upto_April23__1___1[Date]=$A71)*
      (All_India_Index_Upto_April23__1___1[Sector]="Rural+Urban"),
    0)
  ),
"")</f>
        <v>181.3</v>
      </c>
      <c r="J71" cm="1">
        <f t="array" ref="J71">IFERROR(
  INDEX(All_India_Index_Upto_April23__1___1[Fuel and light],
    MATCH(1,
      (All_India_Index_Upto_April23__1___1[Date]=EDATE($A71,-1))*
      (All_India_Index_Upto_April23__1___1[Sector]="Rural+Urban"),
    0)
  ),
"")</f>
        <v>180.5</v>
      </c>
      <c r="K71" s="8">
        <f t="shared" si="11"/>
        <v>4.4321329639889825E-3</v>
      </c>
      <c r="L71" cm="1">
        <f t="array" ref="L71">IFERROR(
  INDEX(All_India_Index_Upto_April23__1___1[Transport and communication],
    MATCH(1,
      (All_India_Index_Upto_April23__1___1[Date]=$A71)*
      (All_India_Index_Upto_April23__1___1[Sector]="Rural+Urban"),
    0)
  ),
"")</f>
        <v>163</v>
      </c>
      <c r="M71" cm="1">
        <f t="array" ref="M71">IFERROR(
  INDEX(All_India_Index_Upto_April23__1___1[Transport and communication],
    MATCH(1,
      (All_India_Index_Upto_April23__1___1[Date]=EDATE($A71,-1))*
      (All_India_Index_Upto_April23__1___1[Sector]="Rural+Urban"),
    0)
  ),
"")</f>
        <v>162.9</v>
      </c>
      <c r="N71" s="8">
        <f t="shared" si="12"/>
        <v>6.1387354205030267E-4</v>
      </c>
      <c r="O71" s="2" cm="1">
        <f t="array" ref="O71">IFERROR(
  AVERAGE(
    INDEX(All_India_Index_Upto_April23__1___1[Cereals and products],
      MATCH(1,(All_India_Index_Upto_April23__1___1[Date]=$A71)*
              (All_India_Index_Upto_April23__1___1[Sector]="Rural+Urban"),0)),
    INDEX(All_India_Index_Upto_April23__1___1[Meat and fish],
      MATCH(1,(All_India_Index_Upto_April23__1___1[Date]=$A71)*
              (All_India_Index_Upto_April23__1___1[Sector]="Rural+Urban"),0)),
    INDEX(All_India_Index_Upto_April23__1___1[Egg],
      MATCH(1,(All_India_Index_Upto_April23__1___1[Date]=$A71)*
              (All_India_Index_Upto_April23__1___1[Sector]="Rural+Urban"),0)),
    INDEX(All_India_Index_Upto_April23__1___1[Milk and products],
      MATCH(1,(All_India_Index_Upto_April23__1___1[Date]=$A71)*
              (All_India_Index_Upto_April23__1___1[Sector]="Rural+Urban"),0)),
    INDEX(All_India_Index_Upto_April23__1___1[Oils and fats],
      MATCH(1,(All_India_Index_Upto_April23__1___1[Date]=$A71)*
              (All_India_Index_Upto_April23__1___1[Sector]="Rural+Urban"),0)),
    INDEX(All_India_Index_Upto_April23__1___1[Fruits],
      MATCH(1,(All_India_Index_Upto_April23__1___1[Date]=$A71)*
              (All_India_Index_Upto_April23__1___1[Sector]="Rural+Urban"),0)),
    INDEX(All_India_Index_Upto_April23__1___1[Vegetables],
      MATCH(1,(All_India_Index_Upto_April23__1___1[Date]=$A71)*
              (All_India_Index_Upto_April23__1___1[Sector]="Rural+Urban"),0)),
    INDEX(All_India_Index_Upto_April23__1___1[Pulses and products],
      MATCH(1,(All_India_Index_Upto_April23__1___1[Date]=$A71)*
              (All_India_Index_Upto_April23__1___1[Sector]="Rural+Urban"),0)),
    INDEX(All_India_Index_Upto_April23__1___1[Sugar and Confectionery],
      MATCH(1,(All_India_Index_Upto_April23__1___1[Date]=$A71)*
              (All_India_Index_Upto_April23__1___1[Sector]="Rural+Urban"),0)),
    INDEX(All_India_Index_Upto_April23__1___1[Spices],
      MATCH(1,(All_India_Index_Upto_April23__1___1[Date]=$A71)*
              (All_India_Index_Upto_April23__1___1[Sector]="Rural+Urban"),0)),
    INDEX(All_India_Index_Upto_April23__1___1[Non-alcoholic beverages],
      MATCH(1,(All_India_Index_Upto_April23__1___1[Date]=$A71)*
              (All_India_Index_Upto_April23__1___1[Sector]="Rural+Urban"),0)),
    INDEX(All_India_Index_Upto_April23__1___1[Prepared meals, snacks, sweets etc.],
      MATCH(1,(All_India_Index_Upto_April23__1___1[Date]=$A71)*
              (All_India_Index_Upto_April23__1___1[Sector]="Rural+Urban"),0))
  ),
"")</f>
        <v>176.54166666666666</v>
      </c>
      <c r="P71" s="2" cm="1">
        <f t="array" ref="P71">IFERROR(
  AVERAGE(
    INDEX(All_India_Index_Upto_April23__1___1[Cereals and products],
      MATCH(1,(All_India_Index_Upto_April23__1___1[Date]=EDATE($A71,-12))*
              (All_India_Index_Upto_April23__1___1[Sector]="Rural+Urban"),0)),
    INDEX(All_India_Index_Upto_April23__1___1[Meat and fish],
      MATCH(1,(All_India_Index_Upto_April23__1___1[Date]=EDATE($A71,-12))*
              (All_India_Index_Upto_April23__1___1[Sector]="Rural+Urban"),0)),
    INDEX(All_India_Index_Upto_April23__1___1[Egg],
      MATCH(1,(All_India_Index_Upto_April23__1___1[Date]=EDATE($A71,-12))*
              (All_India_Index_Upto_April23__1___1[Sector]="Rural+Urban"),0)),
    INDEX(All_India_Index_Upto_April23__1___1[Milk and products],
      MATCH(1,(All_India_Index_Upto_April23__1___1[Date]=EDATE($A71,-12))*
              (All_India_Index_Upto_April23__1___1[Sector]="Rural+Urban"),0)),
    INDEX(All_India_Index_Upto_April23__1___1[Oils and fats],
      MATCH(1,(All_India_Index_Upto_April23__1___1[Date]=EDATE($A71,-12))*
              (All_India_Index_Upto_April23__1___1[Sector]="Rural+Urban"),0)),
    INDEX(All_India_Index_Upto_April23__1___1[Fruits],
      MATCH(1,(All_India_Index_Upto_April23__1___1[Date]=EDATE($A71,-12))*
              (All_India_Index_Upto_April23__1___1[Sector]="Rural+Urban"),0)),
    INDEX(All_India_Index_Upto_April23__1___1[Vegetables],
      MATCH(1,(All_India_Index_Upto_April23__1___1[Date]=EDATE($A71,-12))*
              (All_India_Index_Upto_April23__1___1[Sector]="Rural+Urban"),0)),
    INDEX(All_India_Index_Upto_April23__1___1[Pulses and products],
      MATCH(1,(All_India_Index_Upto_April23__1___1[Date]=EDATE($A71,-12))*
              (All_India_Index_Upto_April23__1___1[Sector]="Rural+Urban"),0)),
    INDEX(All_India_Index_Upto_April23__1___1[Sugar and Confectionery],
      MATCH(1,(All_India_Index_Upto_April23__1___1[Date]=EDATE($A71,-12))*
              (All_India_Index_Upto_April23__1___1[Sector]="Rural+Urban"),0)),
    INDEX(All_India_Index_Upto_April23__1___1[Spices],
      MATCH(1,(All_India_Index_Upto_April23__1___1[Date]=EDATE($A71,-12))*
              (All_India_Index_Upto_April23__1___1[Sector]="Rural+Urban"),0)),
    INDEX(All_India_Index_Upto_April23__1___1[Non-alcoholic beverages],
      MATCH(1,(All_India_Index_Upto_April23__1___1[Date]=EDATE($A71,-12))*
              (All_India_Index_Upto_April23__1___1[Sector]="Rural+Urban"),0)),
    INDEX(All_India_Index_Upto_April23__1___1[Prepared meals, snacks, sweets etc.],
      MATCH(1,(All_India_Index_Upto_April23__1___1[Date]=EDATE($A71,-12))*
              (All_India_Index_Upto_April23__1___1[Sector]="Rural+Urban"),0))
  ),
"")</f>
        <v>168.7</v>
      </c>
      <c r="Q71" s="8">
        <f t="shared" si="13"/>
        <v>4.6482908516103552E-2</v>
      </c>
      <c r="R71" cm="1">
        <f t="array" ref="R71">IFERROR(
  INDEX(All_India_Index_Upto_April23__1___1[General index],
    MATCH(1,
      (All_India_Index_Upto_April23__1___1[Date]=$A71)*
      (All_India_Index_Upto_April23__1___1[Sector]="Rural+Urban"),
    0)
  ),
"")</f>
        <v>176.5</v>
      </c>
      <c r="S71" cm="1">
        <f t="array" ref="S71">IFERROR(
  INDEX(All_India_Index_Upto_April23__1___1[General index],
    MATCH(1,
      (All_India_Index_Upto_April23__1___1[Date]=EDATE($A71,-1))*
      (All_India_Index_Upto_April23__1___1[Sector]="Rural+Urban"),
    0)
  ),
"")</f>
        <v>176.7</v>
      </c>
      <c r="T71" s="8">
        <f t="shared" si="14"/>
        <v>-1.1318619128465684E-3</v>
      </c>
    </row>
    <row r="72" spans="1:20" x14ac:dyDescent="0.2">
      <c r="A72" s="22">
        <v>44896</v>
      </c>
      <c r="B72">
        <v>2022</v>
      </c>
      <c r="C72" t="s">
        <v>53</v>
      </c>
      <c r="D72" s="2">
        <v>82</v>
      </c>
      <c r="E72" s="8">
        <f t="shared" si="9"/>
        <v>3.6585365853658534E-2</v>
      </c>
      <c r="F72" s="8">
        <f t="shared" si="10"/>
        <v>3.6585365853658534E-2</v>
      </c>
      <c r="G72" t="e">
        <f t="shared" si="8"/>
        <v>#N/A</v>
      </c>
      <c r="H72" s="22">
        <v>44896</v>
      </c>
      <c r="I72" cm="1">
        <f t="array" ref="I72">IFERROR(
  INDEX(All_India_Index_Upto_April23__1___1[Fuel and light],
    MATCH(1,
      (All_India_Index_Upto_April23__1___1[Date]=$A72)*
      (All_India_Index_Upto_April23__1___1[Sector]="Rural+Urban"),
    0)
  ),
"")</f>
        <v>182</v>
      </c>
      <c r="J72" cm="1">
        <f t="array" ref="J72">IFERROR(
  INDEX(All_India_Index_Upto_April23__1___1[Fuel and light],
    MATCH(1,
      (All_India_Index_Upto_April23__1___1[Date]=EDATE($A72,-1))*
      (All_India_Index_Upto_April23__1___1[Sector]="Rural+Urban"),
    0)
  ),
"")</f>
        <v>181.3</v>
      </c>
      <c r="K72" s="8">
        <f t="shared" si="11"/>
        <v>3.8610038610037982E-3</v>
      </c>
      <c r="L72" cm="1">
        <f t="array" ref="L72">IFERROR(
  INDEX(All_India_Index_Upto_April23__1___1[Transport and communication],
    MATCH(1,
      (All_India_Index_Upto_April23__1___1[Date]=$A72)*
      (All_India_Index_Upto_April23__1___1[Sector]="Rural+Urban"),
    0)
  ),
"")</f>
        <v>163.4</v>
      </c>
      <c r="M72" cm="1">
        <f t="array" ref="M72">IFERROR(
  INDEX(All_India_Index_Upto_April23__1___1[Transport and communication],
    MATCH(1,
      (All_India_Index_Upto_April23__1___1[Date]=EDATE($A72,-1))*
      (All_India_Index_Upto_April23__1___1[Sector]="Rural+Urban"),
    0)
  ),
"")</f>
        <v>163</v>
      </c>
      <c r="N72" s="8">
        <f t="shared" si="12"/>
        <v>2.4539877300613845E-3</v>
      </c>
      <c r="O72" s="2" cm="1">
        <f t="array" ref="O72">IFERROR(
  AVERAGE(
    INDEX(All_India_Index_Upto_April23__1___1[Cereals and products],
      MATCH(1,(All_India_Index_Upto_April23__1___1[Date]=$A72)*
              (All_India_Index_Upto_April23__1___1[Sector]="Rural+Urban"),0)),
    INDEX(All_India_Index_Upto_April23__1___1[Meat and fish],
      MATCH(1,(All_India_Index_Upto_April23__1___1[Date]=$A72)*
              (All_India_Index_Upto_April23__1___1[Sector]="Rural+Urban"),0)),
    INDEX(All_India_Index_Upto_April23__1___1[Egg],
      MATCH(1,(All_India_Index_Upto_April23__1___1[Date]=$A72)*
              (All_India_Index_Upto_April23__1___1[Sector]="Rural+Urban"),0)),
    INDEX(All_India_Index_Upto_April23__1___1[Milk and products],
      MATCH(1,(All_India_Index_Upto_April23__1___1[Date]=$A72)*
              (All_India_Index_Upto_April23__1___1[Sector]="Rural+Urban"),0)),
    INDEX(All_India_Index_Upto_April23__1___1[Oils and fats],
      MATCH(1,(All_India_Index_Upto_April23__1___1[Date]=$A72)*
              (All_India_Index_Upto_April23__1___1[Sector]="Rural+Urban"),0)),
    INDEX(All_India_Index_Upto_April23__1___1[Fruits],
      MATCH(1,(All_India_Index_Upto_April23__1___1[Date]=$A72)*
              (All_India_Index_Upto_April23__1___1[Sector]="Rural+Urban"),0)),
    INDEX(All_India_Index_Upto_April23__1___1[Vegetables],
      MATCH(1,(All_India_Index_Upto_April23__1___1[Date]=$A72)*
              (All_India_Index_Upto_April23__1___1[Sector]="Rural+Urban"),0)),
    INDEX(All_India_Index_Upto_April23__1___1[Pulses and products],
      MATCH(1,(All_India_Index_Upto_April23__1___1[Date]=$A72)*
              (All_India_Index_Upto_April23__1___1[Sector]="Rural+Urban"),0)),
    INDEX(All_India_Index_Upto_April23__1___1[Sugar and Confectionery],
      MATCH(1,(All_India_Index_Upto_April23__1___1[Date]=$A72)*
              (All_India_Index_Upto_April23__1___1[Sector]="Rural+Urban"),0)),
    INDEX(All_India_Index_Upto_April23__1___1[Spices],
      MATCH(1,(All_India_Index_Upto_April23__1___1[Date]=$A72)*
              (All_India_Index_Upto_April23__1___1[Sector]="Rural+Urban"),0)),
    INDEX(All_India_Index_Upto_April23__1___1[Non-alcoholic beverages],
      MATCH(1,(All_India_Index_Upto_April23__1___1[Date]=$A72)*
              (All_India_Index_Upto_April23__1___1[Sector]="Rural+Urban"),0)),
    INDEX(All_India_Index_Upto_April23__1___1[Prepared meals, snacks, sweets etc.],
      MATCH(1,(All_India_Index_Upto_April23__1___1[Date]=$A72)*
              (All_India_Index_Upto_April23__1___1[Sector]="Rural+Urban"),0))
  ),
"")</f>
        <v>175.625</v>
      </c>
      <c r="P72" s="2" cm="1">
        <f t="array" ref="P72">IFERROR(
  AVERAGE(
    INDEX(All_India_Index_Upto_April23__1___1[Cereals and products],
      MATCH(1,(All_India_Index_Upto_April23__1___1[Date]=EDATE($A72,-12))*
              (All_India_Index_Upto_April23__1___1[Sector]="Rural+Urban"),0)),
    INDEX(All_India_Index_Upto_April23__1___1[Meat and fish],
      MATCH(1,(All_India_Index_Upto_April23__1___1[Date]=EDATE($A72,-12))*
              (All_India_Index_Upto_April23__1___1[Sector]="Rural+Urban"),0)),
    INDEX(All_India_Index_Upto_April23__1___1[Egg],
      MATCH(1,(All_India_Index_Upto_April23__1___1[Date]=EDATE($A72,-12))*
              (All_India_Index_Upto_April23__1___1[Sector]="Rural+Urban"),0)),
    INDEX(All_India_Index_Upto_April23__1___1[Milk and products],
      MATCH(1,(All_India_Index_Upto_April23__1___1[Date]=EDATE($A72,-12))*
              (All_India_Index_Upto_April23__1___1[Sector]="Rural+Urban"),0)),
    INDEX(All_India_Index_Upto_April23__1___1[Oils and fats],
      MATCH(1,(All_India_Index_Upto_April23__1___1[Date]=EDATE($A72,-12))*
              (All_India_Index_Upto_April23__1___1[Sector]="Rural+Urban"),0)),
    INDEX(All_India_Index_Upto_April23__1___1[Fruits],
      MATCH(1,(All_India_Index_Upto_April23__1___1[Date]=EDATE($A72,-12))*
              (All_India_Index_Upto_April23__1___1[Sector]="Rural+Urban"),0)),
    INDEX(All_India_Index_Upto_April23__1___1[Vegetables],
      MATCH(1,(All_India_Index_Upto_April23__1___1[Date]=EDATE($A72,-12))*
              (All_India_Index_Upto_April23__1___1[Sector]="Rural+Urban"),0)),
    INDEX(All_India_Index_Upto_April23__1___1[Pulses and products],
      MATCH(1,(All_India_Index_Upto_April23__1___1[Date]=EDATE($A72,-12))*
              (All_India_Index_Upto_April23__1___1[Sector]="Rural+Urban"),0)),
    INDEX(All_India_Index_Upto_April23__1___1[Sugar and Confectionery],
      MATCH(1,(All_India_Index_Upto_April23__1___1[Date]=EDATE($A72,-12))*
              (All_India_Index_Upto_April23__1___1[Sector]="Rural+Urban"),0)),
    INDEX(All_India_Index_Upto_April23__1___1[Spices],
      MATCH(1,(All_India_Index_Upto_April23__1___1[Date]=EDATE($A72,-12))*
              (All_India_Index_Upto_April23__1___1[Sector]="Rural+Urban"),0)),
    INDEX(All_India_Index_Upto_April23__1___1[Non-alcoholic beverages],
      MATCH(1,(All_India_Index_Upto_April23__1___1[Date]=EDATE($A72,-12))*
              (All_India_Index_Upto_April23__1___1[Sector]="Rural+Urban"),0)),
    INDEX(All_India_Index_Upto_April23__1___1[Prepared meals, snacks, sweets etc.],
      MATCH(1,(All_India_Index_Upto_April23__1___1[Date]=EDATE($A72,-12))*
              (All_India_Index_Upto_April23__1___1[Sector]="Rural+Urban"),0))
  ),
"")</f>
        <v>167.72499999999999</v>
      </c>
      <c r="Q72" s="8">
        <f t="shared" si="13"/>
        <v>4.7100909226412316E-2</v>
      </c>
      <c r="R72" cm="1">
        <f t="array" ref="R72">IFERROR(
  INDEX(All_India_Index_Upto_April23__1___1[General index],
    MATCH(1,
      (All_India_Index_Upto_April23__1___1[Date]=$A72)*
      (All_India_Index_Upto_April23__1___1[Sector]="Rural+Urban"),
    0)
  ),
"")</f>
        <v>175.7</v>
      </c>
      <c r="S72" cm="1">
        <f t="array" ref="S72">IFERROR(
  INDEX(All_India_Index_Upto_April23__1___1[General index],
    MATCH(1,
      (All_India_Index_Upto_April23__1___1[Date]=EDATE($A72,-1))*
      (All_India_Index_Upto_April23__1___1[Sector]="Rural+Urban"),
    0)
  ),
"")</f>
        <v>176.5</v>
      </c>
      <c r="T72" s="8">
        <f t="shared" si="14"/>
        <v>-4.5325779036827843E-3</v>
      </c>
    </row>
    <row r="73" spans="1:20" x14ac:dyDescent="0.2">
      <c r="A73" s="22">
        <v>44927</v>
      </c>
      <c r="B73">
        <v>2023</v>
      </c>
      <c r="C73" t="s">
        <v>31</v>
      </c>
      <c r="D73" s="2">
        <v>85</v>
      </c>
      <c r="E73" s="8">
        <f t="shared" si="9"/>
        <v>-2.3529411764705882E-2</v>
      </c>
      <c r="F73" s="8">
        <f t="shared" si="10"/>
        <v>-2.3529411764705882E-2</v>
      </c>
      <c r="G73" t="e">
        <f t="shared" si="8"/>
        <v>#N/A</v>
      </c>
      <c r="H73" s="22">
        <v>44927</v>
      </c>
      <c r="I73" cm="1">
        <f t="array" ref="I73">IFERROR(
  INDEX(All_India_Index_Upto_April23__1___1[Fuel and light],
    MATCH(1,
      (All_India_Index_Upto_April23__1___1[Date]=$A73)*
      (All_India_Index_Upto_April23__1___1[Sector]="Rural+Urban"),
    0)
  ),
"")</f>
        <v>182</v>
      </c>
      <c r="J73" cm="1">
        <f t="array" ref="J73">IFERROR(
  INDEX(All_India_Index_Upto_April23__1___1[Fuel and light],
    MATCH(1,
      (All_India_Index_Upto_April23__1___1[Date]=EDATE($A73,-1))*
      (All_India_Index_Upto_April23__1___1[Sector]="Rural+Urban"),
    0)
  ),
"")</f>
        <v>182</v>
      </c>
      <c r="K73" s="8">
        <f t="shared" si="11"/>
        <v>0</v>
      </c>
      <c r="L73" cm="1">
        <f t="array" ref="L73">IFERROR(
  INDEX(All_India_Index_Upto_April23__1___1[Transport and communication],
    MATCH(1,
      (All_India_Index_Upto_April23__1___1[Date]=$A73)*
      (All_India_Index_Upto_April23__1___1[Sector]="Rural+Urban"),
    0)
  ),
"")</f>
        <v>163.6</v>
      </c>
      <c r="M73" cm="1">
        <f t="array" ref="M73">IFERROR(
  INDEX(All_India_Index_Upto_April23__1___1[Transport and communication],
    MATCH(1,
      (All_India_Index_Upto_April23__1___1[Date]=EDATE($A73,-1))*
      (All_India_Index_Upto_April23__1___1[Sector]="Rural+Urban"),
    0)
  ),
"")</f>
        <v>163.4</v>
      </c>
      <c r="N73" s="8">
        <f t="shared" si="12"/>
        <v>1.2239902080782657E-3</v>
      </c>
      <c r="O73" s="2" cm="1">
        <f t="array" ref="O73">IFERROR(
  AVERAGE(
    INDEX(All_India_Index_Upto_April23__1___1[Cereals and products],
      MATCH(1,(All_India_Index_Upto_April23__1___1[Date]=$A73)*
              (All_India_Index_Upto_April23__1___1[Sector]="Rural+Urban"),0)),
    INDEX(All_India_Index_Upto_April23__1___1[Meat and fish],
      MATCH(1,(All_India_Index_Upto_April23__1___1[Date]=$A73)*
              (All_India_Index_Upto_April23__1___1[Sector]="Rural+Urban"),0)),
    INDEX(All_India_Index_Upto_April23__1___1[Egg],
      MATCH(1,(All_India_Index_Upto_April23__1___1[Date]=$A73)*
              (All_India_Index_Upto_April23__1___1[Sector]="Rural+Urban"),0)),
    INDEX(All_India_Index_Upto_April23__1___1[Milk and products],
      MATCH(1,(All_India_Index_Upto_April23__1___1[Date]=$A73)*
              (All_India_Index_Upto_April23__1___1[Sector]="Rural+Urban"),0)),
    INDEX(All_India_Index_Upto_April23__1___1[Oils and fats],
      MATCH(1,(All_India_Index_Upto_April23__1___1[Date]=$A73)*
              (All_India_Index_Upto_April23__1___1[Sector]="Rural+Urban"),0)),
    INDEX(All_India_Index_Upto_April23__1___1[Fruits],
      MATCH(1,(All_India_Index_Upto_April23__1___1[Date]=$A73)*
              (All_India_Index_Upto_April23__1___1[Sector]="Rural+Urban"),0)),
    INDEX(All_India_Index_Upto_April23__1___1[Vegetables],
      MATCH(1,(All_India_Index_Upto_April23__1___1[Date]=$A73)*
              (All_India_Index_Upto_April23__1___1[Sector]="Rural+Urban"),0)),
    INDEX(All_India_Index_Upto_April23__1___1[Pulses and products],
      MATCH(1,(All_India_Index_Upto_April23__1___1[Date]=$A73)*
              (All_India_Index_Upto_April23__1___1[Sector]="Rural+Urban"),0)),
    INDEX(All_India_Index_Upto_April23__1___1[Sugar and Confectionery],
      MATCH(1,(All_India_Index_Upto_April23__1___1[Date]=$A73)*
              (All_India_Index_Upto_April23__1___1[Sector]="Rural+Urban"),0)),
    INDEX(All_India_Index_Upto_April23__1___1[Spices],
      MATCH(1,(All_India_Index_Upto_April23__1___1[Date]=$A73)*
              (All_India_Index_Upto_April23__1___1[Sector]="Rural+Urban"),0)),
    INDEX(All_India_Index_Upto_April23__1___1[Non-alcoholic beverages],
      MATCH(1,(All_India_Index_Upto_April23__1___1[Date]=$A73)*
              (All_India_Index_Upto_April23__1___1[Sector]="Rural+Urban"),0)),
    INDEX(All_India_Index_Upto_April23__1___1[Prepared meals, snacks, sweets etc.],
      MATCH(1,(All_India_Index_Upto_April23__1___1[Date]=$A73)*
              (All_India_Index_Upto_April23__1___1[Sector]="Rural+Urban"),0))
  ),
"")</f>
        <v>176.33333333333334</v>
      </c>
      <c r="P73" s="2" cm="1">
        <f t="array" ref="P73">IFERROR(
  AVERAGE(
    INDEX(All_India_Index_Upto_April23__1___1[Cereals and products],
      MATCH(1,(All_India_Index_Upto_April23__1___1[Date]=EDATE($A73,-12))*
              (All_India_Index_Upto_April23__1___1[Sector]="Rural+Urban"),0)),
    INDEX(All_India_Index_Upto_April23__1___1[Meat and fish],
      MATCH(1,(All_India_Index_Upto_April23__1___1[Date]=EDATE($A73,-12))*
              (All_India_Index_Upto_April23__1___1[Sector]="Rural+Urban"),0)),
    INDEX(All_India_Index_Upto_April23__1___1[Egg],
      MATCH(1,(All_India_Index_Upto_April23__1___1[Date]=EDATE($A73,-12))*
              (All_India_Index_Upto_April23__1___1[Sector]="Rural+Urban"),0)),
    INDEX(All_India_Index_Upto_April23__1___1[Milk and products],
      MATCH(1,(All_India_Index_Upto_April23__1___1[Date]=EDATE($A73,-12))*
              (All_India_Index_Upto_April23__1___1[Sector]="Rural+Urban"),0)),
    INDEX(All_India_Index_Upto_April23__1___1[Oils and fats],
      MATCH(1,(All_India_Index_Upto_April23__1___1[Date]=EDATE($A73,-12))*
              (All_India_Index_Upto_April23__1___1[Sector]="Rural+Urban"),0)),
    INDEX(All_India_Index_Upto_April23__1___1[Fruits],
      MATCH(1,(All_India_Index_Upto_April23__1___1[Date]=EDATE($A73,-12))*
              (All_India_Index_Upto_April23__1___1[Sector]="Rural+Urban"),0)),
    INDEX(All_India_Index_Upto_April23__1___1[Vegetables],
      MATCH(1,(All_India_Index_Upto_April23__1___1[Date]=EDATE($A73,-12))*
              (All_India_Index_Upto_April23__1___1[Sector]="Rural+Urban"),0)),
    INDEX(All_India_Index_Upto_April23__1___1[Pulses and products],
      MATCH(1,(All_India_Index_Upto_April23__1___1[Date]=EDATE($A73,-12))*
              (All_India_Index_Upto_April23__1___1[Sector]="Rural+Urban"),0)),
    INDEX(All_India_Index_Upto_April23__1___1[Sugar and Confectionery],
      MATCH(1,(All_India_Index_Upto_April23__1___1[Date]=EDATE($A73,-12))*
              (All_India_Index_Upto_April23__1___1[Sector]="Rural+Urban"),0)),
    INDEX(All_India_Index_Upto_April23__1___1[Spices],
      MATCH(1,(All_India_Index_Upto_April23__1___1[Date]=EDATE($A73,-12))*
              (All_India_Index_Upto_April23__1___1[Sector]="Rural+Urban"),0)),
    INDEX(All_India_Index_Upto_April23__1___1[Non-alcoholic beverages],
      MATCH(1,(All_India_Index_Upto_April23__1___1[Date]=EDATE($A73,-12))*
              (All_India_Index_Upto_April23__1___1[Sector]="Rural+Urban"),0)),
    INDEX(All_India_Index_Upto_April23__1___1[Prepared meals, snacks, sweets etc.],
      MATCH(1,(All_India_Index_Upto_April23__1___1[Date]=EDATE($A73,-12))*
              (All_India_Index_Upto_April23__1___1[Sector]="Rural+Urban"),0))
  ),
"")</f>
        <v>166.48333333333332</v>
      </c>
      <c r="Q73" s="8">
        <f t="shared" si="13"/>
        <v>5.9165081589748862E-2</v>
      </c>
      <c r="R73" cm="1">
        <f t="array" ref="R73">IFERROR(
  INDEX(All_India_Index_Upto_April23__1___1[General index],
    MATCH(1,
      (All_India_Index_Upto_April23__1___1[Date]=$A73)*
      (All_India_Index_Upto_April23__1___1[Sector]="Rural+Urban"),
    0)
  ),
"")</f>
        <v>176.5</v>
      </c>
      <c r="S73" cm="1">
        <f t="array" ref="S73">IFERROR(
  INDEX(All_India_Index_Upto_April23__1___1[General index],
    MATCH(1,
      (All_India_Index_Upto_April23__1___1[Date]=EDATE($A73,-1))*
      (All_India_Index_Upto_April23__1___1[Sector]="Rural+Urban"),
    0)
  ),
"")</f>
        <v>175.7</v>
      </c>
      <c r="T73" s="8">
        <f t="shared" si="14"/>
        <v>4.5532157085942599E-3</v>
      </c>
    </row>
    <row r="74" spans="1:20" x14ac:dyDescent="0.2">
      <c r="A74" s="22">
        <v>44958</v>
      </c>
      <c r="B74">
        <v>2023</v>
      </c>
      <c r="C74" t="s">
        <v>35</v>
      </c>
      <c r="D74" s="2">
        <v>83</v>
      </c>
      <c r="E74" s="8">
        <f t="shared" si="9"/>
        <v>-4.8192771084337352E-2</v>
      </c>
      <c r="F74" s="8">
        <f t="shared" si="10"/>
        <v>-4.8192771084337352E-2</v>
      </c>
      <c r="G74" t="e">
        <f t="shared" si="8"/>
        <v>#N/A</v>
      </c>
      <c r="H74" s="22">
        <v>44958</v>
      </c>
      <c r="I74" cm="1">
        <f t="array" ref="I74">IFERROR(
  INDEX(All_India_Index_Upto_April23__1___1[Fuel and light],
    MATCH(1,
      (All_India_Index_Upto_April23__1___1[Date]=$A74)*
      (All_India_Index_Upto_April23__1___1[Sector]="Rural+Urban"),
    0)
  ),
"")</f>
        <v>182.1</v>
      </c>
      <c r="J74" cm="1">
        <f t="array" ref="J74">IFERROR(
  INDEX(All_India_Index_Upto_April23__1___1[Fuel and light],
    MATCH(1,
      (All_India_Index_Upto_April23__1___1[Date]=EDATE($A74,-1))*
      (All_India_Index_Upto_April23__1___1[Sector]="Rural+Urban"),
    0)
  ),
"")</f>
        <v>182</v>
      </c>
      <c r="K74" s="8">
        <f t="shared" si="11"/>
        <v>5.4945054945051823E-4</v>
      </c>
      <c r="L74" cm="1">
        <f t="array" ref="L74">IFERROR(
  INDEX(All_India_Index_Upto_April23__1___1[Transport and communication],
    MATCH(1,
      (All_India_Index_Upto_April23__1___1[Date]=$A74)*
      (All_India_Index_Upto_April23__1___1[Sector]="Rural+Urban"),
    0)
  ),
"")</f>
        <v>164.2</v>
      </c>
      <c r="M74" cm="1">
        <f t="array" ref="M74">IFERROR(
  INDEX(All_India_Index_Upto_April23__1___1[Transport and communication],
    MATCH(1,
      (All_India_Index_Upto_April23__1___1[Date]=EDATE($A74,-1))*
      (All_India_Index_Upto_April23__1___1[Sector]="Rural+Urban"),
    0)
  ),
"")</f>
        <v>163.6</v>
      </c>
      <c r="N74" s="8">
        <f t="shared" si="12"/>
        <v>3.6674816625916523E-3</v>
      </c>
      <c r="O74" s="2" cm="1">
        <f t="array" ref="O74">IFERROR(
  AVERAGE(
    INDEX(All_India_Index_Upto_April23__1___1[Cereals and products],
      MATCH(1,(All_India_Index_Upto_April23__1___1[Date]=$A74)*
              (All_India_Index_Upto_April23__1___1[Sector]="Rural+Urban"),0)),
    INDEX(All_India_Index_Upto_April23__1___1[Meat and fish],
      MATCH(1,(All_India_Index_Upto_April23__1___1[Date]=$A74)*
              (All_India_Index_Upto_April23__1___1[Sector]="Rural+Urban"),0)),
    INDEX(All_India_Index_Upto_April23__1___1[Egg],
      MATCH(1,(All_India_Index_Upto_April23__1___1[Date]=$A74)*
              (All_India_Index_Upto_April23__1___1[Sector]="Rural+Urban"),0)),
    INDEX(All_India_Index_Upto_April23__1___1[Milk and products],
      MATCH(1,(All_India_Index_Upto_April23__1___1[Date]=$A74)*
              (All_India_Index_Upto_April23__1___1[Sector]="Rural+Urban"),0)),
    INDEX(All_India_Index_Upto_April23__1___1[Oils and fats],
      MATCH(1,(All_India_Index_Upto_April23__1___1[Date]=$A74)*
              (All_India_Index_Upto_April23__1___1[Sector]="Rural+Urban"),0)),
    INDEX(All_India_Index_Upto_April23__1___1[Fruits],
      MATCH(1,(All_India_Index_Upto_April23__1___1[Date]=$A74)*
              (All_India_Index_Upto_April23__1___1[Sector]="Rural+Urban"),0)),
    INDEX(All_India_Index_Upto_April23__1___1[Vegetables],
      MATCH(1,(All_India_Index_Upto_April23__1___1[Date]=$A74)*
              (All_India_Index_Upto_April23__1___1[Sector]="Rural+Urban"),0)),
    INDEX(All_India_Index_Upto_April23__1___1[Pulses and products],
      MATCH(1,(All_India_Index_Upto_April23__1___1[Date]=$A74)*
              (All_India_Index_Upto_April23__1___1[Sector]="Rural+Urban"),0)),
    INDEX(All_India_Index_Upto_April23__1___1[Sugar and Confectionery],
      MATCH(1,(All_India_Index_Upto_April23__1___1[Date]=$A74)*
              (All_India_Index_Upto_April23__1___1[Sector]="Rural+Urban"),0)),
    INDEX(All_India_Index_Upto_April23__1___1[Spices],
      MATCH(1,(All_India_Index_Upto_April23__1___1[Date]=$A74)*
              (All_India_Index_Upto_April23__1___1[Sector]="Rural+Urban"),0)),
    INDEX(All_India_Index_Upto_April23__1___1[Non-alcoholic beverages],
      MATCH(1,(All_India_Index_Upto_April23__1___1[Date]=$A74)*
              (All_India_Index_Upto_April23__1___1[Sector]="Rural+Urban"),0)),
    INDEX(All_India_Index_Upto_April23__1___1[Prepared meals, snacks, sweets etc.],
      MATCH(1,(All_India_Index_Upto_April23__1___1[Date]=$A74)*
              (All_India_Index_Upto_April23__1___1[Sector]="Rural+Urban"),0))
  ),
"")</f>
        <v>175.17499999999998</v>
      </c>
      <c r="P74" s="2" cm="1">
        <f t="array" ref="P74">IFERROR(
  AVERAGE(
    INDEX(All_India_Index_Upto_April23__1___1[Cereals and products],
      MATCH(1,(All_India_Index_Upto_April23__1___1[Date]=EDATE($A74,-12))*
              (All_India_Index_Upto_April23__1___1[Sector]="Rural+Urban"),0)),
    INDEX(All_India_Index_Upto_April23__1___1[Meat and fish],
      MATCH(1,(All_India_Index_Upto_April23__1___1[Date]=EDATE($A74,-12))*
              (All_India_Index_Upto_April23__1___1[Sector]="Rural+Urban"),0)),
    INDEX(All_India_Index_Upto_April23__1___1[Egg],
      MATCH(1,(All_India_Index_Upto_April23__1___1[Date]=EDATE($A74,-12))*
              (All_India_Index_Upto_April23__1___1[Sector]="Rural+Urban"),0)),
    INDEX(All_India_Index_Upto_April23__1___1[Milk and products],
      MATCH(1,(All_India_Index_Upto_April23__1___1[Date]=EDATE($A74,-12))*
              (All_India_Index_Upto_April23__1___1[Sector]="Rural+Urban"),0)),
    INDEX(All_India_Index_Upto_April23__1___1[Oils and fats],
      MATCH(1,(All_India_Index_Upto_April23__1___1[Date]=EDATE($A74,-12))*
              (All_India_Index_Upto_April23__1___1[Sector]="Rural+Urban"),0)),
    INDEX(All_India_Index_Upto_April23__1___1[Fruits],
      MATCH(1,(All_India_Index_Upto_April23__1___1[Date]=EDATE($A74,-12))*
              (All_India_Index_Upto_April23__1___1[Sector]="Rural+Urban"),0)),
    INDEX(All_India_Index_Upto_April23__1___1[Vegetables],
      MATCH(1,(All_India_Index_Upto_April23__1___1[Date]=EDATE($A74,-12))*
              (All_India_Index_Upto_April23__1___1[Sector]="Rural+Urban"),0)),
    INDEX(All_India_Index_Upto_April23__1___1[Pulses and products],
      MATCH(1,(All_India_Index_Upto_April23__1___1[Date]=EDATE($A74,-12))*
              (All_India_Index_Upto_April23__1___1[Sector]="Rural+Urban"),0)),
    INDEX(All_India_Index_Upto_April23__1___1[Sugar and Confectionery],
      MATCH(1,(All_India_Index_Upto_April23__1___1[Date]=EDATE($A74,-12))*
              (All_India_Index_Upto_April23__1___1[Sector]="Rural+Urban"),0)),
    INDEX(All_India_Index_Upto_April23__1___1[Spices],
      MATCH(1,(All_India_Index_Upto_April23__1___1[Date]=EDATE($A74,-12))*
              (All_India_Index_Upto_April23__1___1[Sector]="Rural+Urban"),0)),
    INDEX(All_India_Index_Upto_April23__1___1[Non-alcoholic beverages],
      MATCH(1,(All_India_Index_Upto_April23__1___1[Date]=EDATE($A74,-12))*
              (All_India_Index_Upto_April23__1___1[Sector]="Rural+Urban"),0)),
    INDEX(All_India_Index_Upto_April23__1___1[Prepared meals, snacks, sweets etc.],
      MATCH(1,(All_India_Index_Upto_April23__1___1[Date]=EDATE($A74,-12))*
              (All_India_Index_Upto_April23__1___1[Sector]="Rural+Urban"),0))
  ),
"")</f>
        <v>166.25000000000003</v>
      </c>
      <c r="Q74" s="8">
        <f t="shared" si="13"/>
        <v>5.3684210526315508E-2</v>
      </c>
      <c r="R74" cm="1">
        <f t="array" ref="R74">IFERROR(
  INDEX(All_India_Index_Upto_April23__1___1[General index],
    MATCH(1,
      (All_India_Index_Upto_April23__1___1[Date]=$A74)*
      (All_India_Index_Upto_April23__1___1[Sector]="Rural+Urban"),
    0)
  ),
"")</f>
        <v>177.2</v>
      </c>
      <c r="S74" cm="1">
        <f t="array" ref="S74">IFERROR(
  INDEX(All_India_Index_Upto_April23__1___1[General index],
    MATCH(1,
      (All_India_Index_Upto_April23__1___1[Date]=EDATE($A74,-1))*
      (All_India_Index_Upto_April23__1___1[Sector]="Rural+Urban"),
    0)
  ),
"")</f>
        <v>176.5</v>
      </c>
      <c r="T74" s="8">
        <f t="shared" si="14"/>
        <v>3.9660056657223148E-3</v>
      </c>
    </row>
    <row r="75" spans="1:20" x14ac:dyDescent="0.2">
      <c r="A75" s="22">
        <v>44986</v>
      </c>
      <c r="B75">
        <v>2023</v>
      </c>
      <c r="C75" t="s">
        <v>37</v>
      </c>
      <c r="D75" s="2">
        <v>79</v>
      </c>
      <c r="E75" s="8">
        <f t="shared" si="9"/>
        <v>6.3291139240506333E-2</v>
      </c>
      <c r="F75" s="8">
        <f t="shared" si="10"/>
        <v>6.3291139240506333E-2</v>
      </c>
      <c r="G75" t="e">
        <f t="shared" si="8"/>
        <v>#N/A</v>
      </c>
      <c r="H75" s="22">
        <v>44986</v>
      </c>
      <c r="I75" cm="1">
        <f t="array" ref="I75">IFERROR(
  INDEX(All_India_Index_Upto_April23__1___1[Fuel and light],
    MATCH(1,
      (All_India_Index_Upto_April23__1___1[Date]=$A75)*
      (All_India_Index_Upto_April23__1___1[Sector]="Rural+Urban"),
    0)
  ),
"")</f>
        <v>181.9</v>
      </c>
      <c r="J75" cm="1">
        <f t="array" ref="J75">IFERROR(
  INDEX(All_India_Index_Upto_April23__1___1[Fuel and light],
    MATCH(1,
      (All_India_Index_Upto_April23__1___1[Date]=EDATE($A75,-1))*
      (All_India_Index_Upto_April23__1___1[Sector]="Rural+Urban"),
    0)
  ),
"")</f>
        <v>182.1</v>
      </c>
      <c r="K75" s="8">
        <f t="shared" si="11"/>
        <v>-1.0982976386600144E-3</v>
      </c>
      <c r="L75" cm="1">
        <f t="array" ref="L75">IFERROR(
  INDEX(All_India_Index_Upto_April23__1___1[Transport and communication],
    MATCH(1,
      (All_India_Index_Upto_April23__1___1[Date]=$A75)*
      (All_India_Index_Upto_April23__1___1[Sector]="Rural+Urban"),
    0)
  ),
"")</f>
        <v>164.2</v>
      </c>
      <c r="M75" cm="1">
        <f t="array" ref="M75">IFERROR(
  INDEX(All_India_Index_Upto_April23__1___1[Transport and communication],
    MATCH(1,
      (All_India_Index_Upto_April23__1___1[Date]=EDATE($A75,-1))*
      (All_India_Index_Upto_April23__1___1[Sector]="Rural+Urban"),
    0)
  ),
"")</f>
        <v>164.2</v>
      </c>
      <c r="N75" s="8">
        <f t="shared" si="12"/>
        <v>0</v>
      </c>
      <c r="O75" s="2" cm="1">
        <f t="array" ref="O75">IFERROR(
  AVERAGE(
    INDEX(All_India_Index_Upto_April23__1___1[Cereals and products],
      MATCH(1,(All_India_Index_Upto_April23__1___1[Date]=$A75)*
              (All_India_Index_Upto_April23__1___1[Sector]="Rural+Urban"),0)),
    INDEX(All_India_Index_Upto_April23__1___1[Meat and fish],
      MATCH(1,(All_India_Index_Upto_April23__1___1[Date]=$A75)*
              (All_India_Index_Upto_April23__1___1[Sector]="Rural+Urban"),0)),
    INDEX(All_India_Index_Upto_April23__1___1[Egg],
      MATCH(1,(All_India_Index_Upto_April23__1___1[Date]=$A75)*
              (All_India_Index_Upto_April23__1___1[Sector]="Rural+Urban"),0)),
    INDEX(All_India_Index_Upto_April23__1___1[Milk and products],
      MATCH(1,(All_India_Index_Upto_April23__1___1[Date]=$A75)*
              (All_India_Index_Upto_April23__1___1[Sector]="Rural+Urban"),0)),
    INDEX(All_India_Index_Upto_April23__1___1[Oils and fats],
      MATCH(1,(All_India_Index_Upto_April23__1___1[Date]=$A75)*
              (All_India_Index_Upto_April23__1___1[Sector]="Rural+Urban"),0)),
    INDEX(All_India_Index_Upto_April23__1___1[Fruits],
      MATCH(1,(All_India_Index_Upto_April23__1___1[Date]=$A75)*
              (All_India_Index_Upto_April23__1___1[Sector]="Rural+Urban"),0)),
    INDEX(All_India_Index_Upto_April23__1___1[Vegetables],
      MATCH(1,(All_India_Index_Upto_April23__1___1[Date]=$A75)*
              (All_India_Index_Upto_April23__1___1[Sector]="Rural+Urban"),0)),
    INDEX(All_India_Index_Upto_April23__1___1[Pulses and products],
      MATCH(1,(All_India_Index_Upto_April23__1___1[Date]=$A75)*
              (All_India_Index_Upto_April23__1___1[Sector]="Rural+Urban"),0)),
    INDEX(All_India_Index_Upto_April23__1___1[Sugar and Confectionery],
      MATCH(1,(All_India_Index_Upto_April23__1___1[Date]=$A75)*
              (All_India_Index_Upto_April23__1___1[Sector]="Rural+Urban"),0)),
    INDEX(All_India_Index_Upto_April23__1___1[Spices],
      MATCH(1,(All_India_Index_Upto_April23__1___1[Date]=$A75)*
              (All_India_Index_Upto_April23__1___1[Sector]="Rural+Urban"),0)),
    INDEX(All_India_Index_Upto_April23__1___1[Non-alcoholic beverages],
      MATCH(1,(All_India_Index_Upto_April23__1___1[Date]=$A75)*
              (All_India_Index_Upto_April23__1___1[Sector]="Rural+Urban"),0)),
    INDEX(All_India_Index_Upto_April23__1___1[Prepared meals, snacks, sweets etc.],
      MATCH(1,(All_India_Index_Upto_April23__1___1[Date]=$A75)*
              (All_India_Index_Upto_April23__1___1[Sector]="Rural+Urban"),0))
  ),
"")</f>
        <v>175.18333333333331</v>
      </c>
      <c r="P75" s="2" cm="1">
        <f t="array" ref="P75">IFERROR(
  AVERAGE(
    INDEX(All_India_Index_Upto_April23__1___1[Cereals and products],
      MATCH(1,(All_India_Index_Upto_April23__1___1[Date]=EDATE($A75,-12))*
              (All_India_Index_Upto_April23__1___1[Sector]="Rural+Urban"),0)),
    INDEX(All_India_Index_Upto_April23__1___1[Meat and fish],
      MATCH(1,(All_India_Index_Upto_April23__1___1[Date]=EDATE($A75,-12))*
              (All_India_Index_Upto_April23__1___1[Sector]="Rural+Urban"),0)),
    INDEX(All_India_Index_Upto_April23__1___1[Egg],
      MATCH(1,(All_India_Index_Upto_April23__1___1[Date]=EDATE($A75,-12))*
              (All_India_Index_Upto_April23__1___1[Sector]="Rural+Urban"),0)),
    INDEX(All_India_Index_Upto_April23__1___1[Milk and products],
      MATCH(1,(All_India_Index_Upto_April23__1___1[Date]=EDATE($A75,-12))*
              (All_India_Index_Upto_April23__1___1[Sector]="Rural+Urban"),0)),
    INDEX(All_India_Index_Upto_April23__1___1[Oils and fats],
      MATCH(1,(All_India_Index_Upto_April23__1___1[Date]=EDATE($A75,-12))*
              (All_India_Index_Upto_April23__1___1[Sector]="Rural+Urban"),0)),
    INDEX(All_India_Index_Upto_April23__1___1[Fruits],
      MATCH(1,(All_India_Index_Upto_April23__1___1[Date]=EDATE($A75,-12))*
              (All_India_Index_Upto_April23__1___1[Sector]="Rural+Urban"),0)),
    INDEX(All_India_Index_Upto_April23__1___1[Vegetables],
      MATCH(1,(All_India_Index_Upto_April23__1___1[Date]=EDATE($A75,-12))*
              (All_India_Index_Upto_April23__1___1[Sector]="Rural+Urban"),0)),
    INDEX(All_India_Index_Upto_April23__1___1[Pulses and products],
      MATCH(1,(All_India_Index_Upto_April23__1___1[Date]=EDATE($A75,-12))*
              (All_India_Index_Upto_April23__1___1[Sector]="Rural+Urban"),0)),
    INDEX(All_India_Index_Upto_April23__1___1[Sugar and Confectionery],
      MATCH(1,(All_India_Index_Upto_April23__1___1[Date]=EDATE($A75,-12))*
              (All_India_Index_Upto_April23__1___1[Sector]="Rural+Urban"),0)),
    INDEX(All_India_Index_Upto_April23__1___1[Spices],
      MATCH(1,(All_India_Index_Upto_April23__1___1[Date]=EDATE($A75,-12))*
              (All_India_Index_Upto_April23__1___1[Sector]="Rural+Urban"),0)),
    INDEX(All_India_Index_Upto_April23__1___1[Non-alcoholic beverages],
      MATCH(1,(All_India_Index_Upto_April23__1___1[Date]=EDATE($A75,-12))*
              (All_India_Index_Upto_April23__1___1[Sector]="Rural+Urban"),0)),
    INDEX(All_India_Index_Upto_April23__1___1[Prepared meals, snacks, sweets etc.],
      MATCH(1,(All_India_Index_Upto_April23__1___1[Date]=EDATE($A75,-12))*
              (All_India_Index_Upto_April23__1___1[Sector]="Rural+Urban"),0))
  ),
"")</f>
        <v>167.98333333333335</v>
      </c>
      <c r="Q75" s="8">
        <f t="shared" si="13"/>
        <v>4.286139497966044E-2</v>
      </c>
      <c r="R75" cm="1">
        <f t="array" ref="R75">IFERROR(
  INDEX(All_India_Index_Upto_April23__1___1[General index],
    MATCH(1,
      (All_India_Index_Upto_April23__1___1[Date]=$A75)*
      (All_India_Index_Upto_April23__1___1[Sector]="Rural+Urban"),
    0)
  ),
"")</f>
        <v>177.2</v>
      </c>
      <c r="S75" cm="1">
        <f t="array" ref="S75">IFERROR(
  INDEX(All_India_Index_Upto_April23__1___1[General index],
    MATCH(1,
      (All_India_Index_Upto_April23__1___1[Date]=EDATE($A75,-1))*
      (All_India_Index_Upto_April23__1___1[Sector]="Rural+Urban"),
    0)
  ),
"")</f>
        <v>177.2</v>
      </c>
      <c r="T75" s="8">
        <f t="shared" si="14"/>
        <v>0</v>
      </c>
    </row>
    <row r="76" spans="1:20" x14ac:dyDescent="0.2">
      <c r="A76" s="22">
        <v>45017</v>
      </c>
      <c r="B76">
        <v>2023</v>
      </c>
      <c r="C76" t="s">
        <v>38</v>
      </c>
      <c r="D76" s="2">
        <v>84</v>
      </c>
      <c r="E76" s="8">
        <f t="shared" si="9"/>
        <v>-9.5238095238095233E-2</v>
      </c>
      <c r="F76" s="8">
        <f t="shared" si="10"/>
        <v>-9.5238095238095233E-2</v>
      </c>
      <c r="G76" t="e">
        <f t="shared" si="8"/>
        <v>#N/A</v>
      </c>
      <c r="H76" s="22">
        <v>45017</v>
      </c>
      <c r="I76" cm="1">
        <f t="array" ref="I76">IFERROR(
  INDEX(All_India_Index_Upto_April23__1___1[Fuel and light],
    MATCH(1,
      (All_India_Index_Upto_April23__1___1[Date]=$A76)*
      (All_India_Index_Upto_April23__1___1[Sector]="Rural+Urban"),
    0)
  ),
"")</f>
        <v>181.7</v>
      </c>
      <c r="J76" cm="1">
        <f t="array" ref="J76">IFERROR(
  INDEX(All_India_Index_Upto_April23__1___1[Fuel and light],
    MATCH(1,
      (All_India_Index_Upto_April23__1___1[Date]=EDATE($A76,-1))*
      (All_India_Index_Upto_April23__1___1[Sector]="Rural+Urban"),
    0)
  ),
"")</f>
        <v>181.9</v>
      </c>
      <c r="K76" s="8">
        <f t="shared" si="11"/>
        <v>-1.0995052226499013E-3</v>
      </c>
      <c r="L76" cm="1">
        <f t="array" ref="L76">IFERROR(
  INDEX(All_India_Index_Upto_April23__1___1[Transport and communication],
    MATCH(1,
      (All_India_Index_Upto_April23__1___1[Date]=$A76)*
      (All_India_Index_Upto_April23__1___1[Sector]="Rural+Urban"),
    0)
  ),
"")</f>
        <v>164.5</v>
      </c>
      <c r="M76" cm="1">
        <f t="array" ref="M76">IFERROR(
  INDEX(All_India_Index_Upto_April23__1___1[Transport and communication],
    MATCH(1,
      (All_India_Index_Upto_April23__1___1[Date]=EDATE($A76,-1))*
      (All_India_Index_Upto_April23__1___1[Sector]="Rural+Urban"),
    0)
  ),
"")</f>
        <v>164.2</v>
      </c>
      <c r="N76" s="8">
        <f t="shared" si="12"/>
        <v>1.8270401948843567E-3</v>
      </c>
      <c r="O76" s="2" cm="1">
        <f t="array" ref="O76">IFERROR(
  AVERAGE(
    INDEX(All_India_Index_Upto_April23__1___1[Cereals and products],
      MATCH(1,(All_India_Index_Upto_April23__1___1[Date]=$A76)*
              (All_India_Index_Upto_April23__1___1[Sector]="Rural+Urban"),0)),
    INDEX(All_India_Index_Upto_April23__1___1[Meat and fish],
      MATCH(1,(All_India_Index_Upto_April23__1___1[Date]=$A76)*
              (All_India_Index_Upto_April23__1___1[Sector]="Rural+Urban"),0)),
    INDEX(All_India_Index_Upto_April23__1___1[Egg],
      MATCH(1,(All_India_Index_Upto_April23__1___1[Date]=$A76)*
              (All_India_Index_Upto_April23__1___1[Sector]="Rural+Urban"),0)),
    INDEX(All_India_Index_Upto_April23__1___1[Milk and products],
      MATCH(1,(All_India_Index_Upto_April23__1___1[Date]=$A76)*
              (All_India_Index_Upto_April23__1___1[Sector]="Rural+Urban"),0)),
    INDEX(All_India_Index_Upto_April23__1___1[Oils and fats],
      MATCH(1,(All_India_Index_Upto_April23__1___1[Date]=$A76)*
              (All_India_Index_Upto_April23__1___1[Sector]="Rural+Urban"),0)),
    INDEX(All_India_Index_Upto_April23__1___1[Fruits],
      MATCH(1,(All_India_Index_Upto_April23__1___1[Date]=$A76)*
              (All_India_Index_Upto_April23__1___1[Sector]="Rural+Urban"),0)),
    INDEX(All_India_Index_Upto_April23__1___1[Vegetables],
      MATCH(1,(All_India_Index_Upto_April23__1___1[Date]=$A76)*
              (All_India_Index_Upto_April23__1___1[Sector]="Rural+Urban"),0)),
    INDEX(All_India_Index_Upto_April23__1___1[Pulses and products],
      MATCH(1,(All_India_Index_Upto_April23__1___1[Date]=$A76)*
              (All_India_Index_Upto_April23__1___1[Sector]="Rural+Urban"),0)),
    INDEX(All_India_Index_Upto_April23__1___1[Sugar and Confectionery],
      MATCH(1,(All_India_Index_Upto_April23__1___1[Date]=$A76)*
              (All_India_Index_Upto_April23__1___1[Sector]="Rural+Urban"),0)),
    INDEX(All_India_Index_Upto_April23__1___1[Spices],
      MATCH(1,(All_India_Index_Upto_April23__1___1[Date]=$A76)*
              (All_India_Index_Upto_April23__1___1[Sector]="Rural+Urban"),0)),
    INDEX(All_India_Index_Upto_April23__1___1[Non-alcoholic beverages],
      MATCH(1,(All_India_Index_Upto_April23__1___1[Date]=$A76)*
              (All_India_Index_Upto_April23__1___1[Sector]="Rural+Urban"),0)),
    INDEX(All_India_Index_Upto_April23__1___1[Prepared meals, snacks, sweets etc.],
      MATCH(1,(All_India_Index_Upto_April23__1___1[Date]=$A76)*
              (All_India_Index_Upto_April23__1___1[Sector]="Rural+Urban"),0))
  ),
"")</f>
        <v>175.97500000000002</v>
      </c>
      <c r="P76" s="2" cm="1">
        <f t="array" ref="P76">IFERROR(
  AVERAGE(
    INDEX(All_India_Index_Upto_April23__1___1[Cereals and products],
      MATCH(1,(All_India_Index_Upto_April23__1___1[Date]=EDATE($A76,-12))*
              (All_India_Index_Upto_April23__1___1[Sector]="Rural+Urban"),0)),
    INDEX(All_India_Index_Upto_April23__1___1[Meat and fish],
      MATCH(1,(All_India_Index_Upto_April23__1___1[Date]=EDATE($A76,-12))*
              (All_India_Index_Upto_April23__1___1[Sector]="Rural+Urban"),0)),
    INDEX(All_India_Index_Upto_April23__1___1[Egg],
      MATCH(1,(All_India_Index_Upto_April23__1___1[Date]=EDATE($A76,-12))*
              (All_India_Index_Upto_April23__1___1[Sector]="Rural+Urban"),0)),
    INDEX(All_India_Index_Upto_April23__1___1[Milk and products],
      MATCH(1,(All_India_Index_Upto_April23__1___1[Date]=EDATE($A76,-12))*
              (All_India_Index_Upto_April23__1___1[Sector]="Rural+Urban"),0)),
    INDEX(All_India_Index_Upto_April23__1___1[Oils and fats],
      MATCH(1,(All_India_Index_Upto_April23__1___1[Date]=EDATE($A76,-12))*
              (All_India_Index_Upto_April23__1___1[Sector]="Rural+Urban"),0)),
    INDEX(All_India_Index_Upto_April23__1___1[Fruits],
      MATCH(1,(All_India_Index_Upto_April23__1___1[Date]=EDATE($A76,-12))*
              (All_India_Index_Upto_April23__1___1[Sector]="Rural+Urban"),0)),
    INDEX(All_India_Index_Upto_April23__1___1[Vegetables],
      MATCH(1,(All_India_Index_Upto_April23__1___1[Date]=EDATE($A76,-12))*
              (All_India_Index_Upto_April23__1___1[Sector]="Rural+Urban"),0)),
    INDEX(All_India_Index_Upto_April23__1___1[Pulses and products],
      MATCH(1,(All_India_Index_Upto_April23__1___1[Date]=EDATE($A76,-12))*
              (All_India_Index_Upto_April23__1___1[Sector]="Rural+Urban"),0)),
    INDEX(All_India_Index_Upto_April23__1___1[Sugar and Confectionery],
      MATCH(1,(All_India_Index_Upto_April23__1___1[Date]=EDATE($A76,-12))*
              (All_India_Index_Upto_April23__1___1[Sector]="Rural+Urban"),0)),
    INDEX(All_India_Index_Upto_April23__1___1[Spices],
      MATCH(1,(All_India_Index_Upto_April23__1___1[Date]=EDATE($A76,-12))*
              (All_India_Index_Upto_April23__1___1[Sector]="Rural+Urban"),0)),
    INDEX(All_India_Index_Upto_April23__1___1[Non-alcoholic beverages],
      MATCH(1,(All_India_Index_Upto_April23__1___1[Date]=EDATE($A76,-12))*
              (All_India_Index_Upto_April23__1___1[Sector]="Rural+Urban"),0)),
    INDEX(All_India_Index_Upto_April23__1___1[Prepared meals, snacks, sweets etc.],
      MATCH(1,(All_India_Index_Upto_April23__1___1[Date]=EDATE($A76,-12))*
              (All_India_Index_Upto_April23__1___1[Sector]="Rural+Urban"),0))
  ),
"")</f>
        <v>170.29166666666669</v>
      </c>
      <c r="Q76" s="8">
        <f t="shared" si="13"/>
        <v>3.3374113041350642E-2</v>
      </c>
      <c r="R76" cm="1">
        <f t="array" ref="R76">IFERROR(
  INDEX(All_India_Index_Upto_April23__1___1[General index],
    MATCH(1,
      (All_India_Index_Upto_April23__1___1[Date]=$A76)*
      (All_India_Index_Upto_April23__1___1[Sector]="Rural+Urban"),
    0)
  ),
"")</f>
        <v>178.1</v>
      </c>
      <c r="S76" cm="1">
        <f t="array" ref="S76">IFERROR(
  INDEX(All_India_Index_Upto_April23__1___1[General index],
    MATCH(1,
      (All_India_Index_Upto_April23__1___1[Date]=EDATE($A76,-1))*
      (All_India_Index_Upto_April23__1___1[Sector]="Rural+Urban"),
    0)
  ),
"")</f>
        <v>177.2</v>
      </c>
      <c r="T76" s="8">
        <f t="shared" si="14"/>
        <v>5.0790067720090613E-3</v>
      </c>
    </row>
    <row r="77" spans="1:20" x14ac:dyDescent="0.2">
      <c r="A77" s="22">
        <v>45047</v>
      </c>
      <c r="B77">
        <v>2023</v>
      </c>
      <c r="C77" t="s">
        <v>40</v>
      </c>
      <c r="D77" s="2">
        <v>76</v>
      </c>
      <c r="E77" s="8" t="str">
        <f>IF(OR(D78="",D77=""),"",(D78-D77)/D77)</f>
        <v/>
      </c>
      <c r="F77" s="8"/>
      <c r="G77" t="e">
        <f t="shared" si="8"/>
        <v>#N/A</v>
      </c>
      <c r="H77" s="22">
        <v>45047</v>
      </c>
      <c r="I77" cm="1">
        <f t="array" ref="I77">IFERROR(
  INDEX(All_India_Index_Upto_April23__1___1[Fuel and light],
    MATCH(1,
      (All_India_Index_Upto_April23__1___1[Date]=$A77)*
      (All_India_Index_Upto_April23__1___1[Sector]="Rural+Urban"),
    0)
  ),
"")</f>
        <v>182.8</v>
      </c>
      <c r="J77" cm="1">
        <f t="array" ref="J77">IFERROR(
  INDEX(All_India_Index_Upto_April23__1___1[Fuel and light],
    MATCH(1,
      (All_India_Index_Upto_April23__1___1[Date]=EDATE($A77,-1))*
      (All_India_Index_Upto_April23__1___1[Sector]="Rural+Urban"),
    0)
  ),
"")</f>
        <v>181.7</v>
      </c>
      <c r="K77" s="8">
        <f t="shared" si="11"/>
        <v>6.0539350577876877E-3</v>
      </c>
      <c r="L77" cm="1">
        <f t="array" ref="L77">IFERROR(
  INDEX(All_India_Index_Upto_April23__1___1[Transport and communication],
    MATCH(1,
      (All_India_Index_Upto_April23__1___1[Date]=$A77)*
      (All_India_Index_Upto_April23__1___1[Sector]="Rural+Urban"),
    0)
  ),
"")</f>
        <v>164.8</v>
      </c>
      <c r="M77" cm="1">
        <f t="array" ref="M77">IFERROR(
  INDEX(All_India_Index_Upto_April23__1___1[Transport and communication],
    MATCH(1,
      (All_India_Index_Upto_April23__1___1[Date]=EDATE($A77,-1))*
      (All_India_Index_Upto_April23__1___1[Sector]="Rural+Urban"),
    0)
  ),
"")</f>
        <v>164.5</v>
      </c>
      <c r="N77" s="8">
        <f t="shared" si="12"/>
        <v>1.8237082066869992E-3</v>
      </c>
      <c r="O77" s="2" cm="1">
        <f t="array" ref="O77">IFERROR(
  AVERAGE(
    INDEX(All_India_Index_Upto_April23__1___1[Cereals and products],
      MATCH(1,(All_India_Index_Upto_April23__1___1[Date]=$A77)*
              (All_India_Index_Upto_April23__1___1[Sector]="Rural+Urban"),0)),
    INDEX(All_India_Index_Upto_April23__1___1[Meat and fish],
      MATCH(1,(All_India_Index_Upto_April23__1___1[Date]=$A77)*
              (All_India_Index_Upto_April23__1___1[Sector]="Rural+Urban"),0)),
    INDEX(All_India_Index_Upto_April23__1___1[Egg],
      MATCH(1,(All_India_Index_Upto_April23__1___1[Date]=$A77)*
              (All_India_Index_Upto_April23__1___1[Sector]="Rural+Urban"),0)),
    INDEX(All_India_Index_Upto_April23__1___1[Milk and products],
      MATCH(1,(All_India_Index_Upto_April23__1___1[Date]=$A77)*
              (All_India_Index_Upto_April23__1___1[Sector]="Rural+Urban"),0)),
    INDEX(All_India_Index_Upto_April23__1___1[Oils and fats],
      MATCH(1,(All_India_Index_Upto_April23__1___1[Date]=$A77)*
              (All_India_Index_Upto_April23__1___1[Sector]="Rural+Urban"),0)),
    INDEX(All_India_Index_Upto_April23__1___1[Fruits],
      MATCH(1,(All_India_Index_Upto_April23__1___1[Date]=$A77)*
              (All_India_Index_Upto_April23__1___1[Sector]="Rural+Urban"),0)),
    INDEX(All_India_Index_Upto_April23__1___1[Vegetables],
      MATCH(1,(All_India_Index_Upto_April23__1___1[Date]=$A77)*
              (All_India_Index_Upto_April23__1___1[Sector]="Rural+Urban"),0)),
    INDEX(All_India_Index_Upto_April23__1___1[Pulses and products],
      MATCH(1,(All_India_Index_Upto_April23__1___1[Date]=$A77)*
              (All_India_Index_Upto_April23__1___1[Sector]="Rural+Urban"),0)),
    INDEX(All_India_Index_Upto_April23__1___1[Sugar and Confectionery],
      MATCH(1,(All_India_Index_Upto_April23__1___1[Date]=$A77)*
              (All_India_Index_Upto_April23__1___1[Sector]="Rural+Urban"),0)),
    INDEX(All_India_Index_Upto_April23__1___1[Spices],
      MATCH(1,(All_India_Index_Upto_April23__1___1[Date]=$A77)*
              (All_India_Index_Upto_April23__1___1[Sector]="Rural+Urban"),0)),
    INDEX(All_India_Index_Upto_April23__1___1[Non-alcoholic beverages],
      MATCH(1,(All_India_Index_Upto_April23__1___1[Date]=$A77)*
              (All_India_Index_Upto_April23__1___1[Sector]="Rural+Urban"),0)),
    INDEX(All_India_Index_Upto_April23__1___1[Prepared meals, snacks, sweets etc.],
      MATCH(1,(All_India_Index_Upto_April23__1___1[Date]=$A77)*
              (All_India_Index_Upto_April23__1___1[Sector]="Rural+Urban"),0))
  ),
"")</f>
        <v>177.31666666666669</v>
      </c>
      <c r="P77" s="2" cm="1">
        <f t="array" ref="P77">IFERROR(
  AVERAGE(
    INDEX(All_India_Index_Upto_April23__1___1[Cereals and products],
      MATCH(1,(All_India_Index_Upto_April23__1___1[Date]=EDATE($A77,-12))*
              (All_India_Index_Upto_April23__1___1[Sector]="Rural+Urban"),0)),
    INDEX(All_India_Index_Upto_April23__1___1[Meat and fish],
      MATCH(1,(All_India_Index_Upto_April23__1___1[Date]=EDATE($A77,-12))*
              (All_India_Index_Upto_April23__1___1[Sector]="Rural+Urban"),0)),
    INDEX(All_India_Index_Upto_April23__1___1[Egg],
      MATCH(1,(All_India_Index_Upto_April23__1___1[Date]=EDATE($A77,-12))*
              (All_India_Index_Upto_April23__1___1[Sector]="Rural+Urban"),0)),
    INDEX(All_India_Index_Upto_April23__1___1[Milk and products],
      MATCH(1,(All_India_Index_Upto_April23__1___1[Date]=EDATE($A77,-12))*
              (All_India_Index_Upto_April23__1___1[Sector]="Rural+Urban"),0)),
    INDEX(All_India_Index_Upto_April23__1___1[Oils and fats],
      MATCH(1,(All_India_Index_Upto_April23__1___1[Date]=EDATE($A77,-12))*
              (All_India_Index_Upto_April23__1___1[Sector]="Rural+Urban"),0)),
    INDEX(All_India_Index_Upto_April23__1___1[Fruits],
      MATCH(1,(All_India_Index_Upto_April23__1___1[Date]=EDATE($A77,-12))*
              (All_India_Index_Upto_April23__1___1[Sector]="Rural+Urban"),0)),
    INDEX(All_India_Index_Upto_April23__1___1[Vegetables],
      MATCH(1,(All_India_Index_Upto_April23__1___1[Date]=EDATE($A77,-12))*
              (All_India_Index_Upto_April23__1___1[Sector]="Rural+Urban"),0)),
    INDEX(All_India_Index_Upto_April23__1___1[Pulses and products],
      MATCH(1,(All_India_Index_Upto_April23__1___1[Date]=EDATE($A77,-12))*
              (All_India_Index_Upto_April23__1___1[Sector]="Rural+Urban"),0)),
    INDEX(All_India_Index_Upto_April23__1___1[Sugar and Confectionery],
      MATCH(1,(All_India_Index_Upto_April23__1___1[Date]=EDATE($A77,-12))*
              (All_India_Index_Upto_April23__1___1[Sector]="Rural+Urban"),0)),
    INDEX(All_India_Index_Upto_April23__1___1[Spices],
      MATCH(1,(All_India_Index_Upto_April23__1___1[Date]=EDATE($A77,-12))*
              (All_India_Index_Upto_April23__1___1[Sector]="Rural+Urban"),0)),
    INDEX(All_India_Index_Upto_April23__1___1[Non-alcoholic beverages],
      MATCH(1,(All_India_Index_Upto_April23__1___1[Date]=EDATE($A77,-12))*
              (All_India_Index_Upto_April23__1___1[Sector]="Rural+Urban"),0)),
    INDEX(All_India_Index_Upto_April23__1___1[Prepared meals, snacks, sweets etc.],
      MATCH(1,(All_India_Index_Upto_April23__1___1[Date]=EDATE($A77,-12))*
              (All_India_Index_Upto_April23__1___1[Sector]="Rural+Urban"),0))
  ),
"")</f>
        <v>172.13333333333335</v>
      </c>
      <c r="Q77" s="8">
        <f t="shared" si="13"/>
        <v>3.0112316034082126E-2</v>
      </c>
      <c r="R77" cm="1">
        <f t="array" ref="R77">IFERROR(
  INDEX(All_India_Index_Upto_April23__1___1[General index],
    MATCH(1,
      (All_India_Index_Upto_April23__1___1[Date]=$A77)*
      (All_India_Index_Upto_April23__1___1[Sector]="Rural+Urban"),
    0)
  ),
"")</f>
        <v>179.1</v>
      </c>
      <c r="S77" cm="1">
        <f t="array" ref="S77">IFERROR(
  INDEX(All_India_Index_Upto_April23__1___1[General index],
    MATCH(1,
      (All_India_Index_Upto_April23__1___1[Date]=EDATE($A77,-1))*
      (All_India_Index_Upto_April23__1___1[Sector]="Rural+Urban"),
    0)
  ),
"")</f>
        <v>178.1</v>
      </c>
      <c r="T77" s="8">
        <f t="shared" si="14"/>
        <v>5.614823133071308E-3</v>
      </c>
    </row>
  </sheetData>
  <conditionalFormatting sqref="W2:AA30">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F95DC-2ECA-134C-B4E4-797766FA791E}">
  <dimension ref="A1:F30"/>
  <sheetViews>
    <sheetView topLeftCell="E1" zoomScale="50" zoomScaleNormal="102" workbookViewId="0">
      <selection sqref="A1:F30"/>
    </sheetView>
  </sheetViews>
  <sheetFormatPr baseColWidth="10" defaultRowHeight="16" x14ac:dyDescent="0.2"/>
  <cols>
    <col min="4" max="4" width="33" bestFit="1" customWidth="1"/>
    <col min="5" max="5" width="21.6640625" bestFit="1" customWidth="1"/>
  </cols>
  <sheetData>
    <row r="1" spans="1:6" x14ac:dyDescent="0.2">
      <c r="A1" s="4" t="s">
        <v>161</v>
      </c>
      <c r="B1" s="4" t="s">
        <v>450</v>
      </c>
      <c r="C1" s="4" t="s">
        <v>442</v>
      </c>
      <c r="D1" s="4" t="s">
        <v>438</v>
      </c>
      <c r="E1" s="4" t="s">
        <v>439</v>
      </c>
      <c r="F1" s="4" t="s">
        <v>449</v>
      </c>
    </row>
    <row r="2" spans="1:6" x14ac:dyDescent="0.2">
      <c r="A2" s="77">
        <v>44197</v>
      </c>
      <c r="B2" s="94">
        <v>0.15686274509803921</v>
      </c>
      <c r="C2" s="94">
        <v>2.2821576763485556E-2</v>
      </c>
      <c r="D2" s="94">
        <v>8.5287846481877545E-3</v>
      </c>
      <c r="E2" s="94">
        <v>7.1968213106497106E-2</v>
      </c>
      <c r="F2" s="94">
        <v>-1.006922592825673E-2</v>
      </c>
    </row>
    <row r="3" spans="1:6" x14ac:dyDescent="0.2">
      <c r="A3" s="77">
        <v>44228</v>
      </c>
      <c r="B3" s="8">
        <v>6.7796610169491525E-2</v>
      </c>
      <c r="C3" s="8">
        <v>3.0425963488843813E-2</v>
      </c>
      <c r="D3" s="8">
        <v>2.2551092318534097E-2</v>
      </c>
      <c r="E3" s="8">
        <v>6.8877406166600527E-2</v>
      </c>
      <c r="F3" s="8">
        <v>-4.4500953591863762E-3</v>
      </c>
    </row>
    <row r="4" spans="1:6" x14ac:dyDescent="0.2">
      <c r="A4" s="77">
        <v>44256</v>
      </c>
      <c r="B4" s="8">
        <v>-1.5873015873015872E-2</v>
      </c>
      <c r="C4" s="8">
        <v>2.0341207349081326E-2</v>
      </c>
      <c r="D4" s="8">
        <v>7.5809786354238068E-3</v>
      </c>
      <c r="E4" s="8">
        <v>7.7984540509590569E-2</v>
      </c>
      <c r="F4" s="8">
        <v>1.2771392081737999E-3</v>
      </c>
    </row>
    <row r="5" spans="1:6" x14ac:dyDescent="0.2">
      <c r="A5" s="77">
        <v>44287</v>
      </c>
      <c r="B5" s="8">
        <v>6.4516129032258063E-2</v>
      </c>
      <c r="C5" s="8">
        <v>6.4308681672022071E-4</v>
      </c>
      <c r="D5" s="8">
        <v>2.7359781121751416E-3</v>
      </c>
      <c r="E5" s="8">
        <v>5.289032507526182E-2</v>
      </c>
      <c r="F5" s="8">
        <v>6.3775510204081625E-3</v>
      </c>
    </row>
    <row r="6" spans="1:6" x14ac:dyDescent="0.2">
      <c r="A6" s="77">
        <v>44317</v>
      </c>
      <c r="B6" s="8">
        <v>9.0909090909090912E-2</v>
      </c>
      <c r="C6" s="8">
        <v>2.4421593830334265E-2</v>
      </c>
      <c r="D6" s="8">
        <v>1.568894952251031E-2</v>
      </c>
      <c r="E6" s="8">
        <v>8.091586084250299E-2</v>
      </c>
      <c r="F6" s="8">
        <v>1.6476552598225565E-2</v>
      </c>
    </row>
    <row r="7" spans="1:6" x14ac:dyDescent="0.2">
      <c r="A7" s="77">
        <v>44348</v>
      </c>
      <c r="B7" s="8">
        <v>2.7777777777777776E-2</v>
      </c>
      <c r="C7" s="8">
        <v>2.5094102885822186E-3</v>
      </c>
      <c r="D7" s="8">
        <v>1.2088650100738636E-2</v>
      </c>
      <c r="E7" s="8">
        <v>8.7433804060017509E-2</v>
      </c>
      <c r="F7" s="8">
        <v>5.6109725685785893E-3</v>
      </c>
    </row>
    <row r="8" spans="1:6" x14ac:dyDescent="0.2">
      <c r="A8" s="77">
        <v>44378</v>
      </c>
      <c r="B8" s="8">
        <v>-6.7567567567567571E-2</v>
      </c>
      <c r="C8" s="8">
        <v>5.6320400500624356E-3</v>
      </c>
      <c r="D8" s="8">
        <v>1.5925680159256841E-2</v>
      </c>
      <c r="E8" s="8">
        <v>9.3887908208296567E-2</v>
      </c>
      <c r="F8" s="8">
        <v>7.439553626782322E-3</v>
      </c>
    </row>
    <row r="9" spans="1:6" x14ac:dyDescent="0.2">
      <c r="A9" s="77">
        <v>44409</v>
      </c>
      <c r="B9" s="8">
        <v>4.3478260869565216E-2</v>
      </c>
      <c r="C9" s="8">
        <v>1.1823273179838244E-2</v>
      </c>
      <c r="D9" s="8">
        <v>5.8785107772697954E-3</v>
      </c>
      <c r="E9" s="8">
        <v>7.6052660211076289E-2</v>
      </c>
      <c r="F9" s="8">
        <v>4.3076923076922381E-3</v>
      </c>
    </row>
    <row r="10" spans="1:6" x14ac:dyDescent="0.2">
      <c r="A10" s="77">
        <v>44440</v>
      </c>
      <c r="B10" s="8">
        <v>0.1388888888888889</v>
      </c>
      <c r="C10" s="8">
        <v>0</v>
      </c>
      <c r="D10" s="8">
        <v>0</v>
      </c>
      <c r="E10" s="8">
        <v>6.9767441860465115E-2</v>
      </c>
      <c r="F10" s="8">
        <v>0</v>
      </c>
    </row>
    <row r="11" spans="1:6" x14ac:dyDescent="0.2">
      <c r="A11" s="77">
        <v>44470</v>
      </c>
      <c r="B11" s="8">
        <v>-3.6585365853658534E-2</v>
      </c>
      <c r="C11" s="8">
        <v>9.8400984009839754E-3</v>
      </c>
      <c r="D11" s="8">
        <v>1.1038961038960965E-2</v>
      </c>
      <c r="E11" s="8">
        <v>6.390419669351427E-2</v>
      </c>
      <c r="F11" s="8">
        <v>1.4093137254902032E-2</v>
      </c>
    </row>
    <row r="12" spans="1:6" x14ac:dyDescent="0.2">
      <c r="A12" s="77">
        <v>44501</v>
      </c>
      <c r="B12" s="8">
        <v>-6.3291139240506333E-2</v>
      </c>
      <c r="C12" s="8">
        <v>-1.8270401948841837E-3</v>
      </c>
      <c r="D12" s="8">
        <v>-5.7803468208091026E-3</v>
      </c>
      <c r="E12" s="8">
        <v>4.8423015174271007E-2</v>
      </c>
      <c r="F12" s="8">
        <v>7.2507552870089949E-3</v>
      </c>
    </row>
    <row r="13" spans="1:6" x14ac:dyDescent="0.2">
      <c r="A13" s="77">
        <v>44531</v>
      </c>
      <c r="B13" s="8">
        <v>0.13513513513513514</v>
      </c>
      <c r="C13" s="8">
        <v>1.2202562538132314E-3</v>
      </c>
      <c r="D13" s="8">
        <v>5.8139534883719455E-3</v>
      </c>
      <c r="E13" s="8">
        <v>3.5499305448371661E-2</v>
      </c>
      <c r="F13" s="8">
        <v>-2.999400119976005E-3</v>
      </c>
    </row>
    <row r="14" spans="1:6" x14ac:dyDescent="0.2">
      <c r="A14" s="77">
        <v>44562</v>
      </c>
      <c r="B14" s="8">
        <v>0.14285714285714285</v>
      </c>
      <c r="C14" s="8">
        <v>6.0938452163311586E-4</v>
      </c>
      <c r="D14" s="8">
        <v>5.1380860629416276E-3</v>
      </c>
      <c r="E14" s="8">
        <v>4.2965283215870634E-2</v>
      </c>
      <c r="F14" s="8">
        <v>-3.0084235860409147E-3</v>
      </c>
    </row>
    <row r="15" spans="1:6" x14ac:dyDescent="0.2">
      <c r="A15" s="77">
        <v>44593</v>
      </c>
      <c r="B15" s="8">
        <v>0.22916666666666666</v>
      </c>
      <c r="C15" s="8">
        <v>9.1352009744214372E-3</v>
      </c>
      <c r="D15" s="8">
        <v>2.5559105431310269E-3</v>
      </c>
      <c r="E15" s="8">
        <v>5.9817254568635916E-2</v>
      </c>
      <c r="F15" s="8">
        <v>2.4140012070006378E-3</v>
      </c>
    </row>
    <row r="16" spans="1:6" x14ac:dyDescent="0.2">
      <c r="A16" s="77">
        <v>44621</v>
      </c>
      <c r="B16" s="8">
        <v>-0.11016949152542373</v>
      </c>
      <c r="C16" s="8">
        <v>9.0525045262522634E-3</v>
      </c>
      <c r="D16" s="8">
        <v>6.3734862970044612E-3</v>
      </c>
      <c r="E16" s="8">
        <v>7.069634036224591E-2</v>
      </c>
      <c r="F16" s="8">
        <v>9.6327513546056245E-3</v>
      </c>
    </row>
    <row r="17" spans="1:6" x14ac:dyDescent="0.2">
      <c r="A17" s="77">
        <v>44652</v>
      </c>
      <c r="B17" s="8">
        <v>7.6190476190476197E-2</v>
      </c>
      <c r="C17" s="8">
        <v>2.9904306220095697E-2</v>
      </c>
      <c r="D17" s="8">
        <v>2.9765674477517344E-2</v>
      </c>
      <c r="E17" s="8">
        <v>7.2084360736582656E-2</v>
      </c>
      <c r="F17" s="8">
        <v>1.4311270125223648E-2</v>
      </c>
    </row>
    <row r="18" spans="1:6" x14ac:dyDescent="0.2">
      <c r="A18" s="77">
        <v>44682</v>
      </c>
      <c r="B18" s="8">
        <v>3.5398230088495575E-2</v>
      </c>
      <c r="C18" s="8">
        <v>1.3937282229965191E-2</v>
      </c>
      <c r="D18" s="8">
        <v>2.4600246002460377E-3</v>
      </c>
      <c r="E18" s="8">
        <v>6.2005141388174874E-2</v>
      </c>
      <c r="F18" s="8">
        <v>9.4062316284538178E-3</v>
      </c>
    </row>
    <row r="19" spans="1:6" x14ac:dyDescent="0.2">
      <c r="A19" s="77">
        <v>44713</v>
      </c>
      <c r="B19" s="8">
        <v>-0.10256410256410256</v>
      </c>
      <c r="C19" s="8">
        <v>8.0183276059565042E-3</v>
      </c>
      <c r="D19" s="8">
        <v>-1.1656441717791446E-2</v>
      </c>
      <c r="E19" s="8">
        <v>5.8692233551463406E-2</v>
      </c>
      <c r="F19" s="8">
        <v>5.2417006406523343E-3</v>
      </c>
    </row>
    <row r="20" spans="1:6" x14ac:dyDescent="0.2">
      <c r="A20" s="77">
        <v>44743</v>
      </c>
      <c r="B20" s="8">
        <v>-7.6190476190476197E-2</v>
      </c>
      <c r="C20" s="8">
        <v>2.0454545454545423E-2</v>
      </c>
      <c r="D20" s="8">
        <v>3.1036623215394167E-3</v>
      </c>
      <c r="E20" s="8">
        <v>5.461422087745825E-2</v>
      </c>
      <c r="F20" s="8">
        <v>4.634994206257308E-3</v>
      </c>
    </row>
    <row r="21" spans="1:6" x14ac:dyDescent="0.2">
      <c r="A21" s="77">
        <v>44774</v>
      </c>
      <c r="B21" s="8">
        <v>-7.2164948453608241E-2</v>
      </c>
      <c r="C21" s="8">
        <v>-4.4543429844097048E-3</v>
      </c>
      <c r="D21" s="8">
        <v>1.8564356435644268E-3</v>
      </c>
      <c r="E21" s="8">
        <v>5.8088978766430668E-2</v>
      </c>
      <c r="F21" s="8">
        <v>5.1903114186851538E-3</v>
      </c>
    </row>
    <row r="22" spans="1:6" x14ac:dyDescent="0.2">
      <c r="A22" s="77">
        <v>44805</v>
      </c>
      <c r="B22" s="8">
        <v>3.3333333333333333E-2</v>
      </c>
      <c r="C22" s="8">
        <v>3.9149888143176093E-3</v>
      </c>
      <c r="D22" s="8">
        <v>2.470660901791264E-3</v>
      </c>
      <c r="E22" s="8">
        <v>6.3245702730030232E-2</v>
      </c>
      <c r="F22" s="8">
        <v>5.737234652897303E-3</v>
      </c>
    </row>
    <row r="23" spans="1:6" x14ac:dyDescent="0.2">
      <c r="A23" s="77">
        <v>44835</v>
      </c>
      <c r="B23" s="8">
        <v>-5.3763440860215055E-2</v>
      </c>
      <c r="C23" s="8">
        <v>5.5710306406685237E-3</v>
      </c>
      <c r="D23" s="8">
        <v>3.6968576709796321E-3</v>
      </c>
      <c r="E23" s="8">
        <v>5.4736527542583902E-2</v>
      </c>
      <c r="F23" s="8">
        <v>7.9863091842554308E-3</v>
      </c>
    </row>
    <row r="24" spans="1:6" x14ac:dyDescent="0.2">
      <c r="A24" s="77">
        <v>44866</v>
      </c>
      <c r="B24" s="8">
        <v>-6.8181818181818177E-2</v>
      </c>
      <c r="C24" s="8">
        <v>4.4321329639889825E-3</v>
      </c>
      <c r="D24" s="8">
        <v>6.1387354205030267E-4</v>
      </c>
      <c r="E24" s="8">
        <v>4.6482908516103552E-2</v>
      </c>
      <c r="F24" s="8">
        <v>-1.1318619128465684E-3</v>
      </c>
    </row>
    <row r="25" spans="1:6" x14ac:dyDescent="0.2">
      <c r="A25" s="77">
        <v>44896</v>
      </c>
      <c r="B25" s="8">
        <v>3.6585365853658534E-2</v>
      </c>
      <c r="C25" s="8">
        <v>3.8610038610037982E-3</v>
      </c>
      <c r="D25" s="8">
        <v>2.4539877300613845E-3</v>
      </c>
      <c r="E25" s="8">
        <v>4.7100909226412316E-2</v>
      </c>
      <c r="F25" s="8">
        <v>-4.5325779036827843E-3</v>
      </c>
    </row>
    <row r="26" spans="1:6" x14ac:dyDescent="0.2">
      <c r="A26" s="77">
        <v>44927</v>
      </c>
      <c r="B26" s="8">
        <v>-2.3529411764705882E-2</v>
      </c>
      <c r="C26" s="8">
        <v>0</v>
      </c>
      <c r="D26" s="8">
        <v>1.2239902080782657E-3</v>
      </c>
      <c r="E26" s="8">
        <v>5.9165081589748862E-2</v>
      </c>
      <c r="F26" s="8">
        <v>4.5532157085942599E-3</v>
      </c>
    </row>
    <row r="27" spans="1:6" x14ac:dyDescent="0.2">
      <c r="A27" s="77">
        <v>44958</v>
      </c>
      <c r="B27" s="8">
        <v>-4.8192771084337352E-2</v>
      </c>
      <c r="C27" s="8">
        <v>5.4945054945051823E-4</v>
      </c>
      <c r="D27" s="8">
        <v>3.6674816625916523E-3</v>
      </c>
      <c r="E27" s="8">
        <v>5.3684210526315508E-2</v>
      </c>
      <c r="F27" s="8">
        <v>3.9660056657223148E-3</v>
      </c>
    </row>
    <row r="28" spans="1:6" x14ac:dyDescent="0.2">
      <c r="A28" s="77">
        <v>44986</v>
      </c>
      <c r="B28" s="8">
        <v>6.3291139240506333E-2</v>
      </c>
      <c r="C28" s="8">
        <v>-1.0982976386600144E-3</v>
      </c>
      <c r="D28" s="8">
        <v>0</v>
      </c>
      <c r="E28" s="8">
        <v>4.286139497966044E-2</v>
      </c>
      <c r="F28" s="8">
        <v>0</v>
      </c>
    </row>
    <row r="29" spans="1:6" x14ac:dyDescent="0.2">
      <c r="A29" s="77">
        <v>45017</v>
      </c>
      <c r="B29" s="8">
        <v>-9.5238095238095233E-2</v>
      </c>
      <c r="C29" s="8">
        <v>-1.0995052226499013E-3</v>
      </c>
      <c r="D29" s="8">
        <v>1.8270401948843567E-3</v>
      </c>
      <c r="E29" s="8">
        <v>3.3374113041350642E-2</v>
      </c>
      <c r="F29" s="8">
        <v>5.0790067720090613E-3</v>
      </c>
    </row>
    <row r="30" spans="1:6" x14ac:dyDescent="0.2">
      <c r="A30" s="77">
        <v>45047</v>
      </c>
      <c r="B30" s="8"/>
      <c r="C30" s="8">
        <v>6.0539350577876877E-3</v>
      </c>
      <c r="D30" s="8">
        <v>1.8237082066869992E-3</v>
      </c>
      <c r="E30" s="8">
        <v>3.0112316034082126E-2</v>
      </c>
      <c r="F30" s="8">
        <v>5.614823133071308E-3</v>
      </c>
    </row>
  </sheetData>
  <conditionalFormatting sqref="B2:F30">
    <cfRule type="colorScale" priority="1">
      <colorScale>
        <cfvo type="min"/>
        <cfvo type="percentile" val="50"/>
        <cfvo type="max"/>
        <color rgb="FFF8696B"/>
        <color rgb="FFFCFCFF"/>
        <color rgb="FF63BE7B"/>
      </colorScale>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CC42B-AC1F-AF40-83FD-0F9673614724}">
  <dimension ref="A1:D190"/>
  <sheetViews>
    <sheetView topLeftCell="A148" zoomScale="109" zoomScaleNormal="113" workbookViewId="0">
      <selection activeCell="A20" sqref="A20"/>
    </sheetView>
  </sheetViews>
  <sheetFormatPr baseColWidth="10" defaultRowHeight="16" x14ac:dyDescent="0.2"/>
  <cols>
    <col min="1" max="1" width="19" style="9" customWidth="1"/>
    <col min="2" max="2" width="49.6640625" style="9" customWidth="1"/>
    <col min="3" max="16384" width="10.83203125" style="9"/>
  </cols>
  <sheetData>
    <row r="1" spans="1:3" ht="22" x14ac:dyDescent="0.25">
      <c r="A1" s="95" t="s">
        <v>502</v>
      </c>
    </row>
    <row r="3" spans="1:3" ht="17" x14ac:dyDescent="0.2">
      <c r="A3" s="80" t="s">
        <v>247</v>
      </c>
    </row>
    <row r="4" spans="1:3" x14ac:dyDescent="0.2">
      <c r="A4" s="96" t="s">
        <v>463</v>
      </c>
    </row>
    <row r="6" spans="1:3" x14ac:dyDescent="0.2">
      <c r="A6" s="10" t="s">
        <v>464</v>
      </c>
    </row>
    <row r="7" spans="1:3" x14ac:dyDescent="0.2">
      <c r="A7" s="98"/>
      <c r="B7" s="12"/>
    </row>
    <row r="8" spans="1:3" x14ac:dyDescent="0.2">
      <c r="A8" s="20" t="s">
        <v>465</v>
      </c>
      <c r="B8" s="20" t="s">
        <v>466</v>
      </c>
      <c r="C8" s="11"/>
    </row>
    <row r="9" spans="1:3" x14ac:dyDescent="0.2">
      <c r="A9" s="20" t="s">
        <v>450</v>
      </c>
      <c r="B9" s="24" t="s">
        <v>467</v>
      </c>
      <c r="C9" s="11"/>
    </row>
    <row r="10" spans="1:3" x14ac:dyDescent="0.2">
      <c r="A10" s="20" t="s">
        <v>442</v>
      </c>
      <c r="B10" s="24" t="s">
        <v>468</v>
      </c>
      <c r="C10" s="11"/>
    </row>
    <row r="11" spans="1:3" x14ac:dyDescent="0.2">
      <c r="A11" s="20" t="s">
        <v>438</v>
      </c>
      <c r="B11" s="24" t="s">
        <v>469</v>
      </c>
      <c r="C11" s="11"/>
    </row>
    <row r="12" spans="1:3" x14ac:dyDescent="0.2">
      <c r="A12" s="20" t="s">
        <v>439</v>
      </c>
      <c r="B12" s="24" t="s">
        <v>470</v>
      </c>
      <c r="C12" s="11"/>
    </row>
    <row r="13" spans="1:3" x14ac:dyDescent="0.2">
      <c r="A13" s="20" t="s">
        <v>449</v>
      </c>
      <c r="B13" s="24" t="s">
        <v>471</v>
      </c>
      <c r="C13" s="11"/>
    </row>
    <row r="14" spans="1:3" x14ac:dyDescent="0.2">
      <c r="A14" s="13"/>
      <c r="B14" s="13"/>
    </row>
    <row r="16" spans="1:3" ht="17" x14ac:dyDescent="0.25">
      <c r="A16" s="10" t="s">
        <v>472</v>
      </c>
    </row>
    <row r="17" spans="1:3" x14ac:dyDescent="0.2">
      <c r="A17" s="98"/>
      <c r="B17" s="12"/>
    </row>
    <row r="18" spans="1:3" x14ac:dyDescent="0.2">
      <c r="A18" s="18" t="s">
        <v>473</v>
      </c>
      <c r="B18" s="18" t="s">
        <v>474</v>
      </c>
      <c r="C18" s="11"/>
    </row>
    <row r="19" spans="1:3" x14ac:dyDescent="0.2">
      <c r="A19" s="18" t="s">
        <v>475</v>
      </c>
      <c r="B19" s="16">
        <v>0.21</v>
      </c>
      <c r="C19" s="11"/>
    </row>
    <row r="20" spans="1:3" x14ac:dyDescent="0.2">
      <c r="A20" s="18" t="s">
        <v>191</v>
      </c>
      <c r="B20" s="16">
        <v>0.26</v>
      </c>
      <c r="C20" s="11"/>
    </row>
    <row r="21" spans="1:3" x14ac:dyDescent="0.2">
      <c r="A21" s="18" t="s">
        <v>189</v>
      </c>
      <c r="B21" s="16">
        <v>0.04</v>
      </c>
      <c r="C21" s="11"/>
    </row>
    <row r="22" spans="1:3" x14ac:dyDescent="0.2">
      <c r="A22" s="18" t="s">
        <v>365</v>
      </c>
      <c r="B22" s="16" t="s">
        <v>476</v>
      </c>
      <c r="C22" s="11"/>
    </row>
    <row r="23" spans="1:3" x14ac:dyDescent="0.2">
      <c r="A23" s="13"/>
      <c r="B23" s="13"/>
    </row>
    <row r="25" spans="1:3" x14ac:dyDescent="0.2">
      <c r="A25" s="10" t="s">
        <v>477</v>
      </c>
    </row>
    <row r="49" spans="1:1" ht="17" x14ac:dyDescent="0.2">
      <c r="A49" s="80" t="s">
        <v>478</v>
      </c>
    </row>
    <row r="50" spans="1:1" x14ac:dyDescent="0.2">
      <c r="A50" s="51" t="s">
        <v>479</v>
      </c>
    </row>
    <row r="51" spans="1:1" x14ac:dyDescent="0.2">
      <c r="A51" s="51" t="s">
        <v>480</v>
      </c>
    </row>
    <row r="52" spans="1:1" x14ac:dyDescent="0.2">
      <c r="A52" s="51" t="s">
        <v>481</v>
      </c>
    </row>
    <row r="78" spans="1:1" ht="17" x14ac:dyDescent="0.2">
      <c r="A78" s="80" t="s">
        <v>482</v>
      </c>
    </row>
    <row r="79" spans="1:1" x14ac:dyDescent="0.2">
      <c r="A79" s="87" t="s">
        <v>483</v>
      </c>
    </row>
    <row r="80" spans="1:1" x14ac:dyDescent="0.2">
      <c r="A80" s="87" t="s">
        <v>484</v>
      </c>
    </row>
    <row r="106" spans="1:1" ht="17" x14ac:dyDescent="0.2">
      <c r="A106" s="80" t="s">
        <v>485</v>
      </c>
    </row>
    <row r="107" spans="1:1" x14ac:dyDescent="0.2">
      <c r="A107" s="87" t="s">
        <v>486</v>
      </c>
    </row>
    <row r="108" spans="1:1" x14ac:dyDescent="0.2">
      <c r="A108" s="87" t="s">
        <v>487</v>
      </c>
    </row>
    <row r="109" spans="1:1" x14ac:dyDescent="0.2">
      <c r="A109" s="87" t="s">
        <v>488</v>
      </c>
    </row>
    <row r="140" spans="1:1" ht="17" x14ac:dyDescent="0.2">
      <c r="A140" s="80" t="s">
        <v>489</v>
      </c>
    </row>
    <row r="141" spans="1:1" x14ac:dyDescent="0.2">
      <c r="A141" s="87" t="s">
        <v>490</v>
      </c>
    </row>
    <row r="142" spans="1:1" x14ac:dyDescent="0.2">
      <c r="A142" s="87" t="s">
        <v>491</v>
      </c>
    </row>
    <row r="143" spans="1:1" x14ac:dyDescent="0.2">
      <c r="A143" s="87" t="s">
        <v>492</v>
      </c>
    </row>
    <row r="176" spans="1:1" ht="17" x14ac:dyDescent="0.2">
      <c r="A176" s="80" t="s">
        <v>493</v>
      </c>
    </row>
    <row r="177" spans="1:4" x14ac:dyDescent="0.2">
      <c r="A177" s="87" t="s">
        <v>490</v>
      </c>
    </row>
    <row r="178" spans="1:4" x14ac:dyDescent="0.2">
      <c r="A178" s="87" t="s">
        <v>491</v>
      </c>
    </row>
    <row r="179" spans="1:4" x14ac:dyDescent="0.2">
      <c r="A179" s="97" t="s">
        <v>494</v>
      </c>
    </row>
    <row r="181" spans="1:4" ht="22" x14ac:dyDescent="0.25">
      <c r="A181" s="54" t="s">
        <v>256</v>
      </c>
    </row>
    <row r="182" spans="1:4" x14ac:dyDescent="0.2">
      <c r="A182" s="51" t="s">
        <v>498</v>
      </c>
    </row>
    <row r="183" spans="1:4" x14ac:dyDescent="0.2">
      <c r="A183" s="51" t="s">
        <v>495</v>
      </c>
    </row>
    <row r="184" spans="1:4" x14ac:dyDescent="0.2">
      <c r="A184" s="51" t="s">
        <v>496</v>
      </c>
    </row>
    <row r="185" spans="1:4" x14ac:dyDescent="0.2">
      <c r="A185" s="51" t="s">
        <v>497</v>
      </c>
    </row>
    <row r="188" spans="1:4" ht="22" x14ac:dyDescent="0.25">
      <c r="A188" s="54" t="s">
        <v>348</v>
      </c>
    </row>
    <row r="189" spans="1:4" x14ac:dyDescent="0.2">
      <c r="A189" s="96" t="s">
        <v>499</v>
      </c>
    </row>
    <row r="190" spans="1:4" ht="50" customHeight="1" x14ac:dyDescent="0.2">
      <c r="A190" s="109" t="s">
        <v>500</v>
      </c>
      <c r="B190" s="109"/>
      <c r="C190" s="109"/>
      <c r="D190" s="109"/>
    </row>
  </sheetData>
  <mergeCells count="1">
    <mergeCell ref="A190:D190"/>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7E9C6-4C9B-254C-B5E1-FA822024760B}">
  <dimension ref="A1:K84"/>
  <sheetViews>
    <sheetView workbookViewId="0">
      <selection activeCell="A2" sqref="A2:C78"/>
    </sheetView>
  </sheetViews>
  <sheetFormatPr baseColWidth="10" defaultRowHeight="16" x14ac:dyDescent="0.2"/>
  <cols>
    <col min="1" max="1" width="20.5" bestFit="1" customWidth="1"/>
    <col min="3" max="3" width="10.1640625" bestFit="1" customWidth="1"/>
    <col min="4" max="4" width="21.5" bestFit="1" customWidth="1"/>
    <col min="5" max="5" width="16.83203125" bestFit="1" customWidth="1"/>
    <col min="8" max="8" width="33.83203125" bestFit="1" customWidth="1"/>
    <col min="9" max="11" width="15.33203125" bestFit="1" customWidth="1"/>
  </cols>
  <sheetData>
    <row r="1" spans="1:11" x14ac:dyDescent="0.2">
      <c r="A1" s="23" t="s">
        <v>161</v>
      </c>
      <c r="B1" s="23" t="s">
        <v>1</v>
      </c>
      <c r="C1" s="23" t="s">
        <v>2</v>
      </c>
      <c r="D1" s="23" t="s">
        <v>171</v>
      </c>
      <c r="E1" s="23" t="s">
        <v>173</v>
      </c>
      <c r="F1" s="23" t="s">
        <v>172</v>
      </c>
      <c r="H1" s="17" t="s">
        <v>179</v>
      </c>
      <c r="I1" s="17" t="s">
        <v>180</v>
      </c>
      <c r="J1" s="17" t="s">
        <v>181</v>
      </c>
      <c r="K1" s="17" t="s">
        <v>182</v>
      </c>
    </row>
    <row r="2" spans="1:11" x14ac:dyDescent="0.2">
      <c r="A2" s="19">
        <f>DATE(2017,1,1)</f>
        <v>42736</v>
      </c>
      <c r="B2" s="16">
        <f>YEAR(A2)</f>
        <v>2017</v>
      </c>
      <c r="C2" s="16" t="str">
        <f>TEXT(A2,"mmmm")</f>
        <v>January</v>
      </c>
      <c r="D2" s="24" cm="1">
        <f t="array" ref="D2">IFERROR(
  INDEX(All_India_Index_Upto_April23__1___1[Food and beverages],
        MATCH(1,
              (All_India_Index_Upto_April23__1___1[Sector]="Rural+Urban") *
              (All_India_Index_Upto_April23__1___1[Date]=$A2),
              0)
  ),
  ""
)</f>
        <v>133.1</v>
      </c>
      <c r="E2" s="24" cm="1">
        <f t="array" ref="E2">IFERROR(
  INDEX(All_India_Index_Upto_April23__1___1[Food and beverages],
        MATCH(1,
              (All_India_Index_Upto_April23__1___1[Sector]="Rural+Urban") *
              (All_India_Index_Upto_April23__1___1[Date]=EDATE($A2,-1)),
              0)
  ),
  ""
)</f>
        <v>134</v>
      </c>
      <c r="F2" s="25">
        <f>IF(E2="","", IF(E2=0,"", (D2-E2)/E2 ))</f>
        <v>-6.7164179104478037E-3</v>
      </c>
      <c r="H2" s="4" t="s">
        <v>3</v>
      </c>
      <c r="I2" cm="1">
        <f t="array" ref="I2">IFERROR(
  INDEX(All_India_Index_Upto_April23__1___1[Cereals and products],
        MATCH(1,
              (All_India_Index_Upto_April23__1___1[Sector]="Rural+Urban") *
              (All_India_Index_Upto_April23__1___1[Date]=DATE(2022,5,1)),
              0)
  ),
  ""
)</f>
        <v>154.1</v>
      </c>
      <c r="J2" cm="1">
        <f t="array" ref="J2">IFERROR(
  INDEX(All_India_Index_Upto_April23__1___1[Cereals and products],
        MATCH(1,
              (All_India_Index_Upto_April23__1___1[Sector]="Rural+Urban") *
              (All_India_Index_Upto_April23__1___1[Date]=DATE(2023,5,1)),
              0)
  ),
  ""
)</f>
        <v>173.7</v>
      </c>
      <c r="K2">
        <f>IF( OR(I2="", J2=""), "", J2 - I2 )</f>
        <v>19.599999999999994</v>
      </c>
    </row>
    <row r="3" spans="1:11" x14ac:dyDescent="0.2">
      <c r="A3" s="19">
        <f>EDATE(A2,1)</f>
        <v>42767</v>
      </c>
      <c r="B3" s="16">
        <f t="shared" ref="B3:B66" si="0">YEAR(A3)</f>
        <v>2017</v>
      </c>
      <c r="C3" s="16" t="str">
        <f t="shared" ref="C3:C66" si="1">TEXT(A3,"mmmm")</f>
        <v>February</v>
      </c>
      <c r="D3" s="24" cm="1">
        <f t="array" ref="D3">IFERROR(
  INDEX(All_India_Index_Upto_April23__1___1[Food and beverages],
        MATCH(1,
              (All_India_Index_Upto_April23__1___1[Sector]="Rural+Urban") *
              (All_India_Index_Upto_April23__1___1[Date]=$A3),
              0)
  ),
  ""
)</f>
        <v>133</v>
      </c>
      <c r="E3" s="24" cm="1">
        <f t="array" ref="E3">IFERROR(
  INDEX(All_India_Index_Upto_April23__1___1[Food and beverages],
        MATCH(1,
              (All_India_Index_Upto_April23__1___1[Sector]="Rural+Urban") *
              (All_India_Index_Upto_April23__1___1[Date]=EDATE($A3,-1)),
              0)
  ),
  ""
)</f>
        <v>133.1</v>
      </c>
      <c r="F3" s="25">
        <f t="shared" ref="F3:F66" si="2">IF(E3="","", IF(E3=0,"", (D3-E3)/E3 ))</f>
        <v>-7.5131480090153508E-4</v>
      </c>
      <c r="H3" s="4" t="s">
        <v>4</v>
      </c>
      <c r="I3" cm="1">
        <f t="array" ref="I3">IFERROR(
  INDEX(All_India_Index_Upto_April23__1___1[Meat and fish],
        MATCH(1,
              (All_India_Index_Upto_April23__1___1[Sector]="Rural+Urban") *
              (All_India_Index_Upto_April23__1___1[Date]=DATE(2022,5,1)),
              0)
  ),
  ""
)</f>
        <v>217</v>
      </c>
      <c r="J3" cm="1">
        <f t="array" ref="J3">IFERROR(
  INDEX(All_India_Index_Upto_April23__1___1[Meat and fish],
        MATCH(1,
              (All_India_Index_Upto_April23__1___1[Sector]="Rural+Urban") *
              (All_India_Index_Upto_April23__1___1[Date]=DATE(2023,5,1)),
              0)
  ),
  ""
)</f>
        <v>214.3</v>
      </c>
      <c r="K3">
        <f t="shared" ref="K3:K13" si="3">IF( OR(I3="", J3=""), "", J3 - I3 )</f>
        <v>-2.6999999999999886</v>
      </c>
    </row>
    <row r="4" spans="1:11" x14ac:dyDescent="0.2">
      <c r="A4" s="19">
        <f t="shared" ref="A4:A55" si="4">EDATE(A3,1)</f>
        <v>42795</v>
      </c>
      <c r="B4" s="16">
        <f t="shared" si="0"/>
        <v>2017</v>
      </c>
      <c r="C4" s="16" t="str">
        <f t="shared" si="1"/>
        <v>March</v>
      </c>
      <c r="D4" s="24" cm="1">
        <f t="array" ref="D4">IFERROR(
  INDEX(All_India_Index_Upto_April23__1___1[Food and beverages],
        MATCH(1,
              (All_India_Index_Upto_April23__1___1[Sector]="Rural+Urban") *
              (All_India_Index_Upto_April23__1___1[Date]=$A4),
              0)
  ),
  ""
)</f>
        <v>133.1</v>
      </c>
      <c r="E4" s="24" cm="1">
        <f t="array" ref="E4">IFERROR(
  INDEX(All_India_Index_Upto_April23__1___1[Food and beverages],
        MATCH(1,
              (All_India_Index_Upto_April23__1___1[Sector]="Rural+Urban") *
              (All_India_Index_Upto_April23__1___1[Date]=EDATE($A4,-1)),
              0)
  ),
  ""
)</f>
        <v>133</v>
      </c>
      <c r="F4" s="25">
        <f t="shared" si="2"/>
        <v>7.5187969924807752E-4</v>
      </c>
      <c r="H4" s="4" t="s">
        <v>5</v>
      </c>
      <c r="I4" cm="1">
        <f t="array" ref="I4">IFERROR(
  INDEX(All_India_Index_Upto_April23__1___1[Egg],
        MATCH(1,
              (All_India_Index_Upto_April23__1___1[Sector]="Rural+Urban") *
              (All_India_Index_Upto_April23__1___1[Date]=DATE(2022,5,1)),
              0)
  ),
  ""
)</f>
        <v>162.4</v>
      </c>
      <c r="J4" cm="1">
        <f t="array" ref="J4">IFERROR(
  INDEX(All_India_Index_Upto_April23__1___1[Egg],
        MATCH(1,
              (All_India_Index_Upto_April23__1___1[Sector]="Rural+Urban") *
              (All_India_Index_Upto_April23__1___1[Date]=DATE(2023,5,1)),
              0)
  ),
  ""
)</f>
        <v>173.2</v>
      </c>
      <c r="K4">
        <f t="shared" si="3"/>
        <v>10.799999999999983</v>
      </c>
    </row>
    <row r="5" spans="1:11" x14ac:dyDescent="0.2">
      <c r="A5" s="19">
        <f t="shared" si="4"/>
        <v>42826</v>
      </c>
      <c r="B5" s="16">
        <f t="shared" si="0"/>
        <v>2017</v>
      </c>
      <c r="C5" s="16" t="str">
        <f t="shared" si="1"/>
        <v>April</v>
      </c>
      <c r="D5" s="24" cm="1">
        <f t="array" ref="D5">IFERROR(
  INDEX(All_India_Index_Upto_April23__1___1[Food and beverages],
        MATCH(1,
              (All_India_Index_Upto_April23__1___1[Sector]="Rural+Urban") *
              (All_India_Index_Upto_April23__1___1[Date]=$A5),
              0)
  ),
  ""
)</f>
        <v>133.5</v>
      </c>
      <c r="E5" s="24" cm="1">
        <f t="array" ref="E5">IFERROR(
  INDEX(All_India_Index_Upto_April23__1___1[Food and beverages],
        MATCH(1,
              (All_India_Index_Upto_April23__1___1[Sector]="Rural+Urban") *
              (All_India_Index_Upto_April23__1___1[Date]=EDATE($A5,-1)),
              0)
  ),
  ""
)</f>
        <v>133.1</v>
      </c>
      <c r="F5" s="25">
        <f t="shared" si="2"/>
        <v>3.0052592036063537E-3</v>
      </c>
      <c r="H5" s="4" t="s">
        <v>6</v>
      </c>
      <c r="I5" cm="1">
        <f t="array" ref="I5">IFERROR(
  INDEX(All_India_Index_Upto_April23__1___1[Milk and products],
        MATCH(1,
              (All_India_Index_Upto_April23__1___1[Sector]="Rural+Urban") *
              (All_India_Index_Upto_April23__1___1[Date]=DATE(2022,5,1)),
              0)
  ),
  ""
)</f>
        <v>164.9</v>
      </c>
      <c r="J5" cm="1">
        <f t="array" ref="J5">IFERROR(
  INDEX(All_India_Index_Upto_April23__1___1[Milk and products],
        MATCH(1,
              (All_India_Index_Upto_April23__1___1[Sector]="Rural+Urban") *
              (All_India_Index_Upto_April23__1___1[Date]=DATE(2023,5,1)),
              0)
  ),
  ""
)</f>
        <v>179.5</v>
      </c>
      <c r="K5">
        <f t="shared" si="3"/>
        <v>14.599999999999994</v>
      </c>
    </row>
    <row r="6" spans="1:11" x14ac:dyDescent="0.2">
      <c r="A6" s="19">
        <f t="shared" si="4"/>
        <v>42856</v>
      </c>
      <c r="B6" s="16">
        <f t="shared" si="0"/>
        <v>2017</v>
      </c>
      <c r="C6" s="16" t="str">
        <f t="shared" si="1"/>
        <v>May</v>
      </c>
      <c r="D6" s="24" cm="1">
        <f t="array" ref="D6">IFERROR(
  INDEX(All_India_Index_Upto_April23__1___1[Food and beverages],
        MATCH(1,
              (All_India_Index_Upto_April23__1___1[Sector]="Rural+Urban") *
              (All_India_Index_Upto_April23__1___1[Date]=$A6),
              0)
  ),
  ""
)</f>
        <v>133.69999999999999</v>
      </c>
      <c r="E6" s="24" cm="1">
        <f t="array" ref="E6">IFERROR(
  INDEX(All_India_Index_Upto_April23__1___1[Food and beverages],
        MATCH(1,
              (All_India_Index_Upto_April23__1___1[Sector]="Rural+Urban") *
              (All_India_Index_Upto_April23__1___1[Date]=EDATE($A6,-1)),
              0)
  ),
  ""
)</f>
        <v>133.5</v>
      </c>
      <c r="F6" s="25">
        <f t="shared" si="2"/>
        <v>1.4981273408238849E-3</v>
      </c>
      <c r="H6" s="4" t="s">
        <v>7</v>
      </c>
      <c r="I6" cm="1">
        <f t="array" ref="I6">IFERROR(
  INDEX(All_India_Index_Upto_April23__1___1[Oils and fats],
        MATCH(1,
              (All_India_Index_Upto_April23__1___1[Sector]="Rural+Urban") *
              (All_India_Index_Upto_April23__1___1[Date]=DATE(2022,5,1)),
              0)
  ),
  ""
)</f>
        <v>202.4</v>
      </c>
      <c r="J6" cm="1">
        <f t="array" ref="J6">IFERROR(
  INDEX(All_India_Index_Upto_April23__1___1[Oils and fats],
        MATCH(1,
              (All_India_Index_Upto_April23__1___1[Sector]="Rural+Urban") *
              (All_India_Index_Upto_April23__1___1[Date]=DATE(2023,5,1)),
              0)
  ),
  ""
)</f>
        <v>170</v>
      </c>
      <c r="K6">
        <f t="shared" si="3"/>
        <v>-32.400000000000006</v>
      </c>
    </row>
    <row r="7" spans="1:11" x14ac:dyDescent="0.2">
      <c r="A7" s="19">
        <f t="shared" si="4"/>
        <v>42887</v>
      </c>
      <c r="B7" s="16">
        <f t="shared" si="0"/>
        <v>2017</v>
      </c>
      <c r="C7" s="16" t="str">
        <f t="shared" si="1"/>
        <v>June</v>
      </c>
      <c r="D7" s="24" cm="1">
        <f t="array" ref="D7">IFERROR(
  INDEX(All_India_Index_Upto_April23__1___1[Food and beverages],
        MATCH(1,
              (All_India_Index_Upto_April23__1___1[Sector]="Rural+Urban") *
              (All_India_Index_Upto_April23__1___1[Date]=$A7),
              0)
  ),
  ""
)</f>
        <v>135.19999999999999</v>
      </c>
      <c r="E7" s="24" cm="1">
        <f t="array" ref="E7">IFERROR(
  INDEX(All_India_Index_Upto_April23__1___1[Food and beverages],
        MATCH(1,
              (All_India_Index_Upto_April23__1___1[Sector]="Rural+Urban") *
              (All_India_Index_Upto_April23__1___1[Date]=EDATE($A7,-1)),
              0)
  ),
  ""
)</f>
        <v>133.69999999999999</v>
      </c>
      <c r="F7" s="25">
        <f t="shared" si="2"/>
        <v>1.1219147344801795E-2</v>
      </c>
      <c r="H7" s="4" t="s">
        <v>8</v>
      </c>
      <c r="I7" cm="1">
        <f t="array" ref="I7">IFERROR(
  INDEX(All_India_Index_Upto_April23__1___1[Fruits],
        MATCH(1,
              (All_India_Index_Upto_April23__1___1[Sector]="Rural+Urban") *
              (All_India_Index_Upto_April23__1___1[Date]=DATE(2022,5,1)),
              0)
  ),
  ""
)</f>
        <v>171</v>
      </c>
      <c r="J7" cm="1">
        <f t="array" ref="J7">IFERROR(
  INDEX(All_India_Index_Upto_April23__1___1[Fruits],
        MATCH(1,
              (All_India_Index_Upto_April23__1___1[Sector]="Rural+Urban") *
              (All_India_Index_Upto_April23__1___1[Date]=DATE(2023,5,1)),
              0)
  ),
  ""
)</f>
        <v>172.2</v>
      </c>
      <c r="K7">
        <f t="shared" si="3"/>
        <v>1.1999999999999886</v>
      </c>
    </row>
    <row r="8" spans="1:11" x14ac:dyDescent="0.2">
      <c r="A8" s="19">
        <f t="shared" si="4"/>
        <v>42917</v>
      </c>
      <c r="B8" s="16">
        <f t="shared" si="0"/>
        <v>2017</v>
      </c>
      <c r="C8" s="16" t="str">
        <f t="shared" si="1"/>
        <v>July</v>
      </c>
      <c r="D8" s="24" cm="1">
        <f t="array" ref="D8">IFERROR(
  INDEX(All_India_Index_Upto_April23__1___1[Food and beverages],
        MATCH(1,
              (All_India_Index_Upto_April23__1___1[Sector]="Rural+Urban") *
              (All_India_Index_Upto_April23__1___1[Date]=$A8),
              0)
  ),
  ""
)</f>
        <v>139</v>
      </c>
      <c r="E8" s="24" cm="1">
        <f t="array" ref="E8">IFERROR(
  INDEX(All_India_Index_Upto_April23__1___1[Food and beverages],
        MATCH(1,
              (All_India_Index_Upto_April23__1___1[Sector]="Rural+Urban") *
              (All_India_Index_Upto_April23__1___1[Date]=EDATE($A8,-1)),
              0)
  ),
  ""
)</f>
        <v>135.19999999999999</v>
      </c>
      <c r="F8" s="25">
        <f t="shared" si="2"/>
        <v>2.8106508875739733E-2</v>
      </c>
      <c r="H8" s="4" t="s">
        <v>9</v>
      </c>
      <c r="I8" cm="1">
        <f t="array" ref="I8">IFERROR(
  INDEX(All_India_Index_Upto_April23__1___1[Vegetables],
        MATCH(1,
              (All_India_Index_Upto_April23__1___1[Sector]="Rural+Urban") *
              (All_India_Index_Upto_April23__1___1[Date]=DATE(2022,5,1)),
              0)
  ),
  ""
)</f>
        <v>174.9</v>
      </c>
      <c r="J8" cm="1">
        <f t="array" ref="J8">IFERROR(
  INDEX(All_India_Index_Upto_April23__1___1[Vegetables],
        MATCH(1,
              (All_India_Index_Upto_April23__1___1[Sector]="Rural+Urban") *
              (All_India_Index_Upto_April23__1___1[Date]=DATE(2023,5,1)),
              0)
  ),
  ""
)</f>
        <v>161</v>
      </c>
      <c r="K8">
        <f t="shared" si="3"/>
        <v>-13.900000000000006</v>
      </c>
    </row>
    <row r="9" spans="1:11" x14ac:dyDescent="0.2">
      <c r="A9" s="19">
        <f t="shared" si="4"/>
        <v>42948</v>
      </c>
      <c r="B9" s="16">
        <f t="shared" si="0"/>
        <v>2017</v>
      </c>
      <c r="C9" s="16" t="str">
        <f t="shared" si="1"/>
        <v>August</v>
      </c>
      <c r="D9" s="24" cm="1">
        <f t="array" ref="D9">IFERROR(
  INDEX(All_India_Index_Upto_April23__1___1[Food and beverages],
        MATCH(1,
              (All_India_Index_Upto_April23__1___1[Sector]="Rural+Urban") *
              (All_India_Index_Upto_April23__1___1[Date]=$A9),
              0)
  ),
  ""
)</f>
        <v>140.6</v>
      </c>
      <c r="E9" s="24" cm="1">
        <f t="array" ref="E9">IFERROR(
  INDEX(All_India_Index_Upto_April23__1___1[Food and beverages],
        MATCH(1,
              (All_India_Index_Upto_April23__1___1[Sector]="Rural+Urban") *
              (All_India_Index_Upto_April23__1___1[Date]=EDATE($A9,-1)),
              0)
  ),
  ""
)</f>
        <v>139</v>
      </c>
      <c r="F9" s="25">
        <f t="shared" si="2"/>
        <v>1.1510791366906433E-2</v>
      </c>
      <c r="H9" s="4" t="s">
        <v>10</v>
      </c>
      <c r="I9" cm="1">
        <f t="array" ref="I9">IFERROR(
  INDEX(All_India_Index_Upto_April23__1___1[Pulses and products],
        MATCH(1,
              (All_India_Index_Upto_April23__1___1[Sector]="Rural+Urban") *
              (All_India_Index_Upto_April23__1___1[Date]=DATE(2022,5,1)),
              0)
  ),
  ""
)</f>
        <v>164.7</v>
      </c>
      <c r="J9" cm="1">
        <f t="array" ref="J9">IFERROR(
  INDEX(All_India_Index_Upto_April23__1___1[Pulses and products],
        MATCH(1,
              (All_India_Index_Upto_April23__1___1[Sector]="Rural+Urban") *
              (All_India_Index_Upto_April23__1___1[Date]=DATE(2023,5,1)),
              0)
  ),
  ""
)</f>
        <v>175.6</v>
      </c>
      <c r="K9">
        <f t="shared" si="3"/>
        <v>10.900000000000006</v>
      </c>
    </row>
    <row r="10" spans="1:11" x14ac:dyDescent="0.2">
      <c r="A10" s="19">
        <f t="shared" si="4"/>
        <v>42979</v>
      </c>
      <c r="B10" s="16">
        <f t="shared" si="0"/>
        <v>2017</v>
      </c>
      <c r="C10" s="16" t="str">
        <f t="shared" si="1"/>
        <v>September</v>
      </c>
      <c r="D10" s="24" cm="1">
        <f t="array" ref="D10">IFERROR(
  INDEX(All_India_Index_Upto_April23__1___1[Food and beverages],
        MATCH(1,
              (All_India_Index_Upto_April23__1___1[Sector]="Rural+Urban") *
              (All_India_Index_Upto_April23__1___1[Date]=$A10),
              0)
  ),
  ""
)</f>
        <v>139</v>
      </c>
      <c r="E10" s="24" cm="1">
        <f t="array" ref="E10">IFERROR(
  INDEX(All_India_Index_Upto_April23__1___1[Food and beverages],
        MATCH(1,
              (All_India_Index_Upto_April23__1___1[Sector]="Rural+Urban") *
              (All_India_Index_Upto_April23__1___1[Date]=EDATE($A10,-1)),
              0)
  ),
  ""
)</f>
        <v>140.6</v>
      </c>
      <c r="F10" s="25">
        <f t="shared" si="2"/>
        <v>-1.1379800853485025E-2</v>
      </c>
      <c r="H10" s="4" t="s">
        <v>11</v>
      </c>
      <c r="I10" cm="1">
        <f t="array" ref="I10">IFERROR(
  INDEX(All_India_Index_Upto_April23__1___1[Sugar and Confectionery],
        MATCH(1,
              (All_India_Index_Upto_April23__1___1[Sector]="Rural+Urban") *
              (All_India_Index_Upto_April23__1___1[Date]=DATE(2022,5,1)),
              0)
  ),
  ""
)</f>
        <v>119.7</v>
      </c>
      <c r="J10" cm="1">
        <f t="array" ref="J10">IFERROR(
  INDEX(All_India_Index_Upto_April23__1___1[Sugar and Confectionery],
        MATCH(1,
              (All_India_Index_Upto_April23__1___1[Sector]="Rural+Urban") *
              (All_India_Index_Upto_April23__1___1[Date]=DATE(2023,5,1)),
              0)
  ),
  ""
)</f>
        <v>122.7</v>
      </c>
      <c r="K10">
        <f t="shared" si="3"/>
        <v>3</v>
      </c>
    </row>
    <row r="11" spans="1:11" x14ac:dyDescent="0.2">
      <c r="A11" s="19">
        <f t="shared" si="4"/>
        <v>43009</v>
      </c>
      <c r="B11" s="16">
        <f t="shared" si="0"/>
        <v>2017</v>
      </c>
      <c r="C11" s="16" t="str">
        <f t="shared" si="1"/>
        <v>October</v>
      </c>
      <c r="D11" s="24" cm="1">
        <f t="array" ref="D11">IFERROR(
  INDEX(All_India_Index_Upto_April23__1___1[Food and beverages],
        MATCH(1,
              (All_India_Index_Upto_April23__1___1[Sector]="Rural+Urban") *
              (All_India_Index_Upto_April23__1___1[Date]=$A11),
              0)
  ),
  ""
)</f>
        <v>140.1</v>
      </c>
      <c r="E11" s="24" cm="1">
        <f t="array" ref="E11">IFERROR(
  INDEX(All_India_Index_Upto_April23__1___1[Food and beverages],
        MATCH(1,
              (All_India_Index_Upto_April23__1___1[Sector]="Rural+Urban") *
              (All_India_Index_Upto_April23__1___1[Date]=EDATE($A11,-1)),
              0)
  ),
  ""
)</f>
        <v>139</v>
      </c>
      <c r="F11" s="25">
        <f t="shared" si="2"/>
        <v>7.9136690647481599E-3</v>
      </c>
      <c r="H11" s="4" t="s">
        <v>12</v>
      </c>
      <c r="I11" cm="1">
        <f t="array" ref="I11">IFERROR(
  INDEX(All_India_Index_Upto_April23__1___1[Spices],
        MATCH(1,
              (All_India_Index_Upto_April23__1___1[Sector]="Rural+Urban") *
              (All_India_Index_Upto_April23__1___1[Date]=DATE(2022,5,1)),
              0)
  ),
  ""
)</f>
        <v>184.9</v>
      </c>
      <c r="J11" cm="1">
        <f t="array" ref="J11">IFERROR(
  INDEX(All_India_Index_Upto_April23__1___1[Spices],
        MATCH(1,
              (All_India_Index_Upto_April23__1___1[Sector]="Rural+Urban") *
              (All_India_Index_Upto_April23__1___1[Date]=DATE(2023,5,1)),
              0)
  ),
  ""
)</f>
        <v>218</v>
      </c>
      <c r="K11">
        <f t="shared" si="3"/>
        <v>33.099999999999994</v>
      </c>
    </row>
    <row r="12" spans="1:11" x14ac:dyDescent="0.2">
      <c r="A12" s="19">
        <f t="shared" si="4"/>
        <v>43040</v>
      </c>
      <c r="B12" s="16">
        <f t="shared" si="0"/>
        <v>2017</v>
      </c>
      <c r="C12" s="16" t="str">
        <f t="shared" si="1"/>
        <v>November</v>
      </c>
      <c r="D12" s="24" cm="1">
        <f t="array" ref="D12">IFERROR(
  INDEX(All_India_Index_Upto_April23__1___1[Food and beverages],
        MATCH(1,
              (All_India_Index_Upto_April23__1___1[Sector]="Rural+Urban") *
              (All_India_Index_Upto_April23__1___1[Date]=$A12),
              0)
  ),
  ""
)</f>
        <v>142.1</v>
      </c>
      <c r="E12" s="24" cm="1">
        <f t="array" ref="E12">IFERROR(
  INDEX(All_India_Index_Upto_April23__1___1[Food and beverages],
        MATCH(1,
              (All_India_Index_Upto_April23__1___1[Sector]="Rural+Urban") *
              (All_India_Index_Upto_April23__1___1[Date]=EDATE($A12,-1)),
              0)
  ),
  ""
)</f>
        <v>140.1</v>
      </c>
      <c r="F12" s="25">
        <f t="shared" si="2"/>
        <v>1.4275517487508924E-2</v>
      </c>
      <c r="H12" s="4" t="s">
        <v>13</v>
      </c>
      <c r="I12" cm="1">
        <f t="array" ref="I12">IFERROR(
  INDEX(All_India_Index_Upto_April23__1___1[Non-alcoholic beverages],
        MATCH(1,
              (All_India_Index_Upto_April23__1___1[Sector]="Rural+Urban") *
              (All_India_Index_Upto_April23__1___1[Date]=DATE(2022,5,1)),
              0)
  ),
  ""
)</f>
        <v>167.1</v>
      </c>
      <c r="J12" cm="1">
        <f t="array" ref="J12">IFERROR(
  INDEX(All_India_Index_Upto_April23__1___1[Non-alcoholic beverages],
        MATCH(1,
              (All_India_Index_Upto_April23__1___1[Sector]="Rural+Urban") *
              (All_India_Index_Upto_April23__1___1[Date]=DATE(2023,5,1)),
              0)
  ),
  ""
)</f>
        <v>173.4</v>
      </c>
      <c r="K12">
        <f t="shared" si="3"/>
        <v>6.3000000000000114</v>
      </c>
    </row>
    <row r="13" spans="1:11" x14ac:dyDescent="0.2">
      <c r="A13" s="19">
        <f t="shared" si="4"/>
        <v>43070</v>
      </c>
      <c r="B13" s="16">
        <f t="shared" si="0"/>
        <v>2017</v>
      </c>
      <c r="C13" s="16" t="str">
        <f t="shared" si="1"/>
        <v>December</v>
      </c>
      <c r="D13" s="24" cm="1">
        <f t="array" ref="D13">IFERROR(
  INDEX(All_India_Index_Upto_April23__1___1[Food and beverages],
        MATCH(1,
              (All_India_Index_Upto_April23__1___1[Sector]="Rural+Urban") *
              (All_India_Index_Upto_April23__1___1[Date]=$A13),
              0)
  ),
  ""
)</f>
        <v>140.5</v>
      </c>
      <c r="E13" s="24" cm="1">
        <f t="array" ref="E13">IFERROR(
  INDEX(All_India_Index_Upto_April23__1___1[Food and beverages],
        MATCH(1,
              (All_India_Index_Upto_April23__1___1[Sector]="Rural+Urban") *
              (All_India_Index_Upto_April23__1___1[Date]=EDATE($A13,-1)),
              0)
  ),
  ""
)</f>
        <v>142.1</v>
      </c>
      <c r="F13" s="25">
        <f t="shared" si="2"/>
        <v>-1.1259676284306786E-2</v>
      </c>
      <c r="H13" s="4" t="s">
        <v>14</v>
      </c>
      <c r="I13" cm="1">
        <f t="array" ref="I13">IFERROR(
  INDEX(All_India_Index_Upto_April23__1___1[Prepared meals, snacks, sweets etc.],
        MATCH(1,
              (All_India_Index_Upto_April23__1___1[Sector]="Rural+Urban") *
              (All_India_Index_Upto_April23__1___1[Date]=DATE(2022,5,1)),
              0)
  ),
  ""
)</f>
        <v>182.5</v>
      </c>
      <c r="J13" cm="1">
        <f t="array" ref="J13">IFERROR(
  INDEX(All_India_Index_Upto_April23__1___1[Prepared meals, snacks, sweets etc.],
        MATCH(1,
              (All_India_Index_Upto_April23__1___1[Sector]="Rural+Urban") *
              (All_India_Index_Upto_April23__1___1[Date]=DATE(2023,5,1)),
              0)
  ),
  ""
)</f>
        <v>194.2</v>
      </c>
      <c r="K13">
        <f t="shared" si="3"/>
        <v>11.699999999999989</v>
      </c>
    </row>
    <row r="14" spans="1:11" x14ac:dyDescent="0.2">
      <c r="A14" s="19">
        <f t="shared" si="4"/>
        <v>43101</v>
      </c>
      <c r="B14" s="16">
        <f t="shared" si="0"/>
        <v>2018</v>
      </c>
      <c r="C14" s="16" t="str">
        <f t="shared" si="1"/>
        <v>January</v>
      </c>
      <c r="D14" s="24" cm="1">
        <f t="array" ref="D14">IFERROR(
  INDEX(All_India_Index_Upto_April23__1___1[Food and beverages],
        MATCH(1,
              (All_India_Index_Upto_April23__1___1[Sector]="Rural+Urban") *
              (All_India_Index_Upto_April23__1___1[Date]=$A14),
              0)
  ),
  ""
)</f>
        <v>139.19999999999999</v>
      </c>
      <c r="E14" s="24" cm="1">
        <f t="array" ref="E14">IFERROR(
  INDEX(All_India_Index_Upto_April23__1___1[Food and beverages],
        MATCH(1,
              (All_India_Index_Upto_April23__1___1[Sector]="Rural+Urban") *
              (All_India_Index_Upto_April23__1___1[Date]=EDATE($A14,-1)),
              0)
  ),
  ""
)</f>
        <v>140.5</v>
      </c>
      <c r="F14" s="25">
        <f t="shared" si="2"/>
        <v>-9.2526690391459884E-3</v>
      </c>
      <c r="H14" s="4"/>
    </row>
    <row r="15" spans="1:11" x14ac:dyDescent="0.2">
      <c r="A15" s="19">
        <f t="shared" si="4"/>
        <v>43132</v>
      </c>
      <c r="B15" s="16">
        <f t="shared" si="0"/>
        <v>2018</v>
      </c>
      <c r="C15" s="16" t="str">
        <f t="shared" si="1"/>
        <v>February</v>
      </c>
      <c r="D15" s="24" cm="1">
        <f t="array" ref="D15">IFERROR(
  INDEX(All_India_Index_Upto_April23__1___1[Food and beverages],
        MATCH(1,
              (All_India_Index_Upto_April23__1___1[Sector]="Rural+Urban") *
              (All_India_Index_Upto_April23__1___1[Date]=$A15),
              0)
  ),
  ""
)</f>
        <v>137.6</v>
      </c>
      <c r="E15" s="24" cm="1">
        <f t="array" ref="E15">IFERROR(
  INDEX(All_India_Index_Upto_April23__1___1[Food and beverages],
        MATCH(1,
              (All_India_Index_Upto_April23__1___1[Sector]="Rural+Urban") *
              (All_India_Index_Upto_April23__1___1[Date]=EDATE($A15,-1)),
              0)
  ),
  ""
)</f>
        <v>139.19999999999999</v>
      </c>
      <c r="F15" s="25">
        <f t="shared" si="2"/>
        <v>-1.1494252873563178E-2</v>
      </c>
      <c r="H15" s="4" t="s">
        <v>183</v>
      </c>
    </row>
    <row r="16" spans="1:11" x14ac:dyDescent="0.2">
      <c r="A16" s="19">
        <f t="shared" si="4"/>
        <v>43160</v>
      </c>
      <c r="B16" s="16">
        <f t="shared" si="0"/>
        <v>2018</v>
      </c>
      <c r="C16" s="16" t="str">
        <f t="shared" si="1"/>
        <v>March</v>
      </c>
      <c r="D16" s="24" cm="1">
        <f t="array" ref="D16">IFERROR(
  INDEX(All_India_Index_Upto_April23__1___1[Food and beverages],
        MATCH(1,
              (All_India_Index_Upto_April23__1___1[Sector]="Rural+Urban") *
              (All_India_Index_Upto_April23__1___1[Date]=$A16),
              0)
  ),
  ""
)</f>
        <v>137.19999999999999</v>
      </c>
      <c r="E16" s="24" cm="1">
        <f t="array" ref="E16">IFERROR(
  INDEX(All_India_Index_Upto_April23__1___1[Food and beverages],
        MATCH(1,
              (All_India_Index_Upto_April23__1___1[Sector]="Rural+Urban") *
              (All_India_Index_Upto_April23__1___1[Date]=EDATE($A16,-1)),
              0)
  ),
  ""
)</f>
        <v>137.6</v>
      </c>
      <c r="F16" s="25">
        <f t="shared" si="2"/>
        <v>-2.9069767441860881E-3</v>
      </c>
      <c r="H16" s="4" t="s">
        <v>184</v>
      </c>
      <c r="I16">
        <f>MAX(K2:K13)</f>
        <v>33.099999999999994</v>
      </c>
    </row>
    <row r="17" spans="1:9" x14ac:dyDescent="0.2">
      <c r="A17" s="19">
        <f t="shared" si="4"/>
        <v>43191</v>
      </c>
      <c r="B17" s="16">
        <f t="shared" si="0"/>
        <v>2018</v>
      </c>
      <c r="C17" s="16" t="str">
        <f t="shared" si="1"/>
        <v>April</v>
      </c>
      <c r="D17" s="24" cm="1">
        <f t="array" ref="D17">IFERROR(
  INDEX(All_India_Index_Upto_April23__1___1[Food and beverages],
        MATCH(1,
              (All_India_Index_Upto_April23__1___1[Sector]="Rural+Urban") *
              (All_India_Index_Upto_April23__1___1[Date]=$A17),
              0)
  ),
  ""
)</f>
        <v>137.5</v>
      </c>
      <c r="E17" s="24" cm="1">
        <f t="array" ref="E17">IFERROR(
  INDEX(All_India_Index_Upto_April23__1___1[Food and beverages],
        MATCH(1,
              (All_India_Index_Upto_April23__1___1[Sector]="Rural+Urban") *
              (All_India_Index_Upto_April23__1___1[Date]=EDATE($A17,-1)),
              0)
  ),
  ""
)</f>
        <v>137.19999999999999</v>
      </c>
      <c r="F17" s="25">
        <f t="shared" si="2"/>
        <v>2.1865889212828817E-3</v>
      </c>
      <c r="H17" s="4" t="s">
        <v>185</v>
      </c>
      <c r="I17" t="str">
        <f>INDEX(H2:H13, MATCH(MAX(K2:K13), K2:K13, 0))</f>
        <v>Spices</v>
      </c>
    </row>
    <row r="18" spans="1:9" x14ac:dyDescent="0.2">
      <c r="A18" s="19">
        <f t="shared" si="4"/>
        <v>43221</v>
      </c>
      <c r="B18" s="16">
        <f t="shared" si="0"/>
        <v>2018</v>
      </c>
      <c r="C18" s="16" t="str">
        <f t="shared" si="1"/>
        <v>May</v>
      </c>
      <c r="D18" s="24" cm="1">
        <f t="array" ref="D18">IFERROR(
  INDEX(All_India_Index_Upto_April23__1___1[Food and beverages],
        MATCH(1,
              (All_India_Index_Upto_April23__1___1[Sector]="Rural+Urban") *
              (All_India_Index_Upto_April23__1___1[Date]=$A18),
              0)
  ),
  ""
)</f>
        <v>138.1</v>
      </c>
      <c r="E18" s="24" cm="1">
        <f t="array" ref="E18">IFERROR(
  INDEX(All_India_Index_Upto_April23__1___1[Food and beverages],
        MATCH(1,
              (All_India_Index_Upto_April23__1___1[Sector]="Rural+Urban") *
              (All_India_Index_Upto_April23__1___1[Date]=EDATE($A18,-1)),
              0)
  ),
  ""
)</f>
        <v>137.5</v>
      </c>
      <c r="F18" s="25">
        <f t="shared" si="2"/>
        <v>4.3636363636363222E-3</v>
      </c>
      <c r="H18" s="4"/>
    </row>
    <row r="19" spans="1:9" x14ac:dyDescent="0.2">
      <c r="A19" s="19">
        <f t="shared" si="4"/>
        <v>43252</v>
      </c>
      <c r="B19" s="16">
        <f t="shared" si="0"/>
        <v>2018</v>
      </c>
      <c r="C19" s="16" t="str">
        <f t="shared" si="1"/>
        <v>June</v>
      </c>
      <c r="D19" s="24" cm="1">
        <f t="array" ref="D19">IFERROR(
  INDEX(All_India_Index_Upto_April23__1___1[Food and beverages],
        MATCH(1,
              (All_India_Index_Upto_April23__1___1[Sector]="Rural+Urban") *
              (All_India_Index_Upto_April23__1___1[Date]=$A19),
              0)
  ),
  ""
)</f>
        <v>139.4</v>
      </c>
      <c r="E19" s="24" cm="1">
        <f t="array" ref="E19">IFERROR(
  INDEX(All_India_Index_Upto_April23__1___1[Food and beverages],
        MATCH(1,
              (All_India_Index_Upto_April23__1___1[Sector]="Rural+Urban") *
              (All_India_Index_Upto_April23__1___1[Date]=EDATE($A19,-1)),
              0)
  ),
  ""
)</f>
        <v>138.1</v>
      </c>
      <c r="F19" s="25">
        <f t="shared" si="2"/>
        <v>9.4134685010862518E-3</v>
      </c>
      <c r="H19" s="4"/>
    </row>
    <row r="20" spans="1:9" x14ac:dyDescent="0.2">
      <c r="A20" s="19">
        <f t="shared" si="4"/>
        <v>43282</v>
      </c>
      <c r="B20" s="16">
        <f t="shared" si="0"/>
        <v>2018</v>
      </c>
      <c r="C20" s="16" t="str">
        <f t="shared" si="1"/>
        <v>July</v>
      </c>
      <c r="D20" s="24" cm="1">
        <f t="array" ref="D20">IFERROR(
  INDEX(All_India_Index_Upto_April23__1___1[Food and beverages],
        MATCH(1,
              (All_India_Index_Upto_April23__1___1[Sector]="Rural+Urban") *
              (All_India_Index_Upto_April23__1___1[Date]=$A20),
              0)
  ),
  ""
)</f>
        <v>141.4</v>
      </c>
      <c r="E20" s="24" cm="1">
        <f t="array" ref="E20">IFERROR(
  INDEX(All_India_Index_Upto_April23__1___1[Food and beverages],
        MATCH(1,
              (All_India_Index_Upto_April23__1___1[Sector]="Rural+Urban") *
              (All_India_Index_Upto_April23__1___1[Date]=EDATE($A20,-1)),
              0)
  ),
  ""
)</f>
        <v>139.4</v>
      </c>
      <c r="F20" s="25">
        <f t="shared" si="2"/>
        <v>1.4347202295552367E-2</v>
      </c>
      <c r="H20" s="4"/>
    </row>
    <row r="21" spans="1:9" x14ac:dyDescent="0.2">
      <c r="A21" s="19">
        <f t="shared" si="4"/>
        <v>43313</v>
      </c>
      <c r="B21" s="16">
        <f t="shared" si="0"/>
        <v>2018</v>
      </c>
      <c r="C21" s="16" t="str">
        <f t="shared" si="1"/>
        <v>August</v>
      </c>
      <c r="D21" s="24" cm="1">
        <f t="array" ref="D21">IFERROR(
  INDEX(All_India_Index_Upto_April23__1___1[Food and beverages],
        MATCH(1,
              (All_India_Index_Upto_April23__1___1[Sector]="Rural+Urban") *
              (All_India_Index_Upto_April23__1___1[Date]=$A21),
              0)
  ),
  ""
)</f>
        <v>141.69999999999999</v>
      </c>
      <c r="E21" s="24" cm="1">
        <f t="array" ref="E21">IFERROR(
  INDEX(All_India_Index_Upto_April23__1___1[Food and beverages],
        MATCH(1,
              (All_India_Index_Upto_April23__1___1[Sector]="Rural+Urban") *
              (All_India_Index_Upto_April23__1___1[Date]=EDATE($A21,-1)),
              0)
  ),
  ""
)</f>
        <v>141.4</v>
      </c>
      <c r="F21" s="25">
        <f t="shared" si="2"/>
        <v>2.121640735502001E-3</v>
      </c>
      <c r="H21" s="4"/>
    </row>
    <row r="22" spans="1:9" x14ac:dyDescent="0.2">
      <c r="A22" s="19">
        <f t="shared" si="4"/>
        <v>43344</v>
      </c>
      <c r="B22" s="16">
        <f t="shared" si="0"/>
        <v>2018</v>
      </c>
      <c r="C22" s="16" t="str">
        <f t="shared" si="1"/>
        <v>September</v>
      </c>
      <c r="D22" s="24" cm="1">
        <f t="array" ref="D22">IFERROR(
  INDEX(All_India_Index_Upto_April23__1___1[Food and beverages],
        MATCH(1,
              (All_India_Index_Upto_April23__1___1[Sector]="Rural+Urban") *
              (All_India_Index_Upto_April23__1___1[Date]=$A22),
              0)
  ),
  ""
)</f>
        <v>140.4</v>
      </c>
      <c r="E22" s="24" cm="1">
        <f t="array" ref="E22">IFERROR(
  INDEX(All_India_Index_Upto_April23__1___1[Food and beverages],
        MATCH(1,
              (All_India_Index_Upto_April23__1___1[Sector]="Rural+Urban") *
              (All_India_Index_Upto_April23__1___1[Date]=EDATE($A22,-1)),
              0)
  ),
  ""
)</f>
        <v>141.69999999999999</v>
      </c>
      <c r="F22" s="25">
        <f t="shared" si="2"/>
        <v>-9.1743119266053854E-3</v>
      </c>
      <c r="H22" s="4"/>
    </row>
    <row r="23" spans="1:9" x14ac:dyDescent="0.2">
      <c r="A23" s="19">
        <f t="shared" si="4"/>
        <v>43374</v>
      </c>
      <c r="B23" s="16">
        <f t="shared" si="0"/>
        <v>2018</v>
      </c>
      <c r="C23" s="16" t="str">
        <f t="shared" si="1"/>
        <v>October</v>
      </c>
      <c r="D23" s="24" cm="1">
        <f t="array" ref="D23">IFERROR(
  INDEX(All_India_Index_Upto_April23__1___1[Food and beverages],
        MATCH(1,
              (All_India_Index_Upto_April23__1___1[Sector]="Rural+Urban") *
              (All_India_Index_Upto_April23__1___1[Date]=$A23),
              0)
  ),
  ""
)</f>
        <v>139.69999999999999</v>
      </c>
      <c r="E23" s="24" cm="1">
        <f t="array" ref="E23">IFERROR(
  INDEX(All_India_Index_Upto_April23__1___1[Food and beverages],
        MATCH(1,
              (All_India_Index_Upto_April23__1___1[Sector]="Rural+Urban") *
              (All_India_Index_Upto_April23__1___1[Date]=EDATE($A23,-1)),
              0)
  ),
  ""
)</f>
        <v>140.4</v>
      </c>
      <c r="F23" s="25">
        <f t="shared" si="2"/>
        <v>-4.9857549857551071E-3</v>
      </c>
      <c r="H23" s="4"/>
    </row>
    <row r="24" spans="1:9" x14ac:dyDescent="0.2">
      <c r="A24" s="19">
        <f t="shared" si="4"/>
        <v>43405</v>
      </c>
      <c r="B24" s="16">
        <f t="shared" si="0"/>
        <v>2018</v>
      </c>
      <c r="C24" s="16" t="str">
        <f t="shared" si="1"/>
        <v>November</v>
      </c>
      <c r="D24" s="24" cm="1">
        <f t="array" ref="D24">IFERROR(
  INDEX(All_India_Index_Upto_April23__1___1[Food and beverages],
        MATCH(1,
              (All_India_Index_Upto_April23__1___1[Sector]="Rural+Urban") *
              (All_India_Index_Upto_April23__1___1[Date]=$A24),
              0)
  ),
  ""
)</f>
        <v>139.69999999999999</v>
      </c>
      <c r="E24" s="24" cm="1">
        <f t="array" ref="E24">IFERROR(
  INDEX(All_India_Index_Upto_April23__1___1[Food and beverages],
        MATCH(1,
              (All_India_Index_Upto_April23__1___1[Sector]="Rural+Urban") *
              (All_India_Index_Upto_April23__1___1[Date]=EDATE($A24,-1)),
              0)
  ),
  ""
)</f>
        <v>139.69999999999999</v>
      </c>
      <c r="F24" s="25">
        <f t="shared" si="2"/>
        <v>0</v>
      </c>
      <c r="H24" s="4"/>
    </row>
    <row r="25" spans="1:9" x14ac:dyDescent="0.2">
      <c r="A25" s="19">
        <f t="shared" si="4"/>
        <v>43435</v>
      </c>
      <c r="B25" s="16">
        <f t="shared" si="0"/>
        <v>2018</v>
      </c>
      <c r="C25" s="16" t="str">
        <f t="shared" si="1"/>
        <v>December</v>
      </c>
      <c r="D25" s="24" cm="1">
        <f t="array" ref="D25">IFERROR(
  INDEX(All_India_Index_Upto_April23__1___1[Food and beverages],
        MATCH(1,
              (All_India_Index_Upto_April23__1___1[Sector]="Rural+Urban") *
              (All_India_Index_Upto_April23__1___1[Date]=$A25),
              0)
  ),
  ""
)</f>
        <v>138.19999999999999</v>
      </c>
      <c r="E25" s="24" cm="1">
        <f t="array" ref="E25">IFERROR(
  INDEX(All_India_Index_Upto_April23__1___1[Food and beverages],
        MATCH(1,
              (All_India_Index_Upto_April23__1___1[Sector]="Rural+Urban") *
              (All_India_Index_Upto_April23__1___1[Date]=EDATE($A25,-1)),
              0)
  ),
  ""
)</f>
        <v>139.69999999999999</v>
      </c>
      <c r="F25" s="25">
        <f t="shared" si="2"/>
        <v>-1.0737294201861132E-2</v>
      </c>
      <c r="H25" s="4"/>
    </row>
    <row r="26" spans="1:9" x14ac:dyDescent="0.2">
      <c r="A26" s="19">
        <f t="shared" si="4"/>
        <v>43466</v>
      </c>
      <c r="B26" s="16">
        <f t="shared" si="0"/>
        <v>2019</v>
      </c>
      <c r="C26" s="16" t="str">
        <f t="shared" si="1"/>
        <v>January</v>
      </c>
      <c r="D26" s="24" cm="1">
        <f t="array" ref="D26">IFERROR(
  INDEX(All_India_Index_Upto_April23__1___1[Food and beverages],
        MATCH(1,
              (All_India_Index_Upto_April23__1___1[Sector]="Rural+Urban") *
              (All_India_Index_Upto_April23__1___1[Date]=$A26),
              0)
  ),
  ""
)</f>
        <v>137.4</v>
      </c>
      <c r="E26" s="24" cm="1">
        <f t="array" ref="E26">IFERROR(
  INDEX(All_India_Index_Upto_April23__1___1[Food and beverages],
        MATCH(1,
              (All_India_Index_Upto_April23__1___1[Sector]="Rural+Urban") *
              (All_India_Index_Upto_April23__1___1[Date]=EDATE($A26,-1)),
              0)
  ),
  ""
)</f>
        <v>138.19999999999999</v>
      </c>
      <c r="F26" s="25">
        <f t="shared" si="2"/>
        <v>-5.7887120115773013E-3</v>
      </c>
      <c r="H26" s="4"/>
    </row>
    <row r="27" spans="1:9" x14ac:dyDescent="0.2">
      <c r="A27" s="19">
        <f t="shared" si="4"/>
        <v>43497</v>
      </c>
      <c r="B27" s="16">
        <f t="shared" si="0"/>
        <v>2019</v>
      </c>
      <c r="C27" s="16" t="str">
        <f t="shared" si="1"/>
        <v>February</v>
      </c>
      <c r="D27" s="24" cm="1">
        <f t="array" ref="D27">IFERROR(
  INDEX(All_India_Index_Upto_April23__1___1[Food and beverages],
        MATCH(1,
              (All_India_Index_Upto_April23__1___1[Sector]="Rural+Urban") *
              (All_India_Index_Upto_April23__1___1[Date]=$A27),
              0)
  ),
  ""
)</f>
        <v>137.5</v>
      </c>
      <c r="E27" s="24" cm="1">
        <f t="array" ref="E27">IFERROR(
  INDEX(All_India_Index_Upto_April23__1___1[Food and beverages],
        MATCH(1,
              (All_India_Index_Upto_April23__1___1[Sector]="Rural+Urban") *
              (All_India_Index_Upto_April23__1___1[Date]=EDATE($A27,-1)),
              0)
  ),
  ""
)</f>
        <v>137.4</v>
      </c>
      <c r="F27" s="25">
        <f t="shared" si="2"/>
        <v>7.2780203784566459E-4</v>
      </c>
      <c r="H27" s="4"/>
    </row>
    <row r="28" spans="1:9" x14ac:dyDescent="0.2">
      <c r="A28" s="19">
        <f t="shared" si="4"/>
        <v>43525</v>
      </c>
      <c r="B28" s="16">
        <f t="shared" si="0"/>
        <v>2019</v>
      </c>
      <c r="C28" s="16" t="str">
        <f t="shared" si="1"/>
        <v>March</v>
      </c>
      <c r="D28" s="24" cm="1">
        <f t="array" ref="D28">IFERROR(
  INDEX(All_India_Index_Upto_April23__1___1[Food and beverages],
        MATCH(1,
              (All_India_Index_Upto_April23__1___1[Sector]="Rural+Urban") *
              (All_India_Index_Upto_April23__1___1[Date]=$A28),
              0)
  ),
  ""
)</f>
        <v>138.1</v>
      </c>
      <c r="E28" s="24" cm="1">
        <f t="array" ref="E28">IFERROR(
  INDEX(All_India_Index_Upto_April23__1___1[Food and beverages],
        MATCH(1,
              (All_India_Index_Upto_April23__1___1[Sector]="Rural+Urban") *
              (All_India_Index_Upto_April23__1___1[Date]=EDATE($A28,-1)),
              0)
  ),
  ""
)</f>
        <v>137.5</v>
      </c>
      <c r="F28" s="25">
        <f t="shared" si="2"/>
        <v>4.3636363636363222E-3</v>
      </c>
    </row>
    <row r="29" spans="1:9" x14ac:dyDescent="0.2">
      <c r="A29" s="19">
        <f t="shared" si="4"/>
        <v>43556</v>
      </c>
      <c r="B29" s="16">
        <f t="shared" si="0"/>
        <v>2019</v>
      </c>
      <c r="C29" s="16" t="str">
        <f t="shared" si="1"/>
        <v>April</v>
      </c>
      <c r="D29" s="24" t="str" cm="1">
        <f t="array" ref="D29">IFERROR(
  INDEX(All_India_Index_Upto_April23__1___1[Food and beverages],
        MATCH(1,
              (All_India_Index_Upto_April23__1___1[Sector]="Rural+Urban") *
              (All_India_Index_Upto_April23__1___1[Date]=$A29),
              0)
  ),
  ""
)</f>
        <v/>
      </c>
      <c r="E29" s="24" cm="1">
        <f t="array" ref="E29">IFERROR(
  INDEX(All_India_Index_Upto_April23__1___1[Food and beverages],
        MATCH(1,
              (All_India_Index_Upto_April23__1___1[Sector]="Rural+Urban") *
              (All_India_Index_Upto_April23__1___1[Date]=EDATE($A29,-1)),
              0)
  ),
  ""
)</f>
        <v>138.1</v>
      </c>
      <c r="F29" s="25" t="e">
        <f t="shared" si="2"/>
        <v>#VALUE!</v>
      </c>
    </row>
    <row r="30" spans="1:9" x14ac:dyDescent="0.2">
      <c r="A30" s="19">
        <f t="shared" si="4"/>
        <v>43586</v>
      </c>
      <c r="B30" s="16">
        <f t="shared" si="0"/>
        <v>2019</v>
      </c>
      <c r="C30" s="16" t="str">
        <f t="shared" si="1"/>
        <v>May</v>
      </c>
      <c r="D30" s="24" cm="1">
        <f t="array" ref="D30">IFERROR(
  INDEX(All_India_Index_Upto_April23__1___1[Food and beverages],
        MATCH(1,
              (All_India_Index_Upto_April23__1___1[Sector]="Rural+Urban") *
              (All_India_Index_Upto_April23__1___1[Date]=$A30),
              0)
  ),
  ""
)</f>
        <v>140.9</v>
      </c>
      <c r="E30" s="24" t="str" cm="1">
        <f t="array" ref="E30">IFERROR(
  INDEX(All_India_Index_Upto_April23__1___1[Food and beverages],
        MATCH(1,
              (All_India_Index_Upto_April23__1___1[Sector]="Rural+Urban") *
              (All_India_Index_Upto_April23__1___1[Date]=EDATE($A30,-1)),
              0)
  ),
  ""
)</f>
        <v/>
      </c>
      <c r="F30" s="25" t="str">
        <f t="shared" si="2"/>
        <v/>
      </c>
    </row>
    <row r="31" spans="1:9" x14ac:dyDescent="0.2">
      <c r="A31" s="19">
        <f t="shared" si="4"/>
        <v>43617</v>
      </c>
      <c r="B31" s="16">
        <f t="shared" si="0"/>
        <v>2019</v>
      </c>
      <c r="C31" s="16" t="str">
        <f t="shared" si="1"/>
        <v>June</v>
      </c>
      <c r="D31" s="24" cm="1">
        <f t="array" ref="D31">IFERROR(
  INDEX(All_India_Index_Upto_April23__1___1[Food and beverages],
        MATCH(1,
              (All_India_Index_Upto_April23__1___1[Sector]="Rural+Urban") *
              (All_India_Index_Upto_April23__1___1[Date]=$A31),
              0)
  ),
  ""
)</f>
        <v>142.69999999999999</v>
      </c>
      <c r="E31" s="24" cm="1">
        <f t="array" ref="E31">IFERROR(
  INDEX(All_India_Index_Upto_April23__1___1[Food and beverages],
        MATCH(1,
              (All_India_Index_Upto_April23__1___1[Sector]="Rural+Urban") *
              (All_India_Index_Upto_April23__1___1[Date]=EDATE($A31,-1)),
              0)
  ),
  ""
)</f>
        <v>140.9</v>
      </c>
      <c r="F31" s="25">
        <f t="shared" si="2"/>
        <v>1.2775017743080078E-2</v>
      </c>
    </row>
    <row r="32" spans="1:9" x14ac:dyDescent="0.2">
      <c r="A32" s="19">
        <f t="shared" si="4"/>
        <v>43647</v>
      </c>
      <c r="B32" s="16">
        <f t="shared" si="0"/>
        <v>2019</v>
      </c>
      <c r="C32" s="16" t="str">
        <f t="shared" si="1"/>
        <v>July</v>
      </c>
      <c r="D32" s="24" cm="1">
        <f t="array" ref="D32">IFERROR(
  INDEX(All_India_Index_Upto_April23__1___1[Food and beverages],
        MATCH(1,
              (All_India_Index_Upto_April23__1___1[Sector]="Rural+Urban") *
              (All_India_Index_Upto_April23__1___1[Date]=$A32),
              0)
  ),
  ""
)</f>
        <v>144.69999999999999</v>
      </c>
      <c r="E32" s="24" cm="1">
        <f t="array" ref="E32">IFERROR(
  INDEX(All_India_Index_Upto_April23__1___1[Food and beverages],
        MATCH(1,
              (All_India_Index_Upto_April23__1___1[Sector]="Rural+Urban") *
              (All_India_Index_Upto_April23__1___1[Date]=EDATE($A32,-1)),
              0)
  ),
  ""
)</f>
        <v>142.69999999999999</v>
      </c>
      <c r="F32" s="25">
        <f t="shared" si="2"/>
        <v>1.4015416958654521E-2</v>
      </c>
    </row>
    <row r="33" spans="1:6" x14ac:dyDescent="0.2">
      <c r="A33" s="19">
        <f t="shared" si="4"/>
        <v>43678</v>
      </c>
      <c r="B33" s="16">
        <f t="shared" si="0"/>
        <v>2019</v>
      </c>
      <c r="C33" s="16" t="str">
        <f t="shared" si="1"/>
        <v>August</v>
      </c>
      <c r="D33" s="24" cm="1">
        <f t="array" ref="D33">IFERROR(
  INDEX(All_India_Index_Upto_April23__1___1[Food and beverages],
        MATCH(1,
              (All_India_Index_Upto_April23__1___1[Sector]="Rural+Urban") *
              (All_India_Index_Upto_April23__1___1[Date]=$A33),
              0)
  ),
  ""
)</f>
        <v>145.9</v>
      </c>
      <c r="E33" s="24" cm="1">
        <f t="array" ref="E33">IFERROR(
  INDEX(All_India_Index_Upto_April23__1___1[Food and beverages],
        MATCH(1,
              (All_India_Index_Upto_April23__1___1[Sector]="Rural+Urban") *
              (All_India_Index_Upto_April23__1___1[Date]=EDATE($A33,-1)),
              0)
  ),
  ""
)</f>
        <v>144.69999999999999</v>
      </c>
      <c r="F33" s="25">
        <f t="shared" si="2"/>
        <v>8.2930200414652183E-3</v>
      </c>
    </row>
    <row r="34" spans="1:6" x14ac:dyDescent="0.2">
      <c r="A34" s="19">
        <f t="shared" si="4"/>
        <v>43709</v>
      </c>
      <c r="B34" s="16">
        <f t="shared" si="0"/>
        <v>2019</v>
      </c>
      <c r="C34" s="16" t="str">
        <f t="shared" si="1"/>
        <v>September</v>
      </c>
      <c r="D34" s="24" cm="1">
        <f t="array" ref="D34">IFERROR(
  INDEX(All_India_Index_Upto_April23__1___1[Food and beverages],
        MATCH(1,
              (All_India_Index_Upto_April23__1___1[Sector]="Rural+Urban") *
              (All_India_Index_Upto_April23__1___1[Date]=$A34),
              0)
  ),
  ""
)</f>
        <v>147</v>
      </c>
      <c r="E34" s="24" cm="1">
        <f t="array" ref="E34">IFERROR(
  INDEX(All_India_Index_Upto_April23__1___1[Food and beverages],
        MATCH(1,
              (All_India_Index_Upto_April23__1___1[Sector]="Rural+Urban") *
              (All_India_Index_Upto_April23__1___1[Date]=EDATE($A34,-1)),
              0)
  ),
  ""
)</f>
        <v>145.9</v>
      </c>
      <c r="F34" s="25">
        <f t="shared" si="2"/>
        <v>7.5394105551747376E-3</v>
      </c>
    </row>
    <row r="35" spans="1:6" x14ac:dyDescent="0.2">
      <c r="A35" s="19">
        <f t="shared" si="4"/>
        <v>43739</v>
      </c>
      <c r="B35" s="16">
        <f t="shared" si="0"/>
        <v>2019</v>
      </c>
      <c r="C35" s="16" t="str">
        <f t="shared" si="1"/>
        <v>October</v>
      </c>
      <c r="D35" s="24" cm="1">
        <f t="array" ref="D35">IFERROR(
  INDEX(All_India_Index_Upto_April23__1___1[Food and beverages],
        MATCH(1,
              (All_India_Index_Upto_April23__1___1[Sector]="Rural+Urban") *
              (All_India_Index_Upto_April23__1___1[Date]=$A35),
              0)
  ),
  ""
)</f>
        <v>149.6</v>
      </c>
      <c r="E35" s="24" cm="1">
        <f t="array" ref="E35">IFERROR(
  INDEX(All_India_Index_Upto_April23__1___1[Food and beverages],
        MATCH(1,
              (All_India_Index_Upto_April23__1___1[Sector]="Rural+Urban") *
              (All_India_Index_Upto_April23__1___1[Date]=EDATE($A35,-1)),
              0)
  ),
  ""
)</f>
        <v>147</v>
      </c>
      <c r="F35" s="25">
        <f t="shared" si="2"/>
        <v>1.7687074829931933E-2</v>
      </c>
    </row>
    <row r="36" spans="1:6" x14ac:dyDescent="0.2">
      <c r="A36" s="19">
        <f t="shared" si="4"/>
        <v>43770</v>
      </c>
      <c r="B36" s="16">
        <f t="shared" si="0"/>
        <v>2019</v>
      </c>
      <c r="C36" s="16" t="str">
        <f t="shared" si="1"/>
        <v>November</v>
      </c>
      <c r="D36" s="24" cm="1">
        <f t="array" ref="D36">IFERROR(
  INDEX(All_India_Index_Upto_April23__1___1[Food and beverages],
        MATCH(1,
              (All_India_Index_Upto_April23__1___1[Sector]="Rural+Urban") *
              (All_India_Index_Upto_April23__1___1[Date]=$A36),
              0)
  ),
  ""
)</f>
        <v>151.9</v>
      </c>
      <c r="E36" s="24" cm="1">
        <f t="array" ref="E36">IFERROR(
  INDEX(All_India_Index_Upto_April23__1___1[Food and beverages],
        MATCH(1,
              (All_India_Index_Upto_April23__1___1[Sector]="Rural+Urban") *
              (All_India_Index_Upto_April23__1___1[Date]=EDATE($A36,-1)),
              0)
  ),
  ""
)</f>
        <v>149.6</v>
      </c>
      <c r="F36" s="25">
        <f t="shared" si="2"/>
        <v>1.5374331550802216E-2</v>
      </c>
    </row>
    <row r="37" spans="1:6" x14ac:dyDescent="0.2">
      <c r="A37" s="19">
        <f t="shared" si="4"/>
        <v>43800</v>
      </c>
      <c r="B37" s="16">
        <f t="shared" si="0"/>
        <v>2019</v>
      </c>
      <c r="C37" s="16" t="str">
        <f t="shared" si="1"/>
        <v>December</v>
      </c>
      <c r="D37" s="24" cm="1">
        <f t="array" ref="D37">IFERROR(
  INDEX(All_India_Index_Upto_April23__1___1[Food and beverages],
        MATCH(1,
              (All_India_Index_Upto_April23__1___1[Sector]="Rural+Urban") *
              (All_India_Index_Upto_April23__1___1[Date]=$A37),
              0)
  ),
  ""
)</f>
        <v>155</v>
      </c>
      <c r="E37" s="24" cm="1">
        <f t="array" ref="E37">IFERROR(
  INDEX(All_India_Index_Upto_April23__1___1[Food and beverages],
        MATCH(1,
              (All_India_Index_Upto_April23__1___1[Sector]="Rural+Urban") *
              (All_India_Index_Upto_April23__1___1[Date]=EDATE($A37,-1)),
              0)
  ),
  ""
)</f>
        <v>151.9</v>
      </c>
      <c r="F37" s="25">
        <f t="shared" si="2"/>
        <v>2.0408163265306083E-2</v>
      </c>
    </row>
    <row r="38" spans="1:6" x14ac:dyDescent="0.2">
      <c r="A38" s="19">
        <f t="shared" si="4"/>
        <v>43831</v>
      </c>
      <c r="B38" s="16">
        <f t="shared" si="0"/>
        <v>2020</v>
      </c>
      <c r="C38" s="16" t="str">
        <f t="shared" si="1"/>
        <v>January</v>
      </c>
      <c r="D38" s="24" cm="1">
        <f t="array" ref="D38">IFERROR(
  INDEX(All_India_Index_Upto_April23__1___1[Food and beverages],
        MATCH(1,
              (All_India_Index_Upto_April23__1___1[Sector]="Rural+Urban") *
              (All_India_Index_Upto_April23__1___1[Date]=$A38),
              0)
  ),
  ""
)</f>
        <v>153.5</v>
      </c>
      <c r="E38" s="24" cm="1">
        <f t="array" ref="E38">IFERROR(
  INDEX(All_India_Index_Upto_April23__1___1[Food and beverages],
        MATCH(1,
              (All_India_Index_Upto_April23__1___1[Sector]="Rural+Urban") *
              (All_India_Index_Upto_April23__1___1[Date]=EDATE($A38,-1)),
              0)
  ),
  ""
)</f>
        <v>155</v>
      </c>
      <c r="F38" s="25">
        <f t="shared" si="2"/>
        <v>-9.6774193548387101E-3</v>
      </c>
    </row>
    <row r="39" spans="1:6" x14ac:dyDescent="0.2">
      <c r="A39" s="19">
        <f t="shared" si="4"/>
        <v>43862</v>
      </c>
      <c r="B39" s="16">
        <f t="shared" si="0"/>
        <v>2020</v>
      </c>
      <c r="C39" s="16" t="str">
        <f t="shared" si="1"/>
        <v>February</v>
      </c>
      <c r="D39" s="24" cm="1">
        <f t="array" ref="D39">IFERROR(
  INDEX(All_India_Index_Upto_April23__1___1[Food and beverages],
        MATCH(1,
              (All_India_Index_Upto_April23__1___1[Sector]="Rural+Urban") *
              (All_India_Index_Upto_April23__1___1[Date]=$A39),
              0)
  ),
  ""
)</f>
        <v>150.5</v>
      </c>
      <c r="E39" s="24" cm="1">
        <f t="array" ref="E39">IFERROR(
  INDEX(All_India_Index_Upto_April23__1___1[Food and beverages],
        MATCH(1,
              (All_India_Index_Upto_April23__1___1[Sector]="Rural+Urban") *
              (All_India_Index_Upto_April23__1___1[Date]=EDATE($A39,-1)),
              0)
  ),
  ""
)</f>
        <v>153.5</v>
      </c>
      <c r="F39" s="25">
        <f t="shared" si="2"/>
        <v>-1.9543973941368076E-2</v>
      </c>
    </row>
    <row r="40" spans="1:6" x14ac:dyDescent="0.2">
      <c r="A40" s="19">
        <f t="shared" si="4"/>
        <v>43891</v>
      </c>
      <c r="B40" s="16">
        <f t="shared" si="0"/>
        <v>2020</v>
      </c>
      <c r="C40" s="16" t="str">
        <f t="shared" si="1"/>
        <v>March</v>
      </c>
      <c r="D40" s="24" cm="1">
        <f t="array" ref="D40">IFERROR(
  INDEX(All_India_Index_Upto_April23__1___1[Food and beverages],
        MATCH(1,
              (All_India_Index_Upto_April23__1___1[Sector]="Rural+Urban") *
              (All_India_Index_Upto_April23__1___1[Date]=$A40),
              0)
  ),
  ""
)</f>
        <v>148.9</v>
      </c>
      <c r="E40" s="24" cm="1">
        <f t="array" ref="E40">IFERROR(
  INDEX(All_India_Index_Upto_April23__1___1[Food and beverages],
        MATCH(1,
              (All_India_Index_Upto_April23__1___1[Sector]="Rural+Urban") *
              (All_India_Index_Upto_April23__1___1[Date]=EDATE($A40,-1)),
              0)
  ),
  ""
)</f>
        <v>150.5</v>
      </c>
      <c r="F40" s="25">
        <f t="shared" si="2"/>
        <v>-1.0631229235880361E-2</v>
      </c>
    </row>
    <row r="41" spans="1:6" x14ac:dyDescent="0.2">
      <c r="A41" s="19">
        <f t="shared" si="4"/>
        <v>43922</v>
      </c>
      <c r="B41" s="16">
        <f t="shared" si="0"/>
        <v>2020</v>
      </c>
      <c r="C41" s="16" t="str">
        <f t="shared" si="1"/>
        <v>April</v>
      </c>
      <c r="D41" s="24" cm="1">
        <f t="array" ref="D41">IFERROR(
  INDEX(All_India_Index_Upto_April23__1___1[Food and beverages],
        MATCH(1,
              (All_India_Index_Upto_April23__1___1[Sector]="Rural+Urban") *
              (All_India_Index_Upto_April23__1___1[Date]=$A41),
              0)
  ),
  ""
)</f>
        <v>151.4</v>
      </c>
      <c r="E41" s="24" cm="1">
        <f t="array" ref="E41">IFERROR(
  INDEX(All_India_Index_Upto_April23__1___1[Food and beverages],
        MATCH(1,
              (All_India_Index_Upto_April23__1___1[Sector]="Rural+Urban") *
              (All_India_Index_Upto_April23__1___1[Date]=EDATE($A41,-1)),
              0)
  ),
  ""
)</f>
        <v>148.9</v>
      </c>
      <c r="F41" s="25">
        <f t="shared" si="2"/>
        <v>1.6789791806581598E-2</v>
      </c>
    </row>
    <row r="42" spans="1:6" x14ac:dyDescent="0.2">
      <c r="A42" s="19">
        <f t="shared" si="4"/>
        <v>43952</v>
      </c>
      <c r="B42" s="16">
        <f t="shared" si="0"/>
        <v>2020</v>
      </c>
      <c r="C42" s="16" t="str">
        <f t="shared" si="1"/>
        <v>May</v>
      </c>
      <c r="D42" s="24" cm="1">
        <f t="array" ref="D42">IFERROR(
  INDEX(All_India_Index_Upto_April23__1___1[Food and beverages],
        MATCH(1,
              (All_India_Index_Upto_April23__1___1[Sector]="Rural+Urban") *
              (All_India_Index_Upto_April23__1___1[Date]=$A42),
              0)
  ),
  ""
)</f>
        <v>153.75</v>
      </c>
      <c r="E42" s="24" cm="1">
        <f t="array" ref="E42">IFERROR(
  INDEX(All_India_Index_Upto_April23__1___1[Food and beverages],
        MATCH(1,
              (All_India_Index_Upto_April23__1___1[Sector]="Rural+Urban") *
              (All_India_Index_Upto_April23__1___1[Date]=EDATE($A42,-1)),
              0)
  ),
  ""
)</f>
        <v>151.4</v>
      </c>
      <c r="F42" s="25">
        <f t="shared" si="2"/>
        <v>1.5521796565389658E-2</v>
      </c>
    </row>
    <row r="43" spans="1:6" x14ac:dyDescent="0.2">
      <c r="A43" s="19">
        <f t="shared" si="4"/>
        <v>43983</v>
      </c>
      <c r="B43" s="16">
        <f t="shared" si="0"/>
        <v>2020</v>
      </c>
      <c r="C43" s="16" t="str">
        <f t="shared" si="1"/>
        <v>June</v>
      </c>
      <c r="D43" s="24" cm="1">
        <f t="array" ref="D43">IFERROR(
  INDEX(All_India_Index_Upto_April23__1___1[Food and beverages],
        MATCH(1,
              (All_India_Index_Upto_April23__1___1[Sector]="Rural+Urban") *
              (All_India_Index_Upto_April23__1___1[Date]=$A43),
              0)
  ),
  ""
)</f>
        <v>154</v>
      </c>
      <c r="E43" s="24" cm="1">
        <f t="array" ref="E43">IFERROR(
  INDEX(All_India_Index_Upto_April23__1___1[Food and beverages],
        MATCH(1,
              (All_India_Index_Upto_April23__1___1[Sector]="Rural+Urban") *
              (All_India_Index_Upto_April23__1___1[Date]=EDATE($A43,-1)),
              0)
  ),
  ""
)</f>
        <v>153.75</v>
      </c>
      <c r="F43" s="25">
        <f t="shared" si="2"/>
        <v>1.6260162601626016E-3</v>
      </c>
    </row>
    <row r="44" spans="1:6" x14ac:dyDescent="0.2">
      <c r="A44" s="19">
        <f t="shared" si="4"/>
        <v>44013</v>
      </c>
      <c r="B44" s="16">
        <f t="shared" si="0"/>
        <v>2020</v>
      </c>
      <c r="C44" s="16" t="str">
        <f t="shared" si="1"/>
        <v>July</v>
      </c>
      <c r="D44" s="24" cm="1">
        <f t="array" ref="D44">IFERROR(
  INDEX(All_India_Index_Upto_April23__1___1[Food and beverages],
        MATCH(1,
              (All_India_Index_Upto_April23__1___1[Sector]="Rural+Urban") *
              (All_India_Index_Upto_April23__1___1[Date]=$A44),
              0)
  ),
  ""
)</f>
        <v>154</v>
      </c>
      <c r="E44" s="24" cm="1">
        <f t="array" ref="E44">IFERROR(
  INDEX(All_India_Index_Upto_April23__1___1[Food and beverages],
        MATCH(1,
              (All_India_Index_Upto_April23__1___1[Sector]="Rural+Urban") *
              (All_India_Index_Upto_April23__1___1[Date]=EDATE($A44,-1)),
              0)
  ),
  ""
)</f>
        <v>154</v>
      </c>
      <c r="F44" s="25">
        <f t="shared" si="2"/>
        <v>0</v>
      </c>
    </row>
    <row r="45" spans="1:6" x14ac:dyDescent="0.2">
      <c r="A45" s="19">
        <f t="shared" si="4"/>
        <v>44044</v>
      </c>
      <c r="B45" s="16">
        <f t="shared" si="0"/>
        <v>2020</v>
      </c>
      <c r="C45" s="16" t="str">
        <f t="shared" si="1"/>
        <v>August</v>
      </c>
      <c r="D45" s="24" cm="1">
        <f t="array" ref="D45">IFERROR(
  INDEX(All_India_Index_Upto_April23__1___1[Food and beverages],
        MATCH(1,
              (All_India_Index_Upto_April23__1___1[Sector]="Rural+Urban") *
              (All_India_Index_Upto_April23__1___1[Date]=$A45),
              0)
  ),
  ""
)</f>
        <v>157</v>
      </c>
      <c r="E45" s="24" cm="1">
        <f t="array" ref="E45">IFERROR(
  INDEX(All_India_Index_Upto_April23__1___1[Food and beverages],
        MATCH(1,
              (All_India_Index_Upto_April23__1___1[Sector]="Rural+Urban") *
              (All_India_Index_Upto_April23__1___1[Date]=EDATE($A45,-1)),
              0)
  ),
  ""
)</f>
        <v>154</v>
      </c>
      <c r="F45" s="25">
        <f t="shared" si="2"/>
        <v>1.948051948051948E-2</v>
      </c>
    </row>
    <row r="46" spans="1:6" x14ac:dyDescent="0.2">
      <c r="A46" s="19">
        <f t="shared" si="4"/>
        <v>44075</v>
      </c>
      <c r="B46" s="16">
        <f t="shared" si="0"/>
        <v>2020</v>
      </c>
      <c r="C46" s="16" t="str">
        <f t="shared" si="1"/>
        <v>September</v>
      </c>
      <c r="D46" s="24" cm="1">
        <f t="array" ref="D46">IFERROR(
  INDEX(All_India_Index_Upto_April23__1___1[Food and beverages],
        MATCH(1,
              (All_India_Index_Upto_April23__1___1[Sector]="Rural+Urban") *
              (All_India_Index_Upto_April23__1___1[Date]=$A46),
              0)
  ),
  ""
)</f>
        <v>158</v>
      </c>
      <c r="E46" s="24" cm="1">
        <f t="array" ref="E46">IFERROR(
  INDEX(All_India_Index_Upto_April23__1___1[Food and beverages],
        MATCH(1,
              (All_India_Index_Upto_April23__1___1[Sector]="Rural+Urban") *
              (All_India_Index_Upto_April23__1___1[Date]=EDATE($A46,-1)),
              0)
  ),
  ""
)</f>
        <v>157</v>
      </c>
      <c r="F46" s="25">
        <f t="shared" si="2"/>
        <v>6.369426751592357E-3</v>
      </c>
    </row>
    <row r="47" spans="1:6" x14ac:dyDescent="0.2">
      <c r="A47" s="19">
        <f t="shared" si="4"/>
        <v>44105</v>
      </c>
      <c r="B47" s="16">
        <f t="shared" si="0"/>
        <v>2020</v>
      </c>
      <c r="C47" s="16" t="str">
        <f t="shared" si="1"/>
        <v>October</v>
      </c>
      <c r="D47" s="24" cm="1">
        <f t="array" ref="D47">IFERROR(
  INDEX(All_India_Index_Upto_April23__1___1[Food and beverages],
        MATCH(1,
              (All_India_Index_Upto_April23__1___1[Sector]="Rural+Urban") *
              (All_India_Index_Upto_April23__1___1[Date]=$A47),
              0)
  ),
  ""
)</f>
        <v>161.4</v>
      </c>
      <c r="E47" s="24" cm="1">
        <f t="array" ref="E47">IFERROR(
  INDEX(All_India_Index_Upto_April23__1___1[Food and beverages],
        MATCH(1,
              (All_India_Index_Upto_April23__1___1[Sector]="Rural+Urban") *
              (All_India_Index_Upto_April23__1___1[Date]=EDATE($A47,-1)),
              0)
  ),
  ""
)</f>
        <v>158</v>
      </c>
      <c r="F47" s="25">
        <f t="shared" si="2"/>
        <v>2.1518987341772187E-2</v>
      </c>
    </row>
    <row r="48" spans="1:6" x14ac:dyDescent="0.2">
      <c r="A48" s="19">
        <f t="shared" si="4"/>
        <v>44136</v>
      </c>
      <c r="B48" s="16">
        <f t="shared" si="0"/>
        <v>2020</v>
      </c>
      <c r="C48" s="16" t="str">
        <f t="shared" si="1"/>
        <v>November</v>
      </c>
      <c r="D48" s="24" cm="1">
        <f t="array" ref="D48">IFERROR(
  INDEX(All_India_Index_Upto_April23__1___1[Food and beverages],
        MATCH(1,
              (All_India_Index_Upto_April23__1___1[Sector]="Rural+Urban") *
              (All_India_Index_Upto_April23__1___1[Date]=$A48),
              0)
  ),
  ""
)</f>
        <v>164.7</v>
      </c>
      <c r="E48" s="24" cm="1">
        <f t="array" ref="E48">IFERROR(
  INDEX(All_India_Index_Upto_April23__1___1[Food and beverages],
        MATCH(1,
              (All_India_Index_Upto_April23__1___1[Sector]="Rural+Urban") *
              (All_India_Index_Upto_April23__1___1[Date]=EDATE($A48,-1)),
              0)
  ),
  ""
)</f>
        <v>161.4</v>
      </c>
      <c r="F48" s="25">
        <f t="shared" si="2"/>
        <v>2.0446096654274985E-2</v>
      </c>
    </row>
    <row r="49" spans="1:6" x14ac:dyDescent="0.2">
      <c r="A49" s="19">
        <f t="shared" si="4"/>
        <v>44166</v>
      </c>
      <c r="B49" s="16">
        <f t="shared" si="0"/>
        <v>2020</v>
      </c>
      <c r="C49" s="16" t="str">
        <f t="shared" si="1"/>
        <v>December</v>
      </c>
      <c r="D49" s="24" cm="1">
        <f t="array" ref="D49">IFERROR(
  INDEX(All_India_Index_Upto_April23__1___1[Food and beverages],
        MATCH(1,
              (All_India_Index_Upto_April23__1___1[Sector]="Rural+Urban") *
              (All_India_Index_Upto_April23__1___1[Date]=$A49),
              0)
  ),
  ""
)</f>
        <v>165.4</v>
      </c>
      <c r="E49" s="24" cm="1">
        <f t="array" ref="E49">IFERROR(
  INDEX(All_India_Index_Upto_April23__1___1[Food and beverages],
        MATCH(1,
              (All_India_Index_Upto_April23__1___1[Sector]="Rural+Urban") *
              (All_India_Index_Upto_April23__1___1[Date]=EDATE($A49,-1)),
              0)
  ),
  ""
)</f>
        <v>164.7</v>
      </c>
      <c r="F49" s="25">
        <f t="shared" si="2"/>
        <v>4.2501517911355015E-3</v>
      </c>
    </row>
    <row r="50" spans="1:6" x14ac:dyDescent="0.2">
      <c r="A50" s="19">
        <f t="shared" si="4"/>
        <v>44197</v>
      </c>
      <c r="B50" s="16">
        <f t="shared" si="0"/>
        <v>2021</v>
      </c>
      <c r="C50" s="16" t="str">
        <f t="shared" si="1"/>
        <v>January</v>
      </c>
      <c r="D50" s="24" cm="1">
        <f t="array" ref="D50">IFERROR(
  INDEX(All_India_Index_Upto_April23__1___1[Food and beverages],
        MATCH(1,
              (All_India_Index_Upto_April23__1___1[Sector]="Rural+Urban") *
              (All_India_Index_Upto_April23__1___1[Date]=$A50),
              0)
  ),
  ""
)</f>
        <v>161</v>
      </c>
      <c r="E50" s="24" cm="1">
        <f t="array" ref="E50">IFERROR(
  INDEX(All_India_Index_Upto_April23__1___1[Food and beverages],
        MATCH(1,
              (All_India_Index_Upto_April23__1___1[Sector]="Rural+Urban") *
              (All_India_Index_Upto_April23__1___1[Date]=EDATE($A50,-1)),
              0)
  ),
  ""
)</f>
        <v>165.4</v>
      </c>
      <c r="F50" s="25">
        <f t="shared" si="2"/>
        <v>-2.6602176541717083E-2</v>
      </c>
    </row>
    <row r="51" spans="1:6" x14ac:dyDescent="0.2">
      <c r="A51" s="19">
        <f t="shared" si="4"/>
        <v>44228</v>
      </c>
      <c r="B51" s="16">
        <f t="shared" si="0"/>
        <v>2021</v>
      </c>
      <c r="C51" s="16" t="str">
        <f t="shared" si="1"/>
        <v>February</v>
      </c>
      <c r="D51" s="24" cm="1">
        <f t="array" ref="D51">IFERROR(
  INDEX(All_India_Index_Upto_April23__1___1[Food and beverages],
        MATCH(1,
              (All_India_Index_Upto_April23__1___1[Sector]="Rural+Urban") *
              (All_India_Index_Upto_April23__1___1[Date]=$A51),
              0)
  ),
  ""
)</f>
        <v>156.9</v>
      </c>
      <c r="E51" s="24" cm="1">
        <f t="array" ref="E51">IFERROR(
  INDEX(All_India_Index_Upto_April23__1___1[Food and beverages],
        MATCH(1,
              (All_India_Index_Upto_April23__1___1[Sector]="Rural+Urban") *
              (All_India_Index_Upto_April23__1___1[Date]=EDATE($A51,-1)),
              0)
  ),
  ""
)</f>
        <v>161</v>
      </c>
      <c r="F51" s="25">
        <f t="shared" si="2"/>
        <v>-2.5465838509316736E-2</v>
      </c>
    </row>
    <row r="52" spans="1:6" x14ac:dyDescent="0.2">
      <c r="A52" s="19">
        <f t="shared" si="4"/>
        <v>44256</v>
      </c>
      <c r="B52" s="16">
        <f t="shared" si="0"/>
        <v>2021</v>
      </c>
      <c r="C52" s="16" t="str">
        <f t="shared" si="1"/>
        <v>March</v>
      </c>
      <c r="D52" s="24" cm="1">
        <f t="array" ref="D52">IFERROR(
  INDEX(All_India_Index_Upto_April23__1___1[Food and beverages],
        MATCH(1,
              (All_India_Index_Upto_April23__1___1[Sector]="Rural+Urban") *
              (All_India_Index_Upto_April23__1___1[Date]=$A52),
              0)
  ),
  ""
)</f>
        <v>156.69999999999999</v>
      </c>
      <c r="E52" s="24" cm="1">
        <f t="array" ref="E52">IFERROR(
  INDEX(All_India_Index_Upto_April23__1___1[Food and beverages],
        MATCH(1,
              (All_India_Index_Upto_April23__1___1[Sector]="Rural+Urban") *
              (All_India_Index_Upto_April23__1___1[Date]=EDATE($A52,-1)),
              0)
  ),
  ""
)</f>
        <v>156.9</v>
      </c>
      <c r="F52" s="25">
        <f t="shared" si="2"/>
        <v>-1.2746972594010009E-3</v>
      </c>
    </row>
    <row r="53" spans="1:6" x14ac:dyDescent="0.2">
      <c r="A53" s="19">
        <f t="shared" si="4"/>
        <v>44287</v>
      </c>
      <c r="B53" s="16">
        <f t="shared" si="0"/>
        <v>2021</v>
      </c>
      <c r="C53" s="16" t="str">
        <f t="shared" si="1"/>
        <v>April</v>
      </c>
      <c r="D53" s="24" cm="1">
        <f t="array" ref="D53">IFERROR(
  INDEX(All_India_Index_Upto_April23__1___1[Food and beverages],
        MATCH(1,
              (All_India_Index_Upto_April23__1___1[Sector]="Rural+Urban") *
              (All_India_Index_Upto_April23__1___1[Date]=$A53),
              0)
  ),
  ""
)</f>
        <v>158</v>
      </c>
      <c r="E53" s="24" cm="1">
        <f t="array" ref="E53">IFERROR(
  INDEX(All_India_Index_Upto_April23__1___1[Food and beverages],
        MATCH(1,
              (All_India_Index_Upto_April23__1___1[Sector]="Rural+Urban") *
              (All_India_Index_Upto_April23__1___1[Date]=EDATE($A53,-1)),
              0)
  ),
  ""
)</f>
        <v>156.69999999999999</v>
      </c>
      <c r="F53" s="25">
        <f t="shared" si="2"/>
        <v>8.2961072112317253E-3</v>
      </c>
    </row>
    <row r="54" spans="1:6" x14ac:dyDescent="0.2">
      <c r="A54" s="19">
        <f t="shared" si="4"/>
        <v>44317</v>
      </c>
      <c r="B54" s="16">
        <f t="shared" si="0"/>
        <v>2021</v>
      </c>
      <c r="C54" s="16" t="str">
        <f t="shared" si="1"/>
        <v>May</v>
      </c>
      <c r="D54" s="24" cm="1">
        <f t="array" ref="D54">IFERROR(
  INDEX(All_India_Index_Upto_April23__1___1[Food and beverages],
        MATCH(1,
              (All_India_Index_Upto_April23__1___1[Sector]="Rural+Urban") *
              (All_India_Index_Upto_April23__1___1[Date]=$A54),
              0)
  ),
  ""
)</f>
        <v>160.69999999999999</v>
      </c>
      <c r="E54" s="24" cm="1">
        <f t="array" ref="E54">IFERROR(
  INDEX(All_India_Index_Upto_April23__1___1[Food and beverages],
        MATCH(1,
              (All_India_Index_Upto_April23__1___1[Sector]="Rural+Urban") *
              (All_India_Index_Upto_April23__1___1[Date]=EDATE($A54,-1)),
              0)
  ),
  ""
)</f>
        <v>158</v>
      </c>
      <c r="F54" s="25">
        <f t="shared" si="2"/>
        <v>1.7088607594936637E-2</v>
      </c>
    </row>
    <row r="55" spans="1:6" x14ac:dyDescent="0.2">
      <c r="A55" s="19">
        <f t="shared" si="4"/>
        <v>44348</v>
      </c>
      <c r="B55" s="16">
        <f t="shared" si="0"/>
        <v>2021</v>
      </c>
      <c r="C55" s="16" t="str">
        <f t="shared" si="1"/>
        <v>June</v>
      </c>
      <c r="D55" s="24" cm="1">
        <f t="array" ref="D55">IFERROR(
  INDEX(All_India_Index_Upto_April23__1___1[Food and beverages],
        MATCH(1,
              (All_India_Index_Upto_April23__1___1[Sector]="Rural+Urban") *
              (All_India_Index_Upto_April23__1___1[Date]=$A55),
              0)
  ),
  ""
)</f>
        <v>162.6</v>
      </c>
      <c r="E55" s="24" cm="1">
        <f t="array" ref="E55">IFERROR(
  INDEX(All_India_Index_Upto_April23__1___1[Food and beverages],
        MATCH(1,
              (All_India_Index_Upto_April23__1___1[Sector]="Rural+Urban") *
              (All_India_Index_Upto_April23__1___1[Date]=EDATE($A55,-1)),
              0)
  ),
  ""
)</f>
        <v>160.69999999999999</v>
      </c>
      <c r="F55" s="25">
        <f t="shared" si="2"/>
        <v>1.1823273179838244E-2</v>
      </c>
    </row>
    <row r="56" spans="1:6" x14ac:dyDescent="0.2">
      <c r="A56" s="19">
        <f>EDATE(A55,1)</f>
        <v>44378</v>
      </c>
      <c r="B56" s="16">
        <f t="shared" si="0"/>
        <v>2021</v>
      </c>
      <c r="C56" s="16" t="str">
        <f t="shared" si="1"/>
        <v>July</v>
      </c>
      <c r="D56" s="24" cm="1">
        <f t="array" ref="D56">IFERROR(
  INDEX(All_India_Index_Upto_April23__1___1[Food and beverages],
        MATCH(1,
              (All_India_Index_Upto_April23__1___1[Sector]="Rural+Urban") *
              (All_India_Index_Upto_April23__1___1[Date]=$A56),
              0)
  ),
  ""
)</f>
        <v>164</v>
      </c>
      <c r="E56" s="24" cm="1">
        <f t="array" ref="E56">IFERROR(
  INDEX(All_India_Index_Upto_April23__1___1[Food and beverages],
        MATCH(1,
              (All_India_Index_Upto_April23__1___1[Sector]="Rural+Urban") *
              (All_India_Index_Upto_April23__1___1[Date]=EDATE($A56,-1)),
              0)
  ),
  ""
)</f>
        <v>162.6</v>
      </c>
      <c r="F56" s="25">
        <f t="shared" si="2"/>
        <v>8.6100861008610446E-3</v>
      </c>
    </row>
    <row r="57" spans="1:6" x14ac:dyDescent="0.2">
      <c r="A57" s="19">
        <f t="shared" ref="A57:A78" si="5">EDATE(A56,1)</f>
        <v>44409</v>
      </c>
      <c r="B57" s="16">
        <f t="shared" si="0"/>
        <v>2021</v>
      </c>
      <c r="C57" s="16" t="str">
        <f t="shared" si="1"/>
        <v>August</v>
      </c>
      <c r="D57" s="24" cm="1">
        <f t="array" ref="D57">IFERROR(
  INDEX(All_India_Index_Upto_April23__1___1[Food and beverages],
        MATCH(1,
              (All_India_Index_Upto_April23__1___1[Sector]="Rural+Urban") *
              (All_India_Index_Upto_April23__1___1[Date]=$A57),
              0)
  ),
  ""
)</f>
        <v>164</v>
      </c>
      <c r="E57" s="24" cm="1">
        <f t="array" ref="E57">IFERROR(
  INDEX(All_India_Index_Upto_April23__1___1[Food and beverages],
        MATCH(1,
              (All_India_Index_Upto_April23__1___1[Sector]="Rural+Urban") *
              (All_India_Index_Upto_April23__1___1[Date]=EDATE($A57,-1)),
              0)
  ),
  ""
)</f>
        <v>164</v>
      </c>
      <c r="F57" s="25">
        <f t="shared" si="2"/>
        <v>0</v>
      </c>
    </row>
    <row r="58" spans="1:6" x14ac:dyDescent="0.2">
      <c r="A58" s="19">
        <f t="shared" si="5"/>
        <v>44440</v>
      </c>
      <c r="B58" s="16">
        <f t="shared" si="0"/>
        <v>2021</v>
      </c>
      <c r="C58" s="16" t="str">
        <f t="shared" si="1"/>
        <v>September</v>
      </c>
      <c r="D58" s="24" cm="1">
        <f t="array" ref="D58">IFERROR(
  INDEX(All_India_Index_Upto_April23__1___1[Food and beverages],
        MATCH(1,
              (All_India_Index_Upto_April23__1___1[Sector]="Rural+Urban") *
              (All_India_Index_Upto_April23__1___1[Date]=$A58),
              0)
  ),
  ""
)</f>
        <v>164</v>
      </c>
      <c r="E58" s="24" cm="1">
        <f t="array" ref="E58">IFERROR(
  INDEX(All_India_Index_Upto_April23__1___1[Food and beverages],
        MATCH(1,
              (All_India_Index_Upto_April23__1___1[Sector]="Rural+Urban") *
              (All_India_Index_Upto_April23__1___1[Date]=EDATE($A58,-1)),
              0)
  ),
  ""
)</f>
        <v>164</v>
      </c>
      <c r="F58" s="25">
        <f t="shared" si="2"/>
        <v>0</v>
      </c>
    </row>
    <row r="59" spans="1:6" x14ac:dyDescent="0.2">
      <c r="A59" s="19">
        <f t="shared" si="5"/>
        <v>44470</v>
      </c>
      <c r="B59" s="16">
        <f t="shared" si="0"/>
        <v>2021</v>
      </c>
      <c r="C59" s="16" t="str">
        <f t="shared" si="1"/>
        <v>October</v>
      </c>
      <c r="D59" s="24" cm="1">
        <f t="array" ref="D59">IFERROR(
  INDEX(All_India_Index_Upto_April23__1___1[Food and beverages],
        MATCH(1,
              (All_India_Index_Upto_April23__1___1[Sector]="Rural+Urban") *
              (All_India_Index_Upto_April23__1___1[Date]=$A59),
              0)
  ),
  ""
)</f>
        <v>167.7</v>
      </c>
      <c r="E59" s="24" cm="1">
        <f t="array" ref="E59">IFERROR(
  INDEX(All_India_Index_Upto_April23__1___1[Food and beverages],
        MATCH(1,
              (All_India_Index_Upto_April23__1___1[Sector]="Rural+Urban") *
              (All_India_Index_Upto_April23__1___1[Date]=EDATE($A59,-1)),
              0)
  ),
  ""
)</f>
        <v>164</v>
      </c>
      <c r="F59" s="25">
        <f t="shared" si="2"/>
        <v>2.2560975609756027E-2</v>
      </c>
    </row>
    <row r="60" spans="1:6" x14ac:dyDescent="0.2">
      <c r="A60" s="19">
        <f t="shared" si="5"/>
        <v>44501</v>
      </c>
      <c r="B60" s="16">
        <f t="shared" si="0"/>
        <v>2021</v>
      </c>
      <c r="C60" s="16" t="str">
        <f t="shared" si="1"/>
        <v>November</v>
      </c>
      <c r="D60" s="24" cm="1">
        <f t="array" ref="D60">IFERROR(
  INDEX(All_India_Index_Upto_April23__1___1[Food and beverages],
        MATCH(1,
              (All_India_Index_Upto_April23__1___1[Sector]="Rural+Urban") *
              (All_India_Index_Upto_April23__1___1[Date]=$A60),
              0)
  ),
  ""
)</f>
        <v>169.7</v>
      </c>
      <c r="E60" s="24" cm="1">
        <f t="array" ref="E60">IFERROR(
  INDEX(All_India_Index_Upto_April23__1___1[Food and beverages],
        MATCH(1,
              (All_India_Index_Upto_April23__1___1[Sector]="Rural+Urban") *
              (All_India_Index_Upto_April23__1___1[Date]=EDATE($A60,-1)),
              0)
  ),
  ""
)</f>
        <v>167.7</v>
      </c>
      <c r="F60" s="25">
        <f t="shared" si="2"/>
        <v>1.1926058437686345E-2</v>
      </c>
    </row>
    <row r="61" spans="1:6" x14ac:dyDescent="0.2">
      <c r="A61" s="19">
        <f t="shared" si="5"/>
        <v>44531</v>
      </c>
      <c r="B61" s="16">
        <f t="shared" si="0"/>
        <v>2021</v>
      </c>
      <c r="C61" s="16" t="str">
        <f t="shared" si="1"/>
        <v>December</v>
      </c>
      <c r="D61" s="24" cm="1">
        <f t="array" ref="D61">IFERROR(
  INDEX(All_India_Index_Upto_April23__1___1[Food and beverages],
        MATCH(1,
              (All_India_Index_Upto_April23__1___1[Sector]="Rural+Urban") *
              (All_India_Index_Upto_April23__1___1[Date]=$A61),
              0)
  ),
  ""
)</f>
        <v>168.2</v>
      </c>
      <c r="E61" s="24" cm="1">
        <f t="array" ref="E61">IFERROR(
  INDEX(All_India_Index_Upto_April23__1___1[Food and beverages],
        MATCH(1,
              (All_India_Index_Upto_April23__1___1[Sector]="Rural+Urban") *
              (All_India_Index_Upto_April23__1___1[Date]=EDATE($A61,-1)),
              0)
  ),
  ""
)</f>
        <v>169.7</v>
      </c>
      <c r="F61" s="25">
        <f t="shared" si="2"/>
        <v>-8.8391278727165592E-3</v>
      </c>
    </row>
    <row r="62" spans="1:6" x14ac:dyDescent="0.2">
      <c r="A62" s="19">
        <f t="shared" si="5"/>
        <v>44562</v>
      </c>
      <c r="B62" s="16">
        <f t="shared" si="0"/>
        <v>2022</v>
      </c>
      <c r="C62" s="16" t="str">
        <f t="shared" si="1"/>
        <v>January</v>
      </c>
      <c r="D62" s="24" cm="1">
        <f t="array" ref="D62">IFERROR(
  INDEX(All_India_Index_Upto_April23__1___1[Food and beverages],
        MATCH(1,
              (All_India_Index_Upto_April23__1___1[Sector]="Rural+Urban") *
              (All_India_Index_Upto_April23__1___1[Date]=$A62),
              0)
  ),
  ""
)</f>
        <v>166.4</v>
      </c>
      <c r="E62" s="24" cm="1">
        <f t="array" ref="E62">IFERROR(
  INDEX(All_India_Index_Upto_April23__1___1[Food and beverages],
        MATCH(1,
              (All_India_Index_Upto_April23__1___1[Sector]="Rural+Urban") *
              (All_India_Index_Upto_April23__1___1[Date]=EDATE($A62,-1)),
              0)
  ),
  ""
)</f>
        <v>168.2</v>
      </c>
      <c r="F62" s="25">
        <f t="shared" si="2"/>
        <v>-1.070154577883462E-2</v>
      </c>
    </row>
    <row r="63" spans="1:6" x14ac:dyDescent="0.2">
      <c r="A63" s="19">
        <f t="shared" si="5"/>
        <v>44593</v>
      </c>
      <c r="B63" s="16">
        <f t="shared" si="0"/>
        <v>2022</v>
      </c>
      <c r="C63" s="16" t="str">
        <f t="shared" si="1"/>
        <v>February</v>
      </c>
      <c r="D63" s="24" cm="1">
        <f t="array" ref="D63">IFERROR(
  INDEX(All_India_Index_Upto_April23__1___1[Food and beverages],
        MATCH(1,
              (All_India_Index_Upto_April23__1___1[Sector]="Rural+Urban") *
              (All_India_Index_Upto_April23__1___1[Date]=$A63),
              0)
  ),
  ""
)</f>
        <v>166.2</v>
      </c>
      <c r="E63" s="24" cm="1">
        <f t="array" ref="E63">IFERROR(
  INDEX(All_India_Index_Upto_April23__1___1[Food and beverages],
        MATCH(1,
              (All_India_Index_Upto_April23__1___1[Sector]="Rural+Urban") *
              (All_India_Index_Upto_April23__1___1[Date]=EDATE($A63,-1)),
              0)
  ),
  ""
)</f>
        <v>166.4</v>
      </c>
      <c r="F63" s="25">
        <f t="shared" si="2"/>
        <v>-1.2019230769231793E-3</v>
      </c>
    </row>
    <row r="64" spans="1:6" x14ac:dyDescent="0.2">
      <c r="A64" s="19">
        <f t="shared" si="5"/>
        <v>44621</v>
      </c>
      <c r="B64" s="16">
        <f t="shared" si="0"/>
        <v>2022</v>
      </c>
      <c r="C64" s="16" t="str">
        <f t="shared" si="1"/>
        <v>March</v>
      </c>
      <c r="D64" s="24" cm="1">
        <f t="array" ref="D64">IFERROR(
  INDEX(All_India_Index_Upto_April23__1___1[Food and beverages],
        MATCH(1,
              (All_India_Index_Upto_April23__1___1[Sector]="Rural+Urban") *
              (All_India_Index_Upto_April23__1___1[Date]=$A64),
              0)
  ),
  ""
)</f>
        <v>168.4</v>
      </c>
      <c r="E64" s="24" cm="1">
        <f t="array" ref="E64">IFERROR(
  INDEX(All_India_Index_Upto_April23__1___1[Food and beverages],
        MATCH(1,
              (All_India_Index_Upto_April23__1___1[Sector]="Rural+Urban") *
              (All_India_Index_Upto_April23__1___1[Date]=EDATE($A64,-1)),
              0)
  ),
  ""
)</f>
        <v>166.2</v>
      </c>
      <c r="F64" s="25">
        <f t="shared" si="2"/>
        <v>1.3237063778580128E-2</v>
      </c>
    </row>
    <row r="65" spans="1:6" x14ac:dyDescent="0.2">
      <c r="A65" s="19">
        <f t="shared" si="5"/>
        <v>44652</v>
      </c>
      <c r="B65" s="16">
        <f t="shared" si="0"/>
        <v>2022</v>
      </c>
      <c r="C65" s="16" t="str">
        <f t="shared" si="1"/>
        <v>April</v>
      </c>
      <c r="D65" s="24" cm="1">
        <f t="array" ref="D65">IFERROR(
  INDEX(All_India_Index_Upto_April23__1___1[Food and beverages],
        MATCH(1,
              (All_India_Index_Upto_April23__1___1[Sector]="Rural+Urban") *
              (All_India_Index_Upto_April23__1___1[Date]=$A65),
              0)
  ),
  ""
)</f>
        <v>170.8</v>
      </c>
      <c r="E65" s="24" cm="1">
        <f t="array" ref="E65">IFERROR(
  INDEX(All_India_Index_Upto_April23__1___1[Food and beverages],
        MATCH(1,
              (All_India_Index_Upto_April23__1___1[Sector]="Rural+Urban") *
              (All_India_Index_Upto_April23__1___1[Date]=EDATE($A65,-1)),
              0)
  ),
  ""
)</f>
        <v>168.4</v>
      </c>
      <c r="F65" s="25">
        <f t="shared" si="2"/>
        <v>1.4251781472684119E-2</v>
      </c>
    </row>
    <row r="66" spans="1:6" x14ac:dyDescent="0.2">
      <c r="A66" s="19">
        <f t="shared" si="5"/>
        <v>44682</v>
      </c>
      <c r="B66" s="16">
        <f t="shared" si="0"/>
        <v>2022</v>
      </c>
      <c r="C66" s="16" t="str">
        <f t="shared" si="1"/>
        <v>May</v>
      </c>
      <c r="D66" s="24" cm="1">
        <f t="array" ref="D66">IFERROR(
  INDEX(All_India_Index_Upto_April23__1___1[Food and beverages],
        MATCH(1,
              (All_India_Index_Upto_April23__1___1[Sector]="Rural+Urban") *
              (All_India_Index_Upto_April23__1___1[Date]=$A66),
              0)
  ),
  ""
)</f>
        <v>173.3</v>
      </c>
      <c r="E66" s="24" cm="1">
        <f t="array" ref="E66">IFERROR(
  INDEX(All_India_Index_Upto_April23__1___1[Food and beverages],
        MATCH(1,
              (All_India_Index_Upto_April23__1___1[Sector]="Rural+Urban") *
              (All_India_Index_Upto_April23__1___1[Date]=EDATE($A66,-1)),
              0)
  ),
  ""
)</f>
        <v>170.8</v>
      </c>
      <c r="F66" s="25">
        <f t="shared" si="2"/>
        <v>1.4637002341920374E-2</v>
      </c>
    </row>
    <row r="67" spans="1:6" x14ac:dyDescent="0.2">
      <c r="A67" s="19">
        <f t="shared" si="5"/>
        <v>44713</v>
      </c>
      <c r="B67" s="16">
        <f t="shared" ref="B67:B78" si="6">YEAR(A67)</f>
        <v>2022</v>
      </c>
      <c r="C67" s="16" t="str">
        <f t="shared" ref="C67:C78" si="7">TEXT(A67,"mmmm")</f>
        <v>June</v>
      </c>
      <c r="D67" s="24" cm="1">
        <f t="array" ref="D67">IFERROR(
  INDEX(All_India_Index_Upto_April23__1___1[Food and beverages],
        MATCH(1,
              (All_India_Index_Upto_April23__1___1[Sector]="Rural+Urban") *
              (All_India_Index_Upto_April23__1___1[Date]=$A67),
              0)
  ),
  ""
)</f>
        <v>174.9</v>
      </c>
      <c r="E67" s="24" cm="1">
        <f t="array" ref="E67">IFERROR(
  INDEX(All_India_Index_Upto_April23__1___1[Food and beverages],
        MATCH(1,
              (All_India_Index_Upto_April23__1___1[Sector]="Rural+Urban") *
              (All_India_Index_Upto_April23__1___1[Date]=EDATE($A67,-1)),
              0)
  ),
  ""
)</f>
        <v>173.3</v>
      </c>
      <c r="F67" s="25">
        <f t="shared" ref="F67:F78" si="8">IF(E67="","", IF(E67=0,"", (D67-E67)/E67 ))</f>
        <v>9.2325447201384546E-3</v>
      </c>
    </row>
    <row r="68" spans="1:6" x14ac:dyDescent="0.2">
      <c r="A68" s="19">
        <f t="shared" si="5"/>
        <v>44743</v>
      </c>
      <c r="B68" s="16">
        <f t="shared" si="6"/>
        <v>2022</v>
      </c>
      <c r="C68" s="16" t="str">
        <f t="shared" si="7"/>
        <v>July</v>
      </c>
      <c r="D68" s="24" cm="1">
        <f t="array" ref="D68">IFERROR(
  INDEX(All_India_Index_Upto_April23__1___1[Food and beverages],
        MATCH(1,
              (All_India_Index_Upto_April23__1___1[Sector]="Rural+Urban") *
              (All_India_Index_Upto_April23__1___1[Date]=$A68),
              0)
  ),
  ""
)</f>
        <v>175</v>
      </c>
      <c r="E68" s="24" cm="1">
        <f t="array" ref="E68">IFERROR(
  INDEX(All_India_Index_Upto_April23__1___1[Food and beverages],
        MATCH(1,
              (All_India_Index_Upto_April23__1___1[Sector]="Rural+Urban") *
              (All_India_Index_Upto_April23__1___1[Date]=EDATE($A68,-1)),
              0)
  ),
  ""
)</f>
        <v>174.9</v>
      </c>
      <c r="F68" s="25">
        <f t="shared" si="8"/>
        <v>5.7175528873638828E-4</v>
      </c>
    </row>
    <row r="69" spans="1:6" x14ac:dyDescent="0.2">
      <c r="A69" s="19">
        <f t="shared" si="5"/>
        <v>44774</v>
      </c>
      <c r="B69" s="16">
        <f t="shared" si="6"/>
        <v>2022</v>
      </c>
      <c r="C69" s="16" t="str">
        <f t="shared" si="7"/>
        <v>August</v>
      </c>
      <c r="D69" s="24" cm="1">
        <f t="array" ref="D69">IFERROR(
  INDEX(All_India_Index_Upto_April23__1___1[Food and beverages],
        MATCH(1,
              (All_India_Index_Upto_April23__1___1[Sector]="Rural+Urban") *
              (All_India_Index_Upto_April23__1___1[Date]=$A69),
              0)
  ),
  ""
)</f>
        <v>176.3</v>
      </c>
      <c r="E69" s="24" cm="1">
        <f t="array" ref="E69">IFERROR(
  INDEX(All_India_Index_Upto_April23__1___1[Food and beverages],
        MATCH(1,
              (All_India_Index_Upto_April23__1___1[Sector]="Rural+Urban") *
              (All_India_Index_Upto_April23__1___1[Date]=EDATE($A69,-1)),
              0)
  ),
  ""
)</f>
        <v>175</v>
      </c>
      <c r="F69" s="25">
        <f t="shared" si="8"/>
        <v>7.4285714285714935E-3</v>
      </c>
    </row>
    <row r="70" spans="1:6" x14ac:dyDescent="0.2">
      <c r="A70" s="19">
        <f t="shared" si="5"/>
        <v>44805</v>
      </c>
      <c r="B70" s="16">
        <f t="shared" si="6"/>
        <v>2022</v>
      </c>
      <c r="C70" s="16" t="str">
        <f t="shared" si="7"/>
        <v>September</v>
      </c>
      <c r="D70" s="24" cm="1">
        <f t="array" ref="D70">IFERROR(
  INDEX(All_India_Index_Upto_April23__1___1[Food and beverages],
        MATCH(1,
              (All_India_Index_Upto_April23__1___1[Sector]="Rural+Urban") *
              (All_India_Index_Upto_April23__1___1[Date]=$A70),
              0)
  ),
  ""
)</f>
        <v>177.8</v>
      </c>
      <c r="E70" s="24" cm="1">
        <f t="array" ref="E70">IFERROR(
  INDEX(All_India_Index_Upto_April23__1___1[Food and beverages],
        MATCH(1,
              (All_India_Index_Upto_April23__1___1[Sector]="Rural+Urban") *
              (All_India_Index_Upto_April23__1___1[Date]=EDATE($A70,-1)),
              0)
  ),
  ""
)</f>
        <v>176.3</v>
      </c>
      <c r="F70" s="25">
        <f t="shared" si="8"/>
        <v>8.5082246171298923E-3</v>
      </c>
    </row>
    <row r="71" spans="1:6" x14ac:dyDescent="0.2">
      <c r="A71" s="19">
        <f t="shared" si="5"/>
        <v>44835</v>
      </c>
      <c r="B71" s="16">
        <f t="shared" si="6"/>
        <v>2022</v>
      </c>
      <c r="C71" s="16" t="str">
        <f t="shared" si="7"/>
        <v>October</v>
      </c>
      <c r="D71" s="24" cm="1">
        <f t="array" ref="D71">IFERROR(
  INDEX(All_India_Index_Upto_April23__1___1[Food and beverages],
        MATCH(1,
              (All_India_Index_Upto_April23__1___1[Sector]="Rural+Urban") *
              (All_India_Index_Upto_April23__1___1[Date]=$A71),
              0)
  ),
  ""
)</f>
        <v>179.6</v>
      </c>
      <c r="E71" s="24" cm="1">
        <f t="array" ref="E71">IFERROR(
  INDEX(All_India_Index_Upto_April23__1___1[Food and beverages],
        MATCH(1,
              (All_India_Index_Upto_April23__1___1[Sector]="Rural+Urban") *
              (All_India_Index_Upto_April23__1___1[Date]=EDATE($A71,-1)),
              0)
  ),
  ""
)</f>
        <v>177.8</v>
      </c>
      <c r="F71" s="25">
        <f t="shared" si="8"/>
        <v>1.0123734533183255E-2</v>
      </c>
    </row>
    <row r="72" spans="1:6" x14ac:dyDescent="0.2">
      <c r="A72" s="19">
        <f t="shared" si="5"/>
        <v>44866</v>
      </c>
      <c r="B72" s="16">
        <f t="shared" si="6"/>
        <v>2022</v>
      </c>
      <c r="C72" s="16" t="str">
        <f t="shared" si="7"/>
        <v>November</v>
      </c>
      <c r="D72" s="24" cm="1">
        <f t="array" ref="D72">IFERROR(
  INDEX(All_India_Index_Upto_April23__1___1[Food and beverages],
        MATCH(1,
              (All_India_Index_Upto_April23__1___1[Sector]="Rural+Urban") *
              (All_India_Index_Upto_April23__1___1[Date]=$A72),
              0)
  ),
  ""
)</f>
        <v>178.3</v>
      </c>
      <c r="E72" s="24" cm="1">
        <f t="array" ref="E72">IFERROR(
  INDEX(All_India_Index_Upto_April23__1___1[Food and beverages],
        MATCH(1,
              (All_India_Index_Upto_April23__1___1[Sector]="Rural+Urban") *
              (All_India_Index_Upto_April23__1___1[Date]=EDATE($A72,-1)),
              0)
  ),
  ""
)</f>
        <v>179.6</v>
      </c>
      <c r="F72" s="25">
        <f t="shared" si="8"/>
        <v>-7.2383073496658295E-3</v>
      </c>
    </row>
    <row r="73" spans="1:6" x14ac:dyDescent="0.2">
      <c r="A73" s="19">
        <f t="shared" si="5"/>
        <v>44896</v>
      </c>
      <c r="B73" s="16">
        <f t="shared" si="6"/>
        <v>2022</v>
      </c>
      <c r="C73" s="16" t="str">
        <f t="shared" si="7"/>
        <v>December</v>
      </c>
      <c r="D73" s="24" cm="1">
        <f t="array" ref="D73">IFERROR(
  INDEX(All_India_Index_Upto_April23__1___1[Food and beverages],
        MATCH(1,
              (All_India_Index_Upto_April23__1___1[Sector]="Rural+Urban") *
              (All_India_Index_Upto_April23__1___1[Date]=$A73),
              0)
  ),
  ""
)</f>
        <v>175.9</v>
      </c>
      <c r="E73" s="24" cm="1">
        <f t="array" ref="E73">IFERROR(
  INDEX(All_India_Index_Upto_April23__1___1[Food and beverages],
        MATCH(1,
              (All_India_Index_Upto_April23__1___1[Sector]="Rural+Urban") *
              (All_India_Index_Upto_April23__1___1[Date]=EDATE($A73,-1)),
              0)
  ),
  ""
)</f>
        <v>178.3</v>
      </c>
      <c r="F73" s="25">
        <f t="shared" si="8"/>
        <v>-1.3460459899046581E-2</v>
      </c>
    </row>
    <row r="74" spans="1:6" x14ac:dyDescent="0.2">
      <c r="A74" s="19">
        <f t="shared" si="5"/>
        <v>44927</v>
      </c>
      <c r="B74" s="16">
        <f t="shared" si="6"/>
        <v>2023</v>
      </c>
      <c r="C74" s="16" t="str">
        <f t="shared" si="7"/>
        <v>January</v>
      </c>
      <c r="D74" s="24" cm="1">
        <f t="array" ref="D74">IFERROR(
  INDEX(All_India_Index_Upto_April23__1___1[Food and beverages],
        MATCH(1,
              (All_India_Index_Upto_April23__1___1[Sector]="Rural+Urban") *
              (All_India_Index_Upto_April23__1___1[Date]=$A74),
              0)
  ),
  ""
)</f>
        <v>176.7</v>
      </c>
      <c r="E74" s="24" cm="1">
        <f t="array" ref="E74">IFERROR(
  INDEX(All_India_Index_Upto_April23__1___1[Food and beverages],
        MATCH(1,
              (All_India_Index_Upto_April23__1___1[Sector]="Rural+Urban") *
              (All_India_Index_Upto_April23__1___1[Date]=EDATE($A74,-1)),
              0)
  ),
  ""
)</f>
        <v>175.9</v>
      </c>
      <c r="F74" s="25">
        <f t="shared" si="8"/>
        <v>4.5480386583284984E-3</v>
      </c>
    </row>
    <row r="75" spans="1:6" x14ac:dyDescent="0.2">
      <c r="A75" s="19">
        <f t="shared" si="5"/>
        <v>44958</v>
      </c>
      <c r="B75" s="16">
        <f t="shared" si="6"/>
        <v>2023</v>
      </c>
      <c r="C75" s="16" t="str">
        <f t="shared" si="7"/>
        <v>February</v>
      </c>
      <c r="D75" s="24" cm="1">
        <f t="array" ref="D75">IFERROR(
  INDEX(All_India_Index_Upto_April23__1___1[Food and beverages],
        MATCH(1,
              (All_India_Index_Upto_April23__1___1[Sector]="Rural+Urban") *
              (All_India_Index_Upto_April23__1___1[Date]=$A75),
              0)
  ),
  ""
)</f>
        <v>177</v>
      </c>
      <c r="E75" s="24" cm="1">
        <f t="array" ref="E75">IFERROR(
  INDEX(All_India_Index_Upto_April23__1___1[Food and beverages],
        MATCH(1,
              (All_India_Index_Upto_April23__1___1[Sector]="Rural+Urban") *
              (All_India_Index_Upto_April23__1___1[Date]=EDATE($A75,-1)),
              0)
  ),
  ""
)</f>
        <v>176.7</v>
      </c>
      <c r="F75" s="25">
        <f t="shared" si="8"/>
        <v>1.6977928692700134E-3</v>
      </c>
    </row>
    <row r="76" spans="1:6" x14ac:dyDescent="0.2">
      <c r="A76" s="19">
        <f t="shared" si="5"/>
        <v>44986</v>
      </c>
      <c r="B76" s="16">
        <f t="shared" si="6"/>
        <v>2023</v>
      </c>
      <c r="C76" s="16" t="str">
        <f t="shared" si="7"/>
        <v>March</v>
      </c>
      <c r="D76" s="24" cm="1">
        <f t="array" ref="D76">IFERROR(
  INDEX(All_India_Index_Upto_April23__1___1[Food and beverages],
        MATCH(1,
              (All_India_Index_Upto_April23__1___1[Sector]="Rural+Urban") *
              (All_India_Index_Upto_April23__1___1[Date]=$A76),
              0)
  ),
  ""
)</f>
        <v>177</v>
      </c>
      <c r="E76" s="24" cm="1">
        <f t="array" ref="E76">IFERROR(
  INDEX(All_India_Index_Upto_April23__1___1[Food and beverages],
        MATCH(1,
              (All_India_Index_Upto_April23__1___1[Sector]="Rural+Urban") *
              (All_India_Index_Upto_April23__1___1[Date]=EDATE($A76,-1)),
              0)
  ),
  ""
)</f>
        <v>177</v>
      </c>
      <c r="F76" s="25">
        <f t="shared" si="8"/>
        <v>0</v>
      </c>
    </row>
    <row r="77" spans="1:6" x14ac:dyDescent="0.2">
      <c r="A77" s="19">
        <f t="shared" si="5"/>
        <v>45017</v>
      </c>
      <c r="B77" s="16">
        <f t="shared" si="6"/>
        <v>2023</v>
      </c>
      <c r="C77" s="16" t="str">
        <f t="shared" si="7"/>
        <v>April</v>
      </c>
      <c r="D77" s="24" cm="1">
        <f t="array" ref="D77">IFERROR(
  INDEX(All_India_Index_Upto_April23__1___1[Food and beverages],
        MATCH(1,
              (All_India_Index_Upto_April23__1___1[Sector]="Rural+Urban") *
              (All_India_Index_Upto_April23__1___1[Date]=$A77),
              0)
  ),
  ""
)</f>
        <v>177.9</v>
      </c>
      <c r="E77" s="24" cm="1">
        <f t="array" ref="E77">IFERROR(
  INDEX(All_India_Index_Upto_April23__1___1[Food and beverages],
        MATCH(1,
              (All_India_Index_Upto_April23__1___1[Sector]="Rural+Urban") *
              (All_India_Index_Upto_April23__1___1[Date]=EDATE($A77,-1)),
              0)
  ),
  ""
)</f>
        <v>177</v>
      </c>
      <c r="F77" s="25">
        <f t="shared" si="8"/>
        <v>5.0847457627118961E-3</v>
      </c>
    </row>
    <row r="78" spans="1:6" x14ac:dyDescent="0.2">
      <c r="A78" s="19">
        <f t="shared" si="5"/>
        <v>45047</v>
      </c>
      <c r="B78" s="16">
        <f t="shared" si="6"/>
        <v>2023</v>
      </c>
      <c r="C78" s="16" t="str">
        <f t="shared" si="7"/>
        <v>May</v>
      </c>
      <c r="D78" s="24" cm="1">
        <f t="array" ref="D78">IFERROR(
  INDEX(All_India_Index_Upto_April23__1___1[Food and beverages],
        MATCH(1,
              (All_India_Index_Upto_April23__1___1[Sector]="Rural+Urban") *
              (All_India_Index_Upto_April23__1___1[Date]=$A78),
              0)
  ),
  ""
)</f>
        <v>179.1</v>
      </c>
      <c r="E78" s="24" cm="1">
        <f t="array" ref="E78">IFERROR(
  INDEX(All_India_Index_Upto_April23__1___1[Food and beverages],
        MATCH(1,
              (All_India_Index_Upto_April23__1___1[Sector]="Rural+Urban") *
              (All_India_Index_Upto_April23__1___1[Date]=EDATE($A78,-1)),
              0)
  ),
  ""
)</f>
        <v>177.9</v>
      </c>
      <c r="F78" s="25">
        <f t="shared" si="8"/>
        <v>6.7453625632377095E-3</v>
      </c>
    </row>
    <row r="80" spans="1:6" x14ac:dyDescent="0.2">
      <c r="A80" s="4" t="s">
        <v>178</v>
      </c>
    </row>
    <row r="81" spans="1:2" x14ac:dyDescent="0.2">
      <c r="A81" s="4" t="s">
        <v>174</v>
      </c>
      <c r="B81" s="21">
        <f>MAX(F67:F78)</f>
        <v>1.0123734533183255E-2</v>
      </c>
    </row>
    <row r="82" spans="1:2" x14ac:dyDescent="0.2">
      <c r="A82" s="4" t="s">
        <v>175</v>
      </c>
      <c r="B82" s="22">
        <f>INDEX(A67:A78, MATCH(MAX(F67:F78),F67:F78, 0))</f>
        <v>44835</v>
      </c>
    </row>
    <row r="83" spans="1:2" x14ac:dyDescent="0.2">
      <c r="A83" s="4" t="s">
        <v>176</v>
      </c>
      <c r="B83" s="21">
        <f>MIN(F67:F78)</f>
        <v>-1.3460459899046581E-2</v>
      </c>
    </row>
    <row r="84" spans="1:2" x14ac:dyDescent="0.2">
      <c r="A84" s="4" t="s">
        <v>177</v>
      </c>
      <c r="B84" s="22">
        <f>INDEX(A67:A78, MATCH(MIN(F67:F78),F67:F78, 0))</f>
        <v>44896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533BD-6648-9340-BF92-4663D415F63D}">
  <dimension ref="A1:H330"/>
  <sheetViews>
    <sheetView topLeftCell="A185" workbookViewId="0">
      <selection activeCell="G26" sqref="G26"/>
    </sheetView>
  </sheetViews>
  <sheetFormatPr baseColWidth="10" defaultRowHeight="16" x14ac:dyDescent="0.2"/>
  <cols>
    <col min="1" max="1" width="48.6640625" bestFit="1" customWidth="1"/>
    <col min="2" max="2" width="19.1640625" bestFit="1" customWidth="1"/>
    <col min="3" max="3" width="19.6640625" bestFit="1" customWidth="1"/>
    <col min="4" max="5" width="14" bestFit="1" customWidth="1"/>
    <col min="6" max="6" width="26" bestFit="1" customWidth="1"/>
  </cols>
  <sheetData>
    <row r="1" spans="1:8" x14ac:dyDescent="0.2">
      <c r="A1" s="4" t="s">
        <v>164</v>
      </c>
      <c r="B1" s="4" t="s">
        <v>162</v>
      </c>
      <c r="C1" s="4" t="s">
        <v>163</v>
      </c>
    </row>
    <row r="2" spans="1:8" x14ac:dyDescent="0.2">
      <c r="A2" s="4" t="s">
        <v>3</v>
      </c>
      <c r="B2" s="7" cm="1">
        <f t="array" ref="B2">INDEX(All_India_Index_Upto_April23__1___1[#All],
       MATCH(1,
             (All_India_Index_Upto_April23__1___1[Sector]="Rural+Urban")*
             (All_India_Index_Upto_April23__1___1[Year]=2023)*
             (All_India_Index_Upto_April23__1___1[Month]="May"),
             0),
       MATCH(Contribution!$A2,
             All_India_Index_Upto_April23__1___1[#Headers],
             0))</f>
        <v>173.8</v>
      </c>
      <c r="C2" s="8">
        <f>B2/SUM($B$2:$B$27)</f>
        <v>3.9021980735984202E-2</v>
      </c>
      <c r="F2" t="s">
        <v>15</v>
      </c>
      <c r="G2" s="7" cm="1">
        <f t="array" ref="G2">INDEX(All_India_Index_Upto_April23__1___1[#All],
       MATCH(1,
             (All_India_Index_Upto_April23__1___1[Sector]="Rural+Urban")*
             (All_India_Index_Upto_April23__1___1[Year]=2023)*
             (All_India_Index_Upto_April23__1___1[Month]="May"),
             0),
       MATCH(Contribution!$F2,
             All_India_Index_Upto_April23__1___1[#Headers],
             0))</f>
        <v>177.9</v>
      </c>
      <c r="H2" s="8">
        <f>G2/SUM($G$2:$G$13)</f>
        <v>9.0025808410505531E-2</v>
      </c>
    </row>
    <row r="3" spans="1:8" x14ac:dyDescent="0.2">
      <c r="A3" s="4" t="s">
        <v>4</v>
      </c>
      <c r="B3" s="7" cm="1">
        <f t="array" ref="B3">INDEX(All_India_Index_Upto_April23__1___1[#All],
       MATCH(1,
             (All_India_Index_Upto_April23__1___1[Sector]="Rural+Urban")*
             (All_India_Index_Upto_April23__1___1[Year]=2023)*
             (All_India_Index_Upto_April23__1___1[Month]="May"),
             0),
       MATCH(Contribution!$A3,
             All_India_Index_Upto_April23__1___1[#Headers],
             0))</f>
        <v>209.3</v>
      </c>
      <c r="C3" s="8">
        <f t="shared" ref="C3:C26" si="0">B3/SUM($B$2:$B$27)</f>
        <v>4.6992523406452776E-2</v>
      </c>
      <c r="F3" t="s">
        <v>16</v>
      </c>
      <c r="G3" s="7" cm="1">
        <f t="array" ref="G3">INDEX(All_India_Index_Upto_April23__1___1[#All],
       MATCH(1,
             (All_India_Index_Upto_April23__1___1[Sector]="Rural+Urban")*
             (All_India_Index_Upto_April23__1___1[Year]=2023)*
             (All_India_Index_Upto_April23__1___1[Month]="May"),
             0),
       MATCH(Contribution!$F3,
             All_India_Index_Upto_April23__1___1[#Headers],
             0))</f>
        <v>200.6</v>
      </c>
      <c r="H3" s="8">
        <f t="shared" ref="H3:H14" si="1">G3/SUM($G$2:$G$13)</f>
        <v>0.10151308132179544</v>
      </c>
    </row>
    <row r="4" spans="1:8" x14ac:dyDescent="0.2">
      <c r="A4" s="4" t="s">
        <v>5</v>
      </c>
      <c r="B4" s="7" cm="1">
        <f t="array" ref="B4">INDEX(All_India_Index_Upto_April23__1___1[#All],
       MATCH(1,
             (All_India_Index_Upto_April23__1___1[Sector]="Rural+Urban")*
             (All_India_Index_Upto_April23__1___1[Year]=2023)*
             (All_India_Index_Upto_April23__1___1[Month]="May"),
             0),
       MATCH(Contribution!$A4,
             All_India_Index_Upto_April23__1___1[#Headers],
             0))</f>
        <v>169.6</v>
      </c>
      <c r="C4" s="8">
        <f t="shared" si="0"/>
        <v>3.8078986955252699E-2</v>
      </c>
      <c r="F4" t="s">
        <v>19</v>
      </c>
      <c r="G4" s="7" cm="1">
        <f t="array" ref="G4">INDEX(All_India_Index_Upto_April23__1___1[#All],
       MATCH(1,
             (All_India_Index_Upto_April23__1___1[Sector]="Rural+Urban")*
             (All_India_Index_Upto_April23__1___1[Year]=2023)*
             (All_India_Index_Upto_April23__1___1[Month]="May"),
             0),
       MATCH(Contribution!$F4,
             All_India_Index_Upto_April23__1___1[#Headers],
             0))</f>
        <v>185.7</v>
      </c>
      <c r="H4" s="8">
        <f t="shared" si="1"/>
        <v>9.3972977076058894E-2</v>
      </c>
    </row>
    <row r="5" spans="1:8" x14ac:dyDescent="0.2">
      <c r="A5" s="4" t="s">
        <v>6</v>
      </c>
      <c r="B5" s="7" cm="1">
        <f t="array" ref="B5">INDEX(All_India_Index_Upto_April23__1___1[#All],
       MATCH(1,
             (All_India_Index_Upto_April23__1___1[Sector]="Rural+Urban")*
             (All_India_Index_Upto_April23__1___1[Year]=2023)*
             (All_India_Index_Upto_April23__1___1[Month]="May"),
             0),
       MATCH(Contribution!$A5,
             All_India_Index_Upto_April23__1___1[#Headers],
             0))</f>
        <v>178.4</v>
      </c>
      <c r="C5" s="8">
        <f t="shared" si="0"/>
        <v>4.0054783448213928E-2</v>
      </c>
      <c r="F5" t="s">
        <v>20</v>
      </c>
      <c r="G5" s="7" t="str" cm="1">
        <f t="array" ref="G5">INDEX(All_India_Index_Upto_April23__1___1[#All],
       MATCH(1,
             (All_India_Index_Upto_April23__1___1[Sector]="Rural+Urban")*
             (All_India_Index_Upto_April23__1___1[Year]=2023)*
             (All_India_Index_Upto_April23__1___1[Month]="May"),
             0),
       MATCH(Contribution!$F5,
             All_India_Index_Upto_April23__1___1[#Headers],
             0))</f>
        <v>175.2</v>
      </c>
      <c r="H5" s="8">
        <f t="shared" si="1"/>
        <v>8.8659480795506285E-2</v>
      </c>
    </row>
    <row r="6" spans="1:8" x14ac:dyDescent="0.2">
      <c r="A6" s="4" t="s">
        <v>7</v>
      </c>
      <c r="B6" s="7" cm="1">
        <f t="array" ref="B6">INDEX(All_India_Index_Upto_April23__1___1[#All],
       MATCH(1,
             (All_India_Index_Upto_April23__1___1[Sector]="Rural+Urban")*
             (All_India_Index_Upto_April23__1___1[Year]=2023)*
             (All_India_Index_Upto_April23__1___1[Month]="May"),
             0),
       MATCH(Contribution!$A6,
             All_India_Index_Upto_April23__1___1[#Headers],
             0))</f>
        <v>174.9</v>
      </c>
      <c r="C6" s="8">
        <f t="shared" si="0"/>
        <v>3.9268955297604352E-2</v>
      </c>
      <c r="F6" t="s">
        <v>21</v>
      </c>
      <c r="G6" s="7" cm="1">
        <f t="array" ref="G6">INDEX(All_India_Index_Upto_April23__1___1[#All],
       MATCH(1,
             (All_India_Index_Upto_April23__1___1[Sector]="Rural+Urban")*
             (All_India_Index_Upto_April23__1___1[Year]=2023)*
             (All_India_Index_Upto_April23__1___1[Month]="May"),
             0),
       MATCH(Contribution!$F6,
             All_India_Index_Upto_April23__1___1[#Headers],
             0))</f>
        <v>181.7</v>
      </c>
      <c r="H6" s="8">
        <f t="shared" si="1"/>
        <v>9.1948788016800759E-2</v>
      </c>
    </row>
    <row r="7" spans="1:8" x14ac:dyDescent="0.2">
      <c r="A7" s="4" t="s">
        <v>8</v>
      </c>
      <c r="B7" s="7" cm="1">
        <f t="array" ref="B7">INDEX(All_India_Index_Upto_April23__1___1[#All],
       MATCH(1,
             (All_India_Index_Upto_April23__1___1[Sector]="Rural+Urban")*
             (All_India_Index_Upto_April23__1___1[Year]=2023)*
             (All_India_Index_Upto_April23__1___1[Month]="May"),
             0),
       MATCH(Contribution!$A7,
             All_India_Index_Upto_April23__1___1[#Headers],
             0))</f>
        <v>176.3</v>
      </c>
      <c r="C7" s="8">
        <f t="shared" si="0"/>
        <v>3.9583286557848187E-2</v>
      </c>
      <c r="F7" t="s">
        <v>22</v>
      </c>
      <c r="G7" s="7" cm="1">
        <f t="array" ref="G7">INDEX(All_India_Index_Upto_April23__1___1[#All],
       MATCH(1,
             (All_India_Index_Upto_April23__1___1[Sector]="Rural+Urban")*
             (All_India_Index_Upto_April23__1___1[Year]=2023)*
             (All_India_Index_Upto_April23__1___1[Month]="May"),
             0),
       MATCH(Contribution!$F7,
             All_India_Index_Upto_April23__1___1[#Headers],
             0))</f>
        <v>174.6</v>
      </c>
      <c r="H7" s="8">
        <f t="shared" si="1"/>
        <v>8.8355852436617574E-2</v>
      </c>
    </row>
    <row r="8" spans="1:8" x14ac:dyDescent="0.2">
      <c r="A8" s="4" t="s">
        <v>9</v>
      </c>
      <c r="B8" s="7" cm="1">
        <f t="array" ref="B8">INDEX(All_India_Index_Upto_April23__1___1[#All],
       MATCH(1,
             (All_India_Index_Upto_April23__1___1[Sector]="Rural+Urban")*
             (All_India_Index_Upto_April23__1___1[Year]=2023)*
             (All_India_Index_Upto_April23__1___1[Month]="May"),
             0),
       MATCH(Contribution!$A8,
             All_India_Index_Upto_April23__1___1[#Headers],
             0))</f>
        <v>155.4</v>
      </c>
      <c r="C8" s="8">
        <f t="shared" si="0"/>
        <v>3.489076988706527E-2</v>
      </c>
      <c r="F8" t="s">
        <v>23</v>
      </c>
      <c r="G8" s="7" cm="1">
        <f t="array" ref="G8">INDEX(All_India_Index_Upto_April23__1___1[#All],
       MATCH(1,
             (All_India_Index_Upto_April23__1___1[Sector]="Rural+Urban")*
             (All_India_Index_Upto_April23__1___1[Year]=2023)*
             (All_India_Index_Upto_April23__1___1[Month]="May"),
             0),
       MATCH(Contribution!$F8,
             All_India_Index_Upto_April23__1___1[#Headers],
             0))</f>
        <v>185</v>
      </c>
      <c r="H8" s="8">
        <f t="shared" si="1"/>
        <v>9.361874399068873E-2</v>
      </c>
    </row>
    <row r="9" spans="1:8" x14ac:dyDescent="0.2">
      <c r="A9" s="4" t="s">
        <v>10</v>
      </c>
      <c r="B9" s="7" cm="1">
        <f t="array" ref="B9">INDEX(All_India_Index_Upto_April23__1___1[#All],
       MATCH(1,
             (All_India_Index_Upto_April23__1___1[Sector]="Rural+Urban")*
             (All_India_Index_Upto_April23__1___1[Year]=2023)*
             (All_India_Index_Upto_April23__1___1[Month]="May"),
             0),
       MATCH(Contribution!$A9,
             All_India_Index_Upto_April23__1___1[#Headers],
             0))</f>
        <v>173.4</v>
      </c>
      <c r="C9" s="8">
        <f t="shared" si="0"/>
        <v>3.8932171804485959E-2</v>
      </c>
      <c r="F9" t="s">
        <v>24</v>
      </c>
      <c r="G9" s="7" cm="1">
        <f t="array" ref="G9">INDEX(All_India_Index_Upto_April23__1___1[#All],
       MATCH(1,
             (All_India_Index_Upto_April23__1___1[Sector]="Rural+Urban")*
             (All_India_Index_Upto_April23__1___1[Year]=2023)*
             (All_India_Index_Upto_April23__1___1[Month]="May"),
             0),
       MATCH(Contribution!$F9,
             All_India_Index_Upto_April23__1___1[#Headers],
             0))</f>
        <v>164.5</v>
      </c>
      <c r="H9" s="8">
        <f t="shared" si="1"/>
        <v>8.3244775061990781E-2</v>
      </c>
    </row>
    <row r="10" spans="1:8" x14ac:dyDescent="0.2">
      <c r="A10" s="4" t="s">
        <v>11</v>
      </c>
      <c r="B10" s="7" cm="1">
        <f t="array" ref="B10">INDEX(All_India_Index_Upto_April23__1___1[#All],
       MATCH(1,
             (All_India_Index_Upto_April23__1___1[Sector]="Rural+Urban")*
             (All_India_Index_Upto_April23__1___1[Year]=2023)*
             (All_India_Index_Upto_April23__1___1[Month]="May"),
             0),
       MATCH(Contribution!$A10,
             All_India_Index_Upto_April23__1___1[#Headers],
             0))</f>
        <v>121.3</v>
      </c>
      <c r="C10" s="8">
        <f t="shared" si="0"/>
        <v>2.7234558476840524E-2</v>
      </c>
      <c r="F10" t="s">
        <v>25</v>
      </c>
      <c r="G10" s="7" cm="1">
        <f t="array" ref="G10">INDEX(All_India_Index_Upto_April23__1___1[#All],
       MATCH(1,
             (All_India_Index_Upto_April23__1___1[Sector]="Rural+Urban")*
             (All_India_Index_Upto_April23__1___1[Year]=2023)*
             (All_India_Index_Upto_April23__1___1[Month]="May"),
             0),
       MATCH(Contribution!$F10,
             All_India_Index_Upto_April23__1___1[#Headers],
             0))</f>
        <v>170.7</v>
      </c>
      <c r="H10" s="8">
        <f t="shared" si="1"/>
        <v>8.6382268103840892E-2</v>
      </c>
    </row>
    <row r="11" spans="1:8" x14ac:dyDescent="0.2">
      <c r="A11" s="4" t="s">
        <v>12</v>
      </c>
      <c r="B11" s="7" cm="1">
        <f t="array" ref="B11">INDEX(All_India_Index_Upto_April23__1___1[#All],
       MATCH(1,
             (All_India_Index_Upto_April23__1___1[Sector]="Rural+Urban")*
             (All_India_Index_Upto_April23__1___1[Year]=2023)*
             (All_India_Index_Upto_April23__1___1[Month]="May"),
             0),
       MATCH(Contribution!$A11,
             All_India_Index_Upto_April23__1___1[#Headers],
             0))</f>
        <v>212.9</v>
      </c>
      <c r="C11" s="8">
        <f t="shared" si="0"/>
        <v>4.7800803789936917E-2</v>
      </c>
      <c r="F11" t="s">
        <v>26</v>
      </c>
      <c r="G11" s="7" cm="1">
        <f t="array" ref="G11">INDEX(All_India_Index_Upto_April23__1___1[#All],
       MATCH(1,
             (All_India_Index_Upto_April23__1___1[Sector]="Rural+Urban")*
             (All_India_Index_Upto_April23__1___1[Year]=2023)*
             (All_India_Index_Upto_April23__1___1[Month]="May"),
             0),
       MATCH(Contribution!$F11,
             All_India_Index_Upto_April23__1___1[#Headers],
             0))</f>
        <v>176.4</v>
      </c>
      <c r="H11" s="8">
        <f t="shared" si="1"/>
        <v>8.9266737513283734E-2</v>
      </c>
    </row>
    <row r="12" spans="1:8" x14ac:dyDescent="0.2">
      <c r="A12" s="4" t="s">
        <v>13</v>
      </c>
      <c r="B12" s="7" cm="1">
        <f t="array" ref="B12">INDEX(All_India_Index_Upto_April23__1___1[#All],
       MATCH(1,
             (All_India_Index_Upto_April23__1___1[Sector]="Rural+Urban")*
             (All_India_Index_Upto_April23__1___1[Year]=2023)*
             (All_India_Index_Upto_April23__1___1[Month]="May"),
             0),
       MATCH(Contribution!$A12,
             All_India_Index_Upto_April23__1___1[#Headers],
             0))</f>
        <v>172.9</v>
      </c>
      <c r="C12" s="8">
        <f t="shared" si="0"/>
        <v>3.8819910640113163E-2</v>
      </c>
      <c r="F12" t="s">
        <v>27</v>
      </c>
      <c r="G12" s="7" cm="1">
        <f t="array" ref="G12">INDEX(All_India_Index_Upto_April23__1___1[#All],
       MATCH(1,
             (All_India_Index_Upto_April23__1___1[Sector]="Rural+Urban")*
             (All_India_Index_Upto_April23__1___1[Year]=2023)*
             (All_India_Index_Upto_April23__1___1[Month]="May"),
             0),
       MATCH(Contribution!$F12,
             All_India_Index_Upto_April23__1___1[#Headers],
             0))</f>
        <v>184</v>
      </c>
      <c r="H12" s="8">
        <f t="shared" si="1"/>
        <v>9.3112696725874189E-2</v>
      </c>
    </row>
    <row r="13" spans="1:8" x14ac:dyDescent="0.2">
      <c r="A13" s="4" t="s">
        <v>14</v>
      </c>
      <c r="B13" s="7" cm="1">
        <f t="array" ref="B13">INDEX(All_India_Index_Upto_April23__1___1[#All],
       MATCH(1,
             (All_India_Index_Upto_April23__1___1[Sector]="Rural+Urban")*
             (All_India_Index_Upto_April23__1___1[Year]=2023)*
             (All_India_Index_Upto_April23__1___1[Month]="May"),
             0),
       MATCH(Contribution!$A13,
             All_India_Index_Upto_April23__1___1[#Headers],
             0))</f>
        <v>193.5</v>
      </c>
      <c r="C13" s="8">
        <f t="shared" si="0"/>
        <v>4.3445070612272395E-2</v>
      </c>
      <c r="F13" t="s">
        <v>28</v>
      </c>
      <c r="G13" s="7" cm="1">
        <f t="array" ref="G13">INDEX(All_India_Index_Upto_April23__1___1[#All],
       MATCH(1,
             (All_India_Index_Upto_April23__1___1[Sector]="Rural+Urban")*
             (All_India_Index_Upto_April23__1___1[Year]=2023)*
             (All_India_Index_Upto_April23__1___1[Month]="May"),
             0),
       MATCH(Contribution!$F13,
             All_India_Index_Upto_April23__1___1[#Headers],
             0))</f>
        <v>175</v>
      </c>
      <c r="H13" s="8">
        <f t="shared" si="1"/>
        <v>8.855827134254339E-2</v>
      </c>
    </row>
    <row r="14" spans="1:8" x14ac:dyDescent="0.2">
      <c r="A14" s="4" t="s">
        <v>15</v>
      </c>
      <c r="B14" s="7" cm="1">
        <f t="array" ref="B14">INDEX(All_India_Index_Upto_April23__1___1[#All],
       MATCH(1,
             (All_India_Index_Upto_April23__1___1[Sector]="Rural+Urban")*
             (All_India_Index_Upto_April23__1___1[Year]=2023)*
             (All_India_Index_Upto_April23__1___1[Month]="May"),
             0),
       MATCH(Contribution!$A14,
             All_India_Index_Upto_April23__1___1[#Headers],
             0))</f>
        <v>177.9</v>
      </c>
      <c r="C14" s="8">
        <f t="shared" si="0"/>
        <v>3.9942522283841132E-2</v>
      </c>
      <c r="G14" s="7">
        <f>SUM(G2:G13)</f>
        <v>1976.1000000000001</v>
      </c>
      <c r="H14" s="8">
        <f t="shared" si="1"/>
        <v>1</v>
      </c>
    </row>
    <row r="15" spans="1:8" x14ac:dyDescent="0.2">
      <c r="A15" s="4" t="s">
        <v>16</v>
      </c>
      <c r="B15" s="7" cm="1">
        <f t="array" ref="B15">INDEX(All_India_Index_Upto_April23__1___1[#All],
       MATCH(1,
             (All_India_Index_Upto_April23__1___1[Sector]="Rural+Urban")*
             (All_India_Index_Upto_April23__1___1[Year]=2023)*
             (All_India_Index_Upto_April23__1___1[Month]="May"),
             0),
       MATCH(Contribution!$A15,
             All_India_Index_Upto_April23__1___1[#Headers],
             0))</f>
        <v>200.6</v>
      </c>
      <c r="C15" s="8">
        <f t="shared" si="0"/>
        <v>4.5039179146366105E-2</v>
      </c>
    </row>
    <row r="16" spans="1:8" x14ac:dyDescent="0.2">
      <c r="A16" s="4" t="s">
        <v>17</v>
      </c>
      <c r="B16" s="7" cm="1">
        <f t="array" ref="B16">INDEX(All_India_Index_Upto_April23__1___1[#All],
       MATCH(1,
             (All_India_Index_Upto_April23__1___1[Sector]="Rural+Urban")*
             (All_India_Index_Upto_April23__1___1[Year]=2023)*
             (All_India_Index_Upto_April23__1___1[Month]="May"),
             0),
       MATCH(Contribution!$A16,
             All_India_Index_Upto_April23__1___1[#Headers],
             0))</f>
        <v>186.9</v>
      </c>
      <c r="C16" s="8">
        <f t="shared" si="0"/>
        <v>4.196322324255148E-2</v>
      </c>
    </row>
    <row r="17" spans="1:4" x14ac:dyDescent="0.2">
      <c r="A17" s="4" t="s">
        <v>18</v>
      </c>
      <c r="B17" s="7" cm="1">
        <f t="array" ref="B17">INDEX(All_India_Index_Upto_April23__1___1[#All],
       MATCH(1,
             (All_India_Index_Upto_April23__1___1[Sector]="Rural+Urban")*
             (All_India_Index_Upto_April23__1___1[Year]=2023)*
             (All_India_Index_Upto_April23__1___1[Month]="May"),
             0),
       MATCH(Contribution!$A17,
             All_India_Index_Upto_April23__1___1[#Headers],
             0))</f>
        <v>179.2</v>
      </c>
      <c r="C17" s="8">
        <f t="shared" si="0"/>
        <v>4.0234401311210401E-2</v>
      </c>
    </row>
    <row r="18" spans="1:4" x14ac:dyDescent="0.2">
      <c r="A18" s="4" t="s">
        <v>19</v>
      </c>
      <c r="B18" s="7" cm="1">
        <f t="array" ref="B18">INDEX(All_India_Index_Upto_April23__1___1[#All],
       MATCH(1,
             (All_India_Index_Upto_April23__1___1[Sector]="Rural+Urban")*
             (All_India_Index_Upto_April23__1___1[Year]=2023)*
             (All_India_Index_Upto_April23__1___1[Month]="May"),
             0),
       MATCH(Contribution!$A18,
             All_India_Index_Upto_April23__1___1[#Headers],
             0))</f>
        <v>185.7</v>
      </c>
      <c r="C18" s="8">
        <f t="shared" si="0"/>
        <v>4.1693796448056764E-2</v>
      </c>
    </row>
    <row r="19" spans="1:4" x14ac:dyDescent="0.2">
      <c r="A19" s="4" t="s">
        <v>20</v>
      </c>
      <c r="B19" s="7" t="str" cm="1">
        <f t="array" ref="B19">INDEX(All_India_Index_Upto_April23__1___1[#All],
       MATCH(1,
             (All_India_Index_Upto_April23__1___1[Sector]="Rural+Urban")*
             (All_India_Index_Upto_April23__1___1[Year]=2023)*
             (All_India_Index_Upto_April23__1___1[Month]="May"),
             0),
       MATCH(Contribution!$A19,
             All_India_Index_Upto_April23__1___1[#Headers],
             0))</f>
        <v>175.2</v>
      </c>
      <c r="C19" s="8">
        <f t="shared" si="0"/>
        <v>3.9336311996228022E-2</v>
      </c>
    </row>
    <row r="20" spans="1:4" x14ac:dyDescent="0.2">
      <c r="A20" s="4" t="s">
        <v>21</v>
      </c>
      <c r="B20" s="7" cm="1">
        <f t="array" ref="B20">INDEX(All_India_Index_Upto_April23__1___1[#All],
       MATCH(1,
             (All_India_Index_Upto_April23__1___1[Sector]="Rural+Urban")*
             (All_India_Index_Upto_April23__1___1[Year]=2023)*
             (All_India_Index_Upto_April23__1___1[Month]="May"),
             0),
       MATCH(Contribution!$A20,
             All_India_Index_Upto_April23__1___1[#Headers],
             0))</f>
        <v>181.7</v>
      </c>
      <c r="C20" s="8">
        <f t="shared" si="0"/>
        <v>4.0795707133074385E-2</v>
      </c>
    </row>
    <row r="21" spans="1:4" x14ac:dyDescent="0.2">
      <c r="A21" s="4" t="s">
        <v>22</v>
      </c>
      <c r="B21" s="7" cm="1">
        <f t="array" ref="B21">INDEX(All_India_Index_Upto_April23__1___1[#All],
       MATCH(1,
             (All_India_Index_Upto_April23__1___1[Sector]="Rural+Urban")*
             (All_India_Index_Upto_April23__1___1[Year]=2023)*
             (All_India_Index_Upto_April23__1___1[Month]="May"),
             0),
       MATCH(Contribution!$A21,
             All_India_Index_Upto_April23__1___1[#Headers],
             0))</f>
        <v>174.6</v>
      </c>
      <c r="C21" s="8">
        <f t="shared" si="0"/>
        <v>3.9201598598980668E-2</v>
      </c>
    </row>
    <row r="22" spans="1:4" x14ac:dyDescent="0.2">
      <c r="A22" s="4" t="s">
        <v>23</v>
      </c>
      <c r="B22" s="7" cm="1">
        <f t="array" ref="B22">INDEX(All_India_Index_Upto_April23__1___1[#All],
       MATCH(1,
             (All_India_Index_Upto_April23__1___1[Sector]="Rural+Urban")*
             (All_India_Index_Upto_April23__1___1[Year]=2023)*
             (All_India_Index_Upto_April23__1___1[Month]="May"),
             0),
       MATCH(Contribution!$A22,
             All_India_Index_Upto_April23__1___1[#Headers],
             0))</f>
        <v>185</v>
      </c>
      <c r="C22" s="8">
        <f t="shared" si="0"/>
        <v>4.153663081793485E-2</v>
      </c>
    </row>
    <row r="23" spans="1:4" x14ac:dyDescent="0.2">
      <c r="A23" s="4" t="s">
        <v>24</v>
      </c>
      <c r="B23" s="7" cm="1">
        <f t="array" ref="B23">INDEX(All_India_Index_Upto_April23__1___1[#All],
       MATCH(1,
             (All_India_Index_Upto_April23__1___1[Sector]="Rural+Urban")*
             (All_India_Index_Upto_April23__1___1[Year]=2023)*
             (All_India_Index_Upto_April23__1___1[Month]="May"),
             0),
       MATCH(Contribution!$A23,
             All_India_Index_Upto_April23__1___1[#Headers],
             0))</f>
        <v>164.5</v>
      </c>
      <c r="C23" s="8">
        <f t="shared" si="0"/>
        <v>3.6933923078650177E-2</v>
      </c>
    </row>
    <row r="24" spans="1:4" x14ac:dyDescent="0.2">
      <c r="A24" s="4" t="s">
        <v>25</v>
      </c>
      <c r="B24" s="7" cm="1">
        <f t="array" ref="B24">INDEX(All_India_Index_Upto_April23__1___1[#All],
       MATCH(1,
             (All_India_Index_Upto_April23__1___1[Sector]="Rural+Urban")*
             (All_India_Index_Upto_April23__1___1[Year]=2023)*
             (All_India_Index_Upto_April23__1___1[Month]="May"),
             0),
       MATCH(Contribution!$A24,
             All_India_Index_Upto_April23__1___1[#Headers],
             0))</f>
        <v>170.7</v>
      </c>
      <c r="C24" s="8">
        <f t="shared" si="0"/>
        <v>3.8325961516872856E-2</v>
      </c>
    </row>
    <row r="25" spans="1:4" x14ac:dyDescent="0.2">
      <c r="A25" s="4" t="s">
        <v>26</v>
      </c>
      <c r="B25" s="7" cm="1">
        <f t="array" ref="B25">INDEX(All_India_Index_Upto_April23__1___1[#All],
       MATCH(1,
             (All_India_Index_Upto_April23__1___1[Sector]="Rural+Urban")*
             (All_India_Index_Upto_April23__1___1[Year]=2023)*
             (All_India_Index_Upto_April23__1___1[Month]="May"),
             0),
       MATCH(Contribution!$A25,
             All_India_Index_Upto_April23__1___1[#Headers],
             0))</f>
        <v>176.4</v>
      </c>
      <c r="C25" s="8">
        <f t="shared" si="0"/>
        <v>3.9605738790722739E-2</v>
      </c>
    </row>
    <row r="26" spans="1:4" x14ac:dyDescent="0.2">
      <c r="A26" s="4" t="s">
        <v>27</v>
      </c>
      <c r="B26" s="7" cm="1">
        <f t="array" ref="B26">INDEX(All_India_Index_Upto_April23__1___1[#All],
       MATCH(1,
             (All_India_Index_Upto_April23__1___1[Sector]="Rural+Urban")*
             (All_India_Index_Upto_April23__1___1[Year]=2023)*
             (All_India_Index_Upto_April23__1___1[Month]="May"),
             0),
       MATCH(Contribution!$A26,
             All_India_Index_Upto_April23__1___1[#Headers],
             0))</f>
        <v>184</v>
      </c>
      <c r="C26" s="8">
        <f t="shared" si="0"/>
        <v>4.1312108489189252E-2</v>
      </c>
    </row>
    <row r="27" spans="1:4" x14ac:dyDescent="0.2">
      <c r="A27" s="4" t="s">
        <v>28</v>
      </c>
      <c r="B27" s="7" cm="1">
        <f t="array" ref="B27">INDEX(All_India_Index_Upto_April23__1___1[#All],
       MATCH(1,
             (All_India_Index_Upto_April23__1___1[Sector]="Rural+Urban")*
             (All_India_Index_Upto_April23__1___1[Year]=2023)*
             (All_India_Index_Upto_April23__1___1[Month]="May"),
             0),
       MATCH(Contribution!$A27,
             All_India_Index_Upto_April23__1___1[#Headers],
             0))</f>
        <v>175</v>
      </c>
      <c r="C27" s="8">
        <f>B27/SUM($B$2:$B$27)</f>
        <v>3.9291407530478911E-2</v>
      </c>
    </row>
    <row r="28" spans="1:4" x14ac:dyDescent="0.2">
      <c r="B28" s="7">
        <f>SUM(B2:B27)</f>
        <v>4453.8999999999996</v>
      </c>
      <c r="C28" s="8">
        <f>B28/SUM($B$2:$B$27)</f>
        <v>1</v>
      </c>
    </row>
    <row r="30" spans="1:4" x14ac:dyDescent="0.2">
      <c r="A30" s="4" t="s">
        <v>1</v>
      </c>
      <c r="B30" s="4" t="s">
        <v>165</v>
      </c>
      <c r="C30" s="4" t="s">
        <v>166</v>
      </c>
      <c r="D30" s="4" t="s">
        <v>167</v>
      </c>
    </row>
    <row r="31" spans="1:4" x14ac:dyDescent="0.2">
      <c r="A31">
        <v>2017</v>
      </c>
      <c r="B31" cm="1">
        <f t="array" ref="B31">INDEX('All_India_Index_Upto_April23 (1'!AE:AE,
       MATCH(1,
             (All_India_Index_Upto_April23__1___1[Sector]="Rural+Urban")*
             (All_India_Index_Upto_April23__1___1[Year]=A31)*
             (All_India_Index_Upto_April23__1___1[Month]="May"),
       0))</f>
        <v>131.1</v>
      </c>
      <c r="C31" cm="1">
        <f t="array" ref="C31">INDEX(All_India_Index_Upto_April23__1___1[General index],
       MATCH(1,
             (All_India_Index_Upto_April23__1___1[Sector]="Rural+Urban")*
             (All_India_Index_Upto_April23__1___1[Year]=A31-1)*
             (All_India_Index_Upto_April23__1___1[Month]="May"),
       0))</f>
        <v>128.6</v>
      </c>
      <c r="D31" s="15">
        <f>(B31-C31)/C31</f>
        <v>1.9440124416796267E-2</v>
      </c>
    </row>
    <row r="32" spans="1:4" x14ac:dyDescent="0.2">
      <c r="A32">
        <v>2018</v>
      </c>
      <c r="B32" cm="1">
        <f t="array" ref="B32">INDEX('All_India_Index_Upto_April23 (1'!AE:AE,
       MATCH(1,
             (All_India_Index_Upto_April23__1___1[Sector]="Rural+Urban")*
             (All_India_Index_Upto_April23__1___1[Year]=A32)*
             (All_India_Index_Upto_April23__1___1[Month]="May"),
       0))</f>
        <v>137.1</v>
      </c>
      <c r="C32" cm="1">
        <f t="array" ref="C32">INDEX(All_India_Index_Upto_April23__1___1[General index],
       MATCH(1,
             (All_India_Index_Upto_April23__1___1[Sector]="Rural+Urban")*
             (All_India_Index_Upto_April23__1___1[Year]=A32-1)*
             (All_India_Index_Upto_April23__1___1[Month]="May"),
       0))</f>
        <v>131.4</v>
      </c>
      <c r="D32" s="15">
        <f t="shared" ref="D32:D37" si="2">(B32-C32)/C32</f>
        <v>4.3378995433789869E-2</v>
      </c>
    </row>
    <row r="33" spans="1:6" x14ac:dyDescent="0.2">
      <c r="A33">
        <v>2019</v>
      </c>
      <c r="B33" cm="1">
        <f t="array" ref="B33">INDEX('All_India_Index_Upto_April23 (1'!AE:AE,
       MATCH(1,
             (All_India_Index_Upto_April23__1___1[Sector]="Rural+Urban")*
             (All_India_Index_Upto_April23__1___1[Year]=A33)*
             (All_India_Index_Upto_April23__1___1[Month]="May"),
       0))</f>
        <v>140.4</v>
      </c>
      <c r="C33" cm="1">
        <f t="array" ref="C33">INDEX(All_India_Index_Upto_April23__1___1[General index],
       MATCH(1,
             (All_India_Index_Upto_April23__1___1[Sector]="Rural+Urban")*
             (All_India_Index_Upto_April23__1___1[Year]=A33-1)*
             (All_India_Index_Upto_April23__1___1[Month]="May"),
       0))</f>
        <v>137.80000000000001</v>
      </c>
      <c r="D33" s="15">
        <f t="shared" si="2"/>
        <v>1.8867924528301844E-2</v>
      </c>
    </row>
    <row r="34" spans="1:6" x14ac:dyDescent="0.2">
      <c r="A34">
        <v>2020</v>
      </c>
      <c r="B34" cm="1">
        <f t="array" ref="B34">INDEX('All_India_Index_Upto_April23 (1'!AE:AE,
       MATCH(1,
             (All_India_Index_Upto_April23__1___1[Sector]="Rural+Urban")*
             (All_India_Index_Upto_April23__1___1[Year]=A34)*
             (All_India_Index_Upto_April23__1___1[Month]="May"),
       0))</f>
        <v>153.30000000000001</v>
      </c>
      <c r="C34" cm="1">
        <f t="array" ref="C34">INDEX(All_India_Index_Upto_April23__1___1[General index],
       MATCH(1,
             (All_India_Index_Upto_April23__1___1[Sector]="Rural+Urban")*
             (All_India_Index_Upto_April23__1___1[Year]=A34-1)*
             (All_India_Index_Upto_April23__1___1[Month]="May"),
       0))</f>
        <v>142</v>
      </c>
      <c r="D34" s="15">
        <f t="shared" si="2"/>
        <v>7.9577464788732469E-2</v>
      </c>
    </row>
    <row r="35" spans="1:6" x14ac:dyDescent="0.2">
      <c r="A35">
        <v>2021</v>
      </c>
      <c r="B35" cm="1">
        <f t="array" ref="B35">INDEX('All_India_Index_Upto_April23 (1'!AE:AE,
       MATCH(1,
             (All_India_Index_Upto_April23__1___1[Sector]="Rural+Urban")*
             (All_India_Index_Upto_April23__1___1[Year]=A35)*
             (All_India_Index_Upto_April23__1___1[Month]="May"),
       0))</f>
        <v>157.80000000000001</v>
      </c>
      <c r="C35" cm="1">
        <f t="array" ref="C35">INDEX(All_India_Index_Upto_April23__1___1[General index],
       MATCH(1,
             (All_India_Index_Upto_April23__1___1[Sector]="Rural+Urban")*
             (All_India_Index_Upto_April23__1___1[Year]=A35-1)*
             (All_India_Index_Upto_April23__1___1[Month]="May"),
       0))</f>
        <v>151.5</v>
      </c>
      <c r="D35" s="15">
        <f t="shared" si="2"/>
        <v>4.1584158415841656E-2</v>
      </c>
    </row>
    <row r="36" spans="1:6" x14ac:dyDescent="0.2">
      <c r="A36">
        <v>2022</v>
      </c>
      <c r="B36" cm="1">
        <f t="array" ref="B36">INDEX('All_India_Index_Upto_April23 (1'!AE:AE,
       MATCH(1,
             (All_India_Index_Upto_April23__1___1[Sector]="Rural+Urban")*
             (All_India_Index_Upto_April23__1___1[Year]=A36)*
             (All_India_Index_Upto_April23__1___1[Month]="May"),
       0))</f>
        <v>170.1</v>
      </c>
      <c r="C36" cm="1">
        <f t="array" ref="C36">INDEX(All_India_Index_Upto_April23__1___1[General index],
       MATCH(1,
             (All_India_Index_Upto_April23__1___1[Sector]="Rural+Urban")*
             (All_India_Index_Upto_April23__1___1[Year]=A36-1)*
             (All_India_Index_Upto_April23__1___1[Month]="May"),
       0))</f>
        <v>160.4</v>
      </c>
      <c r="D36" s="15">
        <f t="shared" si="2"/>
        <v>6.0473815461346558E-2</v>
      </c>
    </row>
    <row r="37" spans="1:6" x14ac:dyDescent="0.2">
      <c r="A37">
        <v>2023</v>
      </c>
      <c r="B37" cm="1">
        <f t="array" ref="B37">INDEX('All_India_Index_Upto_April23 (1'!AE:AE,
       MATCH(1,
             (All_India_Index_Upto_April23__1___1[Sector]="Rural+Urban")*
             (All_India_Index_Upto_April23__1___1[Year]=A37)*
             (All_India_Index_Upto_April23__1___1[Month]="May"),
       0))</f>
        <v>178.1</v>
      </c>
      <c r="C37" cm="1">
        <f t="array" ref="C37">INDEX(All_India_Index_Upto_April23__1___1[General index],
       MATCH(1,
             (All_India_Index_Upto_April23__1___1[Sector]="Rural+Urban")*
             (All_India_Index_Upto_April23__1___1[Year]=A37-1)*
             (All_India_Index_Upto_April23__1___1[Month]="May"),
       0))</f>
        <v>171.7</v>
      </c>
      <c r="D37" s="15">
        <f t="shared" si="2"/>
        <v>3.727431566686084E-2</v>
      </c>
    </row>
    <row r="39" spans="1:6" x14ac:dyDescent="0.2">
      <c r="A39" t="s">
        <v>168</v>
      </c>
    </row>
    <row r="41" spans="1:6" x14ac:dyDescent="0.2">
      <c r="A41" s="4" t="s">
        <v>161</v>
      </c>
      <c r="B41" s="4" t="s">
        <v>1</v>
      </c>
      <c r="C41" s="4" t="s">
        <v>2</v>
      </c>
      <c r="D41" s="4" t="s">
        <v>169</v>
      </c>
      <c r="E41" s="4" t="s">
        <v>170</v>
      </c>
      <c r="F41" s="4" t="s">
        <v>167</v>
      </c>
    </row>
    <row r="42" spans="1:6" x14ac:dyDescent="0.2">
      <c r="A42" s="1">
        <f>DATE(2017,1,1)</f>
        <v>42736</v>
      </c>
      <c r="B42">
        <f>YEAR(A42)</f>
        <v>2017</v>
      </c>
      <c r="C42" t="str">
        <f>TEXT(A42,"mmmm")</f>
        <v>January</v>
      </c>
      <c r="D42" cm="1">
        <f t="array" ref="D42">INDEX(All_India_Index_Upto_April23__1___1[General index],
       MATCH(1,
            (All_India_Index_Upto_April23__1___1[Sector]="Rural+Urban") *
            (All_India_Index_Upto_April23__1___1[Year]=$B42) *
            (All_India_Index_Upto_April23__1___1[Month]=$C42),
       0))</f>
        <v>130.30000000000001</v>
      </c>
      <c r="E42" cm="1">
        <f t="array" ref="E42">INDEX(All_India_Index_Upto_April23__1___1[General index],
       MATCH(1,
            (All_India_Index_Upto_April23__1___1[Sector]="Rural+Urban") *
            (All_India_Index_Upto_April23__1___1[Year]=$B42-1) *
            (All_India_Index_Upto_April23__1___1[Month]=$C42),
       0))</f>
        <v>126.3</v>
      </c>
      <c r="F42" s="14">
        <f>(D42-E42)/E42</f>
        <v>3.1670625494853638E-2</v>
      </c>
    </row>
    <row r="43" spans="1:6" x14ac:dyDescent="0.2">
      <c r="A43" s="1">
        <f>EDATE(A42,1)</f>
        <v>42767</v>
      </c>
      <c r="B43">
        <f t="shared" ref="B43:B106" si="3">YEAR(A43)</f>
        <v>2017</v>
      </c>
      <c r="C43" t="str">
        <f t="shared" ref="C43:C106" si="4">TEXT(A43,"mmmm")</f>
        <v>February</v>
      </c>
      <c r="D43" cm="1">
        <f t="array" ref="D43">INDEX(All_India_Index_Upto_April23__1___1[General index],
       MATCH(1,
            (All_India_Index_Upto_April23__1___1[Sector]="Rural+Urban") *
            (All_India_Index_Upto_April23__1___1[Year]=$B43) *
            (All_India_Index_Upto_April23__1___1[Month]=$C43),
       0))</f>
        <v>130.6</v>
      </c>
      <c r="E43" cm="1">
        <f t="array" ref="E43">INDEX(All_India_Index_Upto_April23__1___1[General index],
       MATCH(1,
            (All_India_Index_Upto_April23__1___1[Sector]="Rural+Urban") *
            (All_India_Index_Upto_April23__1___1[Year]=$B43-1) *
            (All_India_Index_Upto_April23__1___1[Month]=$C43),
       0))</f>
        <v>126</v>
      </c>
      <c r="F43" s="14">
        <f t="shared" ref="F43:F106" si="5">(D43-E43)/E43</f>
        <v>3.6507936507936462E-2</v>
      </c>
    </row>
    <row r="44" spans="1:6" x14ac:dyDescent="0.2">
      <c r="A44" s="1">
        <f t="shared" ref="A44:A107" si="6">EDATE(A43,1)</f>
        <v>42795</v>
      </c>
      <c r="B44">
        <f t="shared" si="3"/>
        <v>2017</v>
      </c>
      <c r="C44" t="str">
        <f t="shared" si="4"/>
        <v>March</v>
      </c>
      <c r="D44" cm="1">
        <f t="array" ref="D44">INDEX(All_India_Index_Upto_April23__1___1[General index],
       MATCH(1,
            (All_India_Index_Upto_April23__1___1[Sector]="Rural+Urban") *
            (All_India_Index_Upto_April23__1___1[Year]=$B44) *
            (All_India_Index_Upto_April23__1___1[Month]=$C44),
       0))</f>
        <v>130.9</v>
      </c>
      <c r="E44" cm="1">
        <f t="array" ref="E44">INDEX(All_India_Index_Upto_April23__1___1[General index],
       MATCH(1,
            (All_India_Index_Upto_April23__1___1[Sector]="Rural+Urban") *
            (All_India_Index_Upto_April23__1___1[Year]=$B44-1) *
            (All_India_Index_Upto_April23__1___1[Month]=$C44),
       0))</f>
        <v>126</v>
      </c>
      <c r="F44" s="14">
        <f t="shared" si="5"/>
        <v>3.8888888888888931E-2</v>
      </c>
    </row>
    <row r="45" spans="1:6" x14ac:dyDescent="0.2">
      <c r="A45" s="1">
        <f t="shared" si="6"/>
        <v>42826</v>
      </c>
      <c r="B45">
        <f t="shared" si="3"/>
        <v>2017</v>
      </c>
      <c r="C45" t="str">
        <f t="shared" si="4"/>
        <v>April</v>
      </c>
      <c r="D45" cm="1">
        <f t="array" ref="D45">INDEX(All_India_Index_Upto_April23__1___1[General index],
       MATCH(1,
            (All_India_Index_Upto_April23__1___1[Sector]="Rural+Urban") *
            (All_India_Index_Upto_April23__1___1[Year]=$B45) *
            (All_India_Index_Upto_April23__1___1[Month]=$C45),
       0))</f>
        <v>131.1</v>
      </c>
      <c r="E45" cm="1">
        <f t="array" ref="E45">INDEX(All_India_Index_Upto_April23__1___1[General index],
       MATCH(1,
            (All_India_Index_Upto_April23__1___1[Sector]="Rural+Urban") *
            (All_India_Index_Upto_April23__1___1[Year]=$B45-1) *
            (All_India_Index_Upto_April23__1___1[Month]=$C45),
       0))</f>
        <v>127.3</v>
      </c>
      <c r="F45" s="14">
        <f t="shared" si="5"/>
        <v>2.9850746268656695E-2</v>
      </c>
    </row>
    <row r="46" spans="1:6" x14ac:dyDescent="0.2">
      <c r="A46" s="1">
        <f t="shared" si="6"/>
        <v>42856</v>
      </c>
      <c r="B46">
        <f t="shared" si="3"/>
        <v>2017</v>
      </c>
      <c r="C46" t="str">
        <f t="shared" si="4"/>
        <v>May</v>
      </c>
      <c r="D46" cm="1">
        <f t="array" ref="D46">INDEX(All_India_Index_Upto_April23__1___1[General index],
       MATCH(1,
            (All_India_Index_Upto_April23__1___1[Sector]="Rural+Urban") *
            (All_India_Index_Upto_April23__1___1[Year]=$B46) *
            (All_India_Index_Upto_April23__1___1[Month]=$C46),
       0))</f>
        <v>131.4</v>
      </c>
      <c r="E46" cm="1">
        <f t="array" ref="E46">INDEX(All_India_Index_Upto_April23__1___1[General index],
       MATCH(1,
            (All_India_Index_Upto_April23__1___1[Sector]="Rural+Urban") *
            (All_India_Index_Upto_April23__1___1[Year]=$B46-1) *
            (All_India_Index_Upto_April23__1___1[Month]=$C46),
       0))</f>
        <v>128.6</v>
      </c>
      <c r="F46" s="14">
        <f t="shared" si="5"/>
        <v>2.1772939346811911E-2</v>
      </c>
    </row>
    <row r="47" spans="1:6" x14ac:dyDescent="0.2">
      <c r="A47" s="1">
        <f t="shared" si="6"/>
        <v>42887</v>
      </c>
      <c r="B47">
        <f t="shared" si="3"/>
        <v>2017</v>
      </c>
      <c r="C47" t="str">
        <f t="shared" si="4"/>
        <v>June</v>
      </c>
      <c r="D47" cm="1">
        <f t="array" ref="D47">INDEX(All_India_Index_Upto_April23__1___1[General index],
       MATCH(1,
            (All_India_Index_Upto_April23__1___1[Sector]="Rural+Urban") *
            (All_India_Index_Upto_April23__1___1[Year]=$B47) *
            (All_India_Index_Upto_April23__1___1[Month]=$C47),
       0))</f>
        <v>132</v>
      </c>
      <c r="E47" cm="1">
        <f t="array" ref="E47">INDEX(All_India_Index_Upto_April23__1___1[General index],
       MATCH(1,
            (All_India_Index_Upto_April23__1___1[Sector]="Rural+Urban") *
            (All_India_Index_Upto_April23__1___1[Year]=$B47-1) *
            (All_India_Index_Upto_April23__1___1[Month]=$C47),
       0))</f>
        <v>130.1</v>
      </c>
      <c r="F47" s="14">
        <f t="shared" si="5"/>
        <v>1.4604150653343625E-2</v>
      </c>
    </row>
    <row r="48" spans="1:6" x14ac:dyDescent="0.2">
      <c r="A48" s="1">
        <f t="shared" si="6"/>
        <v>42917</v>
      </c>
      <c r="B48">
        <f t="shared" si="3"/>
        <v>2017</v>
      </c>
      <c r="C48" t="str">
        <f t="shared" si="4"/>
        <v>July</v>
      </c>
      <c r="D48" cm="1">
        <f t="array" ref="D48">INDEX(All_India_Index_Upto_April23__1___1[General index],
       MATCH(1,
            (All_India_Index_Upto_April23__1___1[Sector]="Rural+Urban") *
            (All_India_Index_Upto_April23__1___1[Year]=$B48) *
            (All_India_Index_Upto_April23__1___1[Month]=$C48),
       0))</f>
        <v>134.19999999999999</v>
      </c>
      <c r="E48" cm="1">
        <f t="array" ref="E48">INDEX(All_India_Index_Upto_April23__1___1[General index],
       MATCH(1,
            (All_India_Index_Upto_April23__1___1[Sector]="Rural+Urban") *
            (All_India_Index_Upto_April23__1___1[Year]=$B48-1) *
            (All_India_Index_Upto_April23__1___1[Month]=$C48),
       0))</f>
        <v>131.1</v>
      </c>
      <c r="F48" s="14">
        <f t="shared" si="5"/>
        <v>2.3646071700991568E-2</v>
      </c>
    </row>
    <row r="49" spans="1:6" x14ac:dyDescent="0.2">
      <c r="A49" s="1">
        <f t="shared" si="6"/>
        <v>42948</v>
      </c>
      <c r="B49">
        <f t="shared" si="3"/>
        <v>2017</v>
      </c>
      <c r="C49" t="str">
        <f t="shared" si="4"/>
        <v>August</v>
      </c>
      <c r="D49" cm="1">
        <f t="array" ref="D49">INDEX(All_India_Index_Upto_April23__1___1[General index],
       MATCH(1,
            (All_India_Index_Upto_April23__1___1[Sector]="Rural+Urban") *
            (All_India_Index_Upto_April23__1___1[Year]=$B49) *
            (All_India_Index_Upto_April23__1___1[Month]=$C49),
       0))</f>
        <v>135.4</v>
      </c>
      <c r="E49" cm="1">
        <f t="array" ref="E49">INDEX(All_India_Index_Upto_April23__1___1[General index],
       MATCH(1,
            (All_India_Index_Upto_April23__1___1[Sector]="Rural+Urban") *
            (All_India_Index_Upto_April23__1___1[Year]=$B49-1) *
            (All_India_Index_Upto_April23__1___1[Month]=$C49),
       0))</f>
        <v>131.1</v>
      </c>
      <c r="F49" s="14">
        <f t="shared" si="5"/>
        <v>3.2799389778794902E-2</v>
      </c>
    </row>
    <row r="50" spans="1:6" x14ac:dyDescent="0.2">
      <c r="A50" s="1">
        <f t="shared" si="6"/>
        <v>42979</v>
      </c>
      <c r="B50">
        <f t="shared" si="3"/>
        <v>2017</v>
      </c>
      <c r="C50" t="str">
        <f t="shared" si="4"/>
        <v>September</v>
      </c>
      <c r="D50" cm="1">
        <f t="array" ref="D50">INDEX(All_India_Index_Upto_April23__1___1[General index],
       MATCH(1,
            (All_India_Index_Upto_April23__1___1[Sector]="Rural+Urban") *
            (All_India_Index_Upto_April23__1___1[Year]=$B50) *
            (All_India_Index_Upto_April23__1___1[Month]=$C50),
       0))</f>
        <v>135.19999999999999</v>
      </c>
      <c r="E50" cm="1">
        <f t="array" ref="E50">INDEX(All_India_Index_Upto_April23__1___1[General index],
       MATCH(1,
            (All_India_Index_Upto_April23__1___1[Sector]="Rural+Urban") *
            (All_India_Index_Upto_April23__1___1[Year]=$B50-1) *
            (All_India_Index_Upto_April23__1___1[Month]=$C50),
       0))</f>
        <v>130.9</v>
      </c>
      <c r="F50" s="14">
        <f t="shared" si="5"/>
        <v>3.2849503437738597E-2</v>
      </c>
    </row>
    <row r="51" spans="1:6" x14ac:dyDescent="0.2">
      <c r="A51" s="1">
        <f t="shared" si="6"/>
        <v>43009</v>
      </c>
      <c r="B51">
        <f t="shared" si="3"/>
        <v>2017</v>
      </c>
      <c r="C51" t="str">
        <f t="shared" si="4"/>
        <v>October</v>
      </c>
      <c r="D51" cm="1">
        <f t="array" ref="D51">INDEX(All_India_Index_Upto_April23__1___1[General index],
       MATCH(1,
            (All_India_Index_Upto_April23__1___1[Sector]="Rural+Urban") *
            (All_India_Index_Upto_April23__1___1[Year]=$B51) *
            (All_India_Index_Upto_April23__1___1[Month]=$C51),
       0))</f>
        <v>136.1</v>
      </c>
      <c r="E51" cm="1">
        <f t="array" ref="E51">INDEX(All_India_Index_Upto_April23__1___1[General index],
       MATCH(1,
            (All_India_Index_Upto_April23__1___1[Sector]="Rural+Urban") *
            (All_India_Index_Upto_April23__1___1[Year]=$B51-1) *
            (All_India_Index_Upto_April23__1___1[Month]=$C51),
       0))</f>
        <v>131.4</v>
      </c>
      <c r="F51" s="14">
        <f t="shared" si="5"/>
        <v>3.5768645357686368E-2</v>
      </c>
    </row>
    <row r="52" spans="1:6" x14ac:dyDescent="0.2">
      <c r="A52" s="1">
        <f t="shared" si="6"/>
        <v>43040</v>
      </c>
      <c r="B52">
        <f t="shared" si="3"/>
        <v>2017</v>
      </c>
      <c r="C52" t="str">
        <f t="shared" si="4"/>
        <v>November</v>
      </c>
      <c r="D52" cm="1">
        <f t="array" ref="D52">INDEX(All_India_Index_Upto_April23__1___1[General index],
       MATCH(1,
            (All_India_Index_Upto_April23__1___1[Sector]="Rural+Urban") *
            (All_India_Index_Upto_April23__1___1[Year]=$B52) *
            (All_India_Index_Upto_April23__1___1[Month]=$C52),
       0))</f>
        <v>137.6</v>
      </c>
      <c r="E52" cm="1">
        <f t="array" ref="E52">INDEX(All_India_Index_Upto_April23__1___1[General index],
       MATCH(1,
            (All_India_Index_Upto_April23__1___1[Sector]="Rural+Urban") *
            (All_India_Index_Upto_April23__1___1[Year]=$B52-1) *
            (All_India_Index_Upto_April23__1___1[Month]=$C52),
       0))</f>
        <v>131.19999999999999</v>
      </c>
      <c r="F52" s="14">
        <f t="shared" si="5"/>
        <v>4.8780487804878099E-2</v>
      </c>
    </row>
    <row r="53" spans="1:6" x14ac:dyDescent="0.2">
      <c r="A53" s="1">
        <f t="shared" si="6"/>
        <v>43070</v>
      </c>
      <c r="B53">
        <f t="shared" si="3"/>
        <v>2017</v>
      </c>
      <c r="C53" t="str">
        <f t="shared" si="4"/>
        <v>December</v>
      </c>
      <c r="D53" cm="1">
        <f t="array" ref="D53">INDEX(All_India_Index_Upto_April23__1___1[General index],
       MATCH(1,
            (All_India_Index_Upto_April23__1___1[Sector]="Rural+Urban") *
            (All_India_Index_Upto_April23__1___1[Year]=$B53) *
            (All_India_Index_Upto_April23__1___1[Month]=$C53),
       0))</f>
        <v>137.19999999999999</v>
      </c>
      <c r="E53" cm="1">
        <f t="array" ref="E53">INDEX(All_India_Index_Upto_April23__1___1[General index],
       MATCH(1,
            (All_India_Index_Upto_April23__1___1[Sector]="Rural+Urban") *
            (All_India_Index_Upto_April23__1___1[Year]=$B53-1) *
            (All_India_Index_Upto_April23__1___1[Month]=$C53),
       0))</f>
        <v>130.4</v>
      </c>
      <c r="F53" s="14">
        <f t="shared" si="5"/>
        <v>5.2147239263803546E-2</v>
      </c>
    </row>
    <row r="54" spans="1:6" x14ac:dyDescent="0.2">
      <c r="A54" s="1">
        <f t="shared" si="6"/>
        <v>43101</v>
      </c>
      <c r="B54">
        <f t="shared" si="3"/>
        <v>2018</v>
      </c>
      <c r="C54" t="str">
        <f t="shared" si="4"/>
        <v>January</v>
      </c>
      <c r="D54" cm="1">
        <f t="array" ref="D54">INDEX(All_India_Index_Upto_April23__1___1[General index],
       MATCH(1,
            (All_India_Index_Upto_April23__1___1[Sector]="Rural+Urban") *
            (All_India_Index_Upto_April23__1___1[Year]=$B54) *
            (All_India_Index_Upto_April23__1___1[Month]=$C54),
       0))</f>
        <v>136.9</v>
      </c>
      <c r="E54" cm="1">
        <f t="array" ref="E54">INDEX(All_India_Index_Upto_April23__1___1[General index],
       MATCH(1,
            (All_India_Index_Upto_April23__1___1[Sector]="Rural+Urban") *
            (All_India_Index_Upto_April23__1___1[Year]=$B54-1) *
            (All_India_Index_Upto_April23__1___1[Month]=$C54),
       0))</f>
        <v>130.30000000000001</v>
      </c>
      <c r="F54" s="14">
        <f t="shared" si="5"/>
        <v>5.0652340752110468E-2</v>
      </c>
    </row>
    <row r="55" spans="1:6" x14ac:dyDescent="0.2">
      <c r="A55" s="1">
        <f t="shared" si="6"/>
        <v>43132</v>
      </c>
      <c r="B55">
        <f t="shared" si="3"/>
        <v>2018</v>
      </c>
      <c r="C55" t="str">
        <f t="shared" si="4"/>
        <v>February</v>
      </c>
      <c r="D55" cm="1">
        <f t="array" ref="D55">INDEX(All_India_Index_Upto_April23__1___1[General index],
       MATCH(1,
            (All_India_Index_Upto_April23__1___1[Sector]="Rural+Urban") *
            (All_India_Index_Upto_April23__1___1[Year]=$B55) *
            (All_India_Index_Upto_April23__1___1[Month]=$C55),
       0))</f>
        <v>136.4</v>
      </c>
      <c r="E55" cm="1">
        <f t="array" ref="E55">INDEX(All_India_Index_Upto_April23__1___1[General index],
       MATCH(1,
            (All_India_Index_Upto_April23__1___1[Sector]="Rural+Urban") *
            (All_India_Index_Upto_April23__1___1[Year]=$B55-1) *
            (All_India_Index_Upto_April23__1___1[Month]=$C55),
       0))</f>
        <v>130.6</v>
      </c>
      <c r="F55" s="14">
        <f t="shared" si="5"/>
        <v>4.441041347626349E-2</v>
      </c>
    </row>
    <row r="56" spans="1:6" x14ac:dyDescent="0.2">
      <c r="A56" s="1">
        <f t="shared" si="6"/>
        <v>43160</v>
      </c>
      <c r="B56">
        <f t="shared" si="3"/>
        <v>2018</v>
      </c>
      <c r="C56" t="str">
        <f t="shared" si="4"/>
        <v>March</v>
      </c>
      <c r="D56" cm="1">
        <f t="array" ref="D56">INDEX(All_India_Index_Upto_April23__1___1[General index],
       MATCH(1,
            (All_India_Index_Upto_April23__1___1[Sector]="Rural+Urban") *
            (All_India_Index_Upto_April23__1___1[Year]=$B56) *
            (All_India_Index_Upto_April23__1___1[Month]=$C56),
       0))</f>
        <v>136.5</v>
      </c>
      <c r="E56" cm="1">
        <f t="array" ref="E56">INDEX(All_India_Index_Upto_April23__1___1[General index],
       MATCH(1,
            (All_India_Index_Upto_April23__1___1[Sector]="Rural+Urban") *
            (All_India_Index_Upto_April23__1___1[Year]=$B56-1) *
            (All_India_Index_Upto_April23__1___1[Month]=$C56),
       0))</f>
        <v>130.9</v>
      </c>
      <c r="F56" s="14">
        <f t="shared" si="5"/>
        <v>4.278074866310156E-2</v>
      </c>
    </row>
    <row r="57" spans="1:6" x14ac:dyDescent="0.2">
      <c r="A57" s="1">
        <f t="shared" si="6"/>
        <v>43191</v>
      </c>
      <c r="B57">
        <f t="shared" si="3"/>
        <v>2018</v>
      </c>
      <c r="C57" t="str">
        <f t="shared" si="4"/>
        <v>April</v>
      </c>
      <c r="D57" cm="1">
        <f t="array" ref="D57">INDEX(All_India_Index_Upto_April23__1___1[General index],
       MATCH(1,
            (All_India_Index_Upto_April23__1___1[Sector]="Rural+Urban") *
            (All_India_Index_Upto_April23__1___1[Year]=$B57) *
            (All_India_Index_Upto_April23__1___1[Month]=$C57),
       0))</f>
        <v>137.1</v>
      </c>
      <c r="E57" cm="1">
        <f t="array" ref="E57">INDEX(All_India_Index_Upto_April23__1___1[General index],
       MATCH(1,
            (All_India_Index_Upto_April23__1___1[Sector]="Rural+Urban") *
            (All_India_Index_Upto_April23__1___1[Year]=$B57-1) *
            (All_India_Index_Upto_April23__1___1[Month]=$C57),
       0))</f>
        <v>131.1</v>
      </c>
      <c r="F57" s="14">
        <f t="shared" si="5"/>
        <v>4.5766590389016024E-2</v>
      </c>
    </row>
    <row r="58" spans="1:6" x14ac:dyDescent="0.2">
      <c r="A58" s="1">
        <f t="shared" si="6"/>
        <v>43221</v>
      </c>
      <c r="B58">
        <f t="shared" si="3"/>
        <v>2018</v>
      </c>
      <c r="C58" t="str">
        <f t="shared" si="4"/>
        <v>May</v>
      </c>
      <c r="D58" cm="1">
        <f t="array" ref="D58">INDEX(All_India_Index_Upto_April23__1___1[General index],
       MATCH(1,
            (All_India_Index_Upto_April23__1___1[Sector]="Rural+Urban") *
            (All_India_Index_Upto_April23__1___1[Year]=$B58) *
            (All_India_Index_Upto_April23__1___1[Month]=$C58),
       0))</f>
        <v>137.80000000000001</v>
      </c>
      <c r="E58" cm="1">
        <f t="array" ref="E58">INDEX(All_India_Index_Upto_April23__1___1[General index],
       MATCH(1,
            (All_India_Index_Upto_April23__1___1[Sector]="Rural+Urban") *
            (All_India_Index_Upto_April23__1___1[Year]=$B58-1) *
            (All_India_Index_Upto_April23__1___1[Month]=$C58),
       0))</f>
        <v>131.4</v>
      </c>
      <c r="F58" s="14">
        <f t="shared" si="5"/>
        <v>4.8706240487062444E-2</v>
      </c>
    </row>
    <row r="59" spans="1:6" x14ac:dyDescent="0.2">
      <c r="A59" s="1">
        <f t="shared" si="6"/>
        <v>43252</v>
      </c>
      <c r="B59">
        <f t="shared" si="3"/>
        <v>2018</v>
      </c>
      <c r="C59" t="str">
        <f t="shared" si="4"/>
        <v>June</v>
      </c>
      <c r="D59" cm="1">
        <f t="array" ref="D59">INDEX(All_India_Index_Upto_April23__1___1[General index],
       MATCH(1,
            (All_India_Index_Upto_April23__1___1[Sector]="Rural+Urban") *
            (All_India_Index_Upto_April23__1___1[Year]=$B59) *
            (All_India_Index_Upto_April23__1___1[Month]=$C59),
       0))</f>
        <v>138.5</v>
      </c>
      <c r="E59" cm="1">
        <f t="array" ref="E59">INDEX(All_India_Index_Upto_April23__1___1[General index],
       MATCH(1,
            (All_India_Index_Upto_April23__1___1[Sector]="Rural+Urban") *
            (All_India_Index_Upto_April23__1___1[Year]=$B59-1) *
            (All_India_Index_Upto_April23__1___1[Month]=$C59),
       0))</f>
        <v>132</v>
      </c>
      <c r="F59" s="14">
        <f t="shared" si="5"/>
        <v>4.924242424242424E-2</v>
      </c>
    </row>
    <row r="60" spans="1:6" x14ac:dyDescent="0.2">
      <c r="A60" s="1">
        <f t="shared" si="6"/>
        <v>43282</v>
      </c>
      <c r="B60">
        <f t="shared" si="3"/>
        <v>2018</v>
      </c>
      <c r="C60" t="str">
        <f t="shared" si="4"/>
        <v>July</v>
      </c>
      <c r="D60" cm="1">
        <f t="array" ref="D60">INDEX(All_India_Index_Upto_April23__1___1[General index],
       MATCH(1,
            (All_India_Index_Upto_April23__1___1[Sector]="Rural+Urban") *
            (All_India_Index_Upto_April23__1___1[Year]=$B60) *
            (All_India_Index_Upto_April23__1___1[Month]=$C60),
       0))</f>
        <v>139.80000000000001</v>
      </c>
      <c r="E60" cm="1">
        <f t="array" ref="E60">INDEX(All_India_Index_Upto_April23__1___1[General index],
       MATCH(1,
            (All_India_Index_Upto_April23__1___1[Sector]="Rural+Urban") *
            (All_India_Index_Upto_April23__1___1[Year]=$B60-1) *
            (All_India_Index_Upto_April23__1___1[Month]=$C60),
       0))</f>
        <v>134.19999999999999</v>
      </c>
      <c r="F60" s="14">
        <f t="shared" si="5"/>
        <v>4.172876304023862E-2</v>
      </c>
    </row>
    <row r="61" spans="1:6" x14ac:dyDescent="0.2">
      <c r="A61" s="1">
        <f t="shared" si="6"/>
        <v>43313</v>
      </c>
      <c r="B61">
        <f t="shared" si="3"/>
        <v>2018</v>
      </c>
      <c r="C61" t="str">
        <f t="shared" si="4"/>
        <v>August</v>
      </c>
      <c r="D61" cm="1">
        <f t="array" ref="D61">INDEX(All_India_Index_Upto_April23__1___1[General index],
       MATCH(1,
            (All_India_Index_Upto_April23__1___1[Sector]="Rural+Urban") *
            (All_India_Index_Upto_April23__1___1[Year]=$B61) *
            (All_India_Index_Upto_April23__1___1[Month]=$C61),
       0))</f>
        <v>140.4</v>
      </c>
      <c r="E61" cm="1">
        <f t="array" ref="E61">INDEX(All_India_Index_Upto_April23__1___1[General index],
       MATCH(1,
            (All_India_Index_Upto_April23__1___1[Sector]="Rural+Urban") *
            (All_India_Index_Upto_April23__1___1[Year]=$B61-1) *
            (All_India_Index_Upto_April23__1___1[Month]=$C61),
       0))</f>
        <v>135.4</v>
      </c>
      <c r="F61" s="14">
        <f t="shared" si="5"/>
        <v>3.6927621861152143E-2</v>
      </c>
    </row>
    <row r="62" spans="1:6" x14ac:dyDescent="0.2">
      <c r="A62" s="1">
        <f t="shared" si="6"/>
        <v>43344</v>
      </c>
      <c r="B62">
        <f t="shared" si="3"/>
        <v>2018</v>
      </c>
      <c r="C62" t="str">
        <f t="shared" si="4"/>
        <v>September</v>
      </c>
      <c r="D62" cm="1">
        <f t="array" ref="D62">INDEX(All_India_Index_Upto_April23__1___1[General index],
       MATCH(1,
            (All_India_Index_Upto_April23__1___1[Sector]="Rural+Urban") *
            (All_India_Index_Upto_April23__1___1[Year]=$B62) *
            (All_India_Index_Upto_April23__1___1[Month]=$C62),
       0))</f>
        <v>140.19999999999999</v>
      </c>
      <c r="E62" cm="1">
        <f t="array" ref="E62">INDEX(All_India_Index_Upto_April23__1___1[General index],
       MATCH(1,
            (All_India_Index_Upto_April23__1___1[Sector]="Rural+Urban") *
            (All_India_Index_Upto_April23__1___1[Year]=$B62-1) *
            (All_India_Index_Upto_April23__1___1[Month]=$C62),
       0))</f>
        <v>135.19999999999999</v>
      </c>
      <c r="F62" s="14">
        <f t="shared" si="5"/>
        <v>3.6982248520710061E-2</v>
      </c>
    </row>
    <row r="63" spans="1:6" x14ac:dyDescent="0.2">
      <c r="A63" s="1">
        <f t="shared" si="6"/>
        <v>43374</v>
      </c>
      <c r="B63">
        <f t="shared" si="3"/>
        <v>2018</v>
      </c>
      <c r="C63" t="str">
        <f t="shared" si="4"/>
        <v>October</v>
      </c>
      <c r="D63" cm="1">
        <f t="array" ref="D63">INDEX(All_India_Index_Upto_April23__1___1[General index],
       MATCH(1,
            (All_India_Index_Upto_April23__1___1[Sector]="Rural+Urban") *
            (All_India_Index_Upto_April23__1___1[Year]=$B63) *
            (All_India_Index_Upto_April23__1___1[Month]=$C63),
       0))</f>
        <v>140.80000000000001</v>
      </c>
      <c r="E63" cm="1">
        <f t="array" ref="E63">INDEX(All_India_Index_Upto_April23__1___1[General index],
       MATCH(1,
            (All_India_Index_Upto_April23__1___1[Sector]="Rural+Urban") *
            (All_India_Index_Upto_April23__1___1[Year]=$B63-1) *
            (All_India_Index_Upto_April23__1___1[Month]=$C63),
       0))</f>
        <v>136.1</v>
      </c>
      <c r="F63" s="14">
        <f t="shared" si="5"/>
        <v>3.4533431300514457E-2</v>
      </c>
    </row>
    <row r="64" spans="1:6" x14ac:dyDescent="0.2">
      <c r="A64" s="1">
        <f t="shared" si="6"/>
        <v>43405</v>
      </c>
      <c r="B64">
        <f t="shared" si="3"/>
        <v>2018</v>
      </c>
      <c r="C64" t="str">
        <f t="shared" si="4"/>
        <v>November</v>
      </c>
      <c r="D64" cm="1">
        <f t="array" ref="D64">INDEX(All_India_Index_Upto_April23__1___1[General index],
       MATCH(1,
            (All_India_Index_Upto_April23__1___1[Sector]="Rural+Urban") *
            (All_India_Index_Upto_April23__1___1[Year]=$B64) *
            (All_India_Index_Upto_April23__1___1[Month]=$C64),
       0))</f>
        <v>140.80000000000001</v>
      </c>
      <c r="E64" cm="1">
        <f t="array" ref="E64">INDEX(All_India_Index_Upto_April23__1___1[General index],
       MATCH(1,
            (All_India_Index_Upto_April23__1___1[Sector]="Rural+Urban") *
            (All_India_Index_Upto_April23__1___1[Year]=$B64-1) *
            (All_India_Index_Upto_April23__1___1[Month]=$C64),
       0))</f>
        <v>137.6</v>
      </c>
      <c r="F64" s="14">
        <f t="shared" si="5"/>
        <v>2.3255813953488497E-2</v>
      </c>
    </row>
    <row r="65" spans="1:6" x14ac:dyDescent="0.2">
      <c r="A65" s="1">
        <f t="shared" si="6"/>
        <v>43435</v>
      </c>
      <c r="B65">
        <f t="shared" si="3"/>
        <v>2018</v>
      </c>
      <c r="C65" t="str">
        <f t="shared" si="4"/>
        <v>December</v>
      </c>
      <c r="D65" cm="1">
        <f t="array" ref="D65">INDEX(All_India_Index_Upto_April23__1___1[General index],
       MATCH(1,
            (All_India_Index_Upto_April23__1___1[Sector]="Rural+Urban") *
            (All_India_Index_Upto_April23__1___1[Year]=$B65) *
            (All_India_Index_Upto_April23__1___1[Month]=$C65),
       0))</f>
        <v>140.1</v>
      </c>
      <c r="E65" cm="1">
        <f t="array" ref="E65">INDEX(All_India_Index_Upto_April23__1___1[General index],
       MATCH(1,
            (All_India_Index_Upto_April23__1___1[Sector]="Rural+Urban") *
            (All_India_Index_Upto_April23__1___1[Year]=$B65-1) *
            (All_India_Index_Upto_April23__1___1[Month]=$C65),
       0))</f>
        <v>137.19999999999999</v>
      </c>
      <c r="F65" s="14">
        <f t="shared" si="5"/>
        <v>2.1137026239067099E-2</v>
      </c>
    </row>
    <row r="66" spans="1:6" x14ac:dyDescent="0.2">
      <c r="A66" s="1">
        <f t="shared" si="6"/>
        <v>43466</v>
      </c>
      <c r="B66">
        <f t="shared" si="3"/>
        <v>2019</v>
      </c>
      <c r="C66" t="str">
        <f t="shared" si="4"/>
        <v>January</v>
      </c>
      <c r="D66" cm="1">
        <f t="array" ref="D66">INDEX(All_India_Index_Upto_April23__1___1[General index],
       MATCH(1,
            (All_India_Index_Upto_April23__1___1[Sector]="Rural+Urban") *
            (All_India_Index_Upto_April23__1___1[Year]=$B66) *
            (All_India_Index_Upto_April23__1___1[Month]=$C66),
       0))</f>
        <v>139.6</v>
      </c>
      <c r="E66" cm="1">
        <f t="array" ref="E66">INDEX(All_India_Index_Upto_April23__1___1[General index],
       MATCH(1,
            (All_India_Index_Upto_April23__1___1[Sector]="Rural+Urban") *
            (All_India_Index_Upto_April23__1___1[Year]=$B66-1) *
            (All_India_Index_Upto_April23__1___1[Month]=$C66),
       0))</f>
        <v>136.9</v>
      </c>
      <c r="F66" s="14">
        <f t="shared" si="5"/>
        <v>1.9722425127830449E-2</v>
      </c>
    </row>
    <row r="67" spans="1:6" x14ac:dyDescent="0.2">
      <c r="A67" s="1">
        <f t="shared" si="6"/>
        <v>43497</v>
      </c>
      <c r="B67">
        <f t="shared" si="3"/>
        <v>2019</v>
      </c>
      <c r="C67" t="str">
        <f t="shared" si="4"/>
        <v>February</v>
      </c>
      <c r="D67" cm="1">
        <f t="array" ref="D67">INDEX(All_India_Index_Upto_April23__1___1[General index],
       MATCH(1,
            (All_India_Index_Upto_April23__1___1[Sector]="Rural+Urban") *
            (All_India_Index_Upto_April23__1___1[Year]=$B67) *
            (All_India_Index_Upto_April23__1___1[Month]=$C67),
       0))</f>
        <v>139.9</v>
      </c>
      <c r="E67" cm="1">
        <f t="array" ref="E67">INDEX(All_India_Index_Upto_April23__1___1[General index],
       MATCH(1,
            (All_India_Index_Upto_April23__1___1[Sector]="Rural+Urban") *
            (All_India_Index_Upto_April23__1___1[Year]=$B67-1) *
            (All_India_Index_Upto_April23__1___1[Month]=$C67),
       0))</f>
        <v>136.4</v>
      </c>
      <c r="F67" s="14">
        <f t="shared" si="5"/>
        <v>2.5659824046920819E-2</v>
      </c>
    </row>
    <row r="68" spans="1:6" x14ac:dyDescent="0.2">
      <c r="A68" s="1">
        <f t="shared" si="6"/>
        <v>43525</v>
      </c>
      <c r="B68">
        <f t="shared" si="3"/>
        <v>2019</v>
      </c>
      <c r="C68" t="str">
        <f t="shared" si="4"/>
        <v>March</v>
      </c>
      <c r="D68" cm="1">
        <f t="array" ref="D68">INDEX(All_India_Index_Upto_April23__1___1[General index],
       MATCH(1,
            (All_India_Index_Upto_April23__1___1[Sector]="Rural+Urban") *
            (All_India_Index_Upto_April23__1___1[Year]=$B68) *
            (All_India_Index_Upto_April23__1___1[Month]=$C68),
       0))</f>
        <v>140.4</v>
      </c>
      <c r="E68" cm="1">
        <f t="array" ref="E68">INDEX(All_India_Index_Upto_April23__1___1[General index],
       MATCH(1,
            (All_India_Index_Upto_April23__1___1[Sector]="Rural+Urban") *
            (All_India_Index_Upto_April23__1___1[Year]=$B68-1) *
            (All_India_Index_Upto_April23__1___1[Month]=$C68),
       0))</f>
        <v>136.5</v>
      </c>
      <c r="F68" s="14">
        <f t="shared" si="5"/>
        <v>2.8571428571428612E-2</v>
      </c>
    </row>
    <row r="69" spans="1:6" x14ac:dyDescent="0.2">
      <c r="A69" s="1">
        <f t="shared" si="6"/>
        <v>43556</v>
      </c>
      <c r="B69">
        <f t="shared" si="3"/>
        <v>2019</v>
      </c>
      <c r="C69" t="str">
        <f t="shared" si="4"/>
        <v>April</v>
      </c>
      <c r="D69" t="e" cm="1">
        <f t="array" ref="D69">INDEX(All_India_Index_Upto_April23__1___1[General index],
       MATCH(1,
            (All_India_Index_Upto_April23__1___1[Sector]="Rural+Urban") *
            (All_India_Index_Upto_April23__1___1[Year]=$B69) *
            (All_India_Index_Upto_April23__1___1[Month]=$C69),
       0))</f>
        <v>#N/A</v>
      </c>
      <c r="E69" cm="1">
        <f t="array" ref="E69">INDEX(All_India_Index_Upto_April23__1___1[General index],
       MATCH(1,
            (All_India_Index_Upto_April23__1___1[Sector]="Rural+Urban") *
            (All_India_Index_Upto_April23__1___1[Year]=$B69-1) *
            (All_India_Index_Upto_April23__1___1[Month]=$C69),
       0))</f>
        <v>137.1</v>
      </c>
      <c r="F69" s="14" t="e">
        <f t="shared" si="5"/>
        <v>#N/A</v>
      </c>
    </row>
    <row r="70" spans="1:6" x14ac:dyDescent="0.2">
      <c r="A70" s="1">
        <f t="shared" si="6"/>
        <v>43586</v>
      </c>
      <c r="B70">
        <f t="shared" si="3"/>
        <v>2019</v>
      </c>
      <c r="C70" t="str">
        <f t="shared" si="4"/>
        <v>May</v>
      </c>
      <c r="D70" cm="1">
        <f t="array" ref="D70">INDEX(All_India_Index_Upto_April23__1___1[General index],
       MATCH(1,
            (All_India_Index_Upto_April23__1___1[Sector]="Rural+Urban") *
            (All_India_Index_Upto_April23__1___1[Year]=$B70) *
            (All_India_Index_Upto_April23__1___1[Month]=$C70),
       0))</f>
        <v>142</v>
      </c>
      <c r="E70" cm="1">
        <f t="array" ref="E70">INDEX(All_India_Index_Upto_April23__1___1[General index],
       MATCH(1,
            (All_India_Index_Upto_April23__1___1[Sector]="Rural+Urban") *
            (All_India_Index_Upto_April23__1___1[Year]=$B70-1) *
            (All_India_Index_Upto_April23__1___1[Month]=$C70),
       0))</f>
        <v>137.80000000000001</v>
      </c>
      <c r="F70" s="14">
        <f t="shared" si="5"/>
        <v>3.0478955007256808E-2</v>
      </c>
    </row>
    <row r="71" spans="1:6" x14ac:dyDescent="0.2">
      <c r="A71" s="1">
        <f t="shared" si="6"/>
        <v>43617</v>
      </c>
      <c r="B71">
        <f t="shared" si="3"/>
        <v>2019</v>
      </c>
      <c r="C71" t="str">
        <f t="shared" si="4"/>
        <v>June</v>
      </c>
      <c r="D71" cm="1">
        <f t="array" ref="D71">INDEX(All_India_Index_Upto_April23__1___1[General index],
       MATCH(1,
            (All_India_Index_Upto_April23__1___1[Sector]="Rural+Urban") *
            (All_India_Index_Upto_April23__1___1[Year]=$B71) *
            (All_India_Index_Upto_April23__1___1[Month]=$C71),
       0))</f>
        <v>142.9</v>
      </c>
      <c r="E71" cm="1">
        <f t="array" ref="E71">INDEX(All_India_Index_Upto_April23__1___1[General index],
       MATCH(1,
            (All_India_Index_Upto_April23__1___1[Sector]="Rural+Urban") *
            (All_India_Index_Upto_April23__1___1[Year]=$B71-1) *
            (All_India_Index_Upto_April23__1___1[Month]=$C71),
       0))</f>
        <v>138.5</v>
      </c>
      <c r="F71" s="14">
        <f t="shared" si="5"/>
        <v>3.17689530685921E-2</v>
      </c>
    </row>
    <row r="72" spans="1:6" x14ac:dyDescent="0.2">
      <c r="A72" s="1">
        <f t="shared" si="6"/>
        <v>43647</v>
      </c>
      <c r="B72">
        <f t="shared" si="3"/>
        <v>2019</v>
      </c>
      <c r="C72" t="str">
        <f t="shared" si="4"/>
        <v>July</v>
      </c>
      <c r="D72" cm="1">
        <f t="array" ref="D72">INDEX(All_India_Index_Upto_April23__1___1[General index],
       MATCH(1,
            (All_India_Index_Upto_April23__1___1[Sector]="Rural+Urban") *
            (All_India_Index_Upto_April23__1___1[Year]=$B72) *
            (All_India_Index_Upto_April23__1___1[Month]=$C72),
       0))</f>
        <v>144.19999999999999</v>
      </c>
      <c r="E72" cm="1">
        <f t="array" ref="E72">INDEX(All_India_Index_Upto_April23__1___1[General index],
       MATCH(1,
            (All_India_Index_Upto_April23__1___1[Sector]="Rural+Urban") *
            (All_India_Index_Upto_April23__1___1[Year]=$B72-1) *
            (All_India_Index_Upto_April23__1___1[Month]=$C72),
       0))</f>
        <v>139.80000000000001</v>
      </c>
      <c r="F72" s="14">
        <f t="shared" si="5"/>
        <v>3.14735336194562E-2</v>
      </c>
    </row>
    <row r="73" spans="1:6" x14ac:dyDescent="0.2">
      <c r="A73" s="1">
        <f t="shared" si="6"/>
        <v>43678</v>
      </c>
      <c r="B73">
        <f t="shared" si="3"/>
        <v>2019</v>
      </c>
      <c r="C73" t="str">
        <f t="shared" si="4"/>
        <v>August</v>
      </c>
      <c r="D73" cm="1">
        <f t="array" ref="D73">INDEX(All_India_Index_Upto_April23__1___1[General index],
       MATCH(1,
            (All_India_Index_Upto_April23__1___1[Sector]="Rural+Urban") *
            (All_India_Index_Upto_April23__1___1[Year]=$B73) *
            (All_India_Index_Upto_April23__1___1[Month]=$C73),
       0))</f>
        <v>145</v>
      </c>
      <c r="E73" cm="1">
        <f t="array" ref="E73">INDEX(All_India_Index_Upto_April23__1___1[General index],
       MATCH(1,
            (All_India_Index_Upto_April23__1___1[Sector]="Rural+Urban") *
            (All_India_Index_Upto_April23__1___1[Year]=$B73-1) *
            (All_India_Index_Upto_April23__1___1[Month]=$C73),
       0))</f>
        <v>140.4</v>
      </c>
      <c r="F73" s="14">
        <f t="shared" si="5"/>
        <v>3.2763532763532721E-2</v>
      </c>
    </row>
    <row r="74" spans="1:6" x14ac:dyDescent="0.2">
      <c r="A74" s="1">
        <f t="shared" si="6"/>
        <v>43709</v>
      </c>
      <c r="B74">
        <f t="shared" si="3"/>
        <v>2019</v>
      </c>
      <c r="C74" t="str">
        <f t="shared" si="4"/>
        <v>September</v>
      </c>
      <c r="D74" cm="1">
        <f t="array" ref="D74">INDEX(All_India_Index_Upto_April23__1___1[General index],
       MATCH(1,
            (All_India_Index_Upto_April23__1___1[Sector]="Rural+Urban") *
            (All_India_Index_Upto_April23__1___1[Year]=$B74) *
            (All_India_Index_Upto_April23__1___1[Month]=$C74),
       0))</f>
        <v>145.80000000000001</v>
      </c>
      <c r="E74" cm="1">
        <f t="array" ref="E74">INDEX(All_India_Index_Upto_April23__1___1[General index],
       MATCH(1,
            (All_India_Index_Upto_April23__1___1[Sector]="Rural+Urban") *
            (All_India_Index_Upto_April23__1___1[Year]=$B74-1) *
            (All_India_Index_Upto_April23__1___1[Month]=$C74),
       0))</f>
        <v>140.19999999999999</v>
      </c>
      <c r="F74" s="14">
        <f t="shared" si="5"/>
        <v>3.9942938659058652E-2</v>
      </c>
    </row>
    <row r="75" spans="1:6" x14ac:dyDescent="0.2">
      <c r="A75" s="1">
        <f t="shared" si="6"/>
        <v>43739</v>
      </c>
      <c r="B75">
        <f t="shared" si="3"/>
        <v>2019</v>
      </c>
      <c r="C75" t="str">
        <f t="shared" si="4"/>
        <v>October</v>
      </c>
      <c r="D75" cm="1">
        <f t="array" ref="D75">INDEX(All_India_Index_Upto_April23__1___1[General index],
       MATCH(1,
            (All_India_Index_Upto_April23__1___1[Sector]="Rural+Urban") *
            (All_India_Index_Upto_April23__1___1[Year]=$B75) *
            (All_India_Index_Upto_April23__1___1[Month]=$C75),
       0))</f>
        <v>147.19999999999999</v>
      </c>
      <c r="E75" cm="1">
        <f t="array" ref="E75">INDEX(All_India_Index_Upto_April23__1___1[General index],
       MATCH(1,
            (All_India_Index_Upto_April23__1___1[Sector]="Rural+Urban") *
            (All_India_Index_Upto_April23__1___1[Year]=$B75-1) *
            (All_India_Index_Upto_April23__1___1[Month]=$C75),
       0))</f>
        <v>140.80000000000001</v>
      </c>
      <c r="F75" s="14">
        <f t="shared" si="5"/>
        <v>4.5454545454545289E-2</v>
      </c>
    </row>
    <row r="76" spans="1:6" x14ac:dyDescent="0.2">
      <c r="A76" s="1">
        <f t="shared" si="6"/>
        <v>43770</v>
      </c>
      <c r="B76">
        <f t="shared" si="3"/>
        <v>2019</v>
      </c>
      <c r="C76" t="str">
        <f t="shared" si="4"/>
        <v>November</v>
      </c>
      <c r="D76" cm="1">
        <f t="array" ref="D76">INDEX(All_India_Index_Upto_April23__1___1[General index],
       MATCH(1,
            (All_India_Index_Upto_April23__1___1[Sector]="Rural+Urban") *
            (All_India_Index_Upto_April23__1___1[Year]=$B76) *
            (All_India_Index_Upto_April23__1___1[Month]=$C76),
       0))</f>
        <v>148.6</v>
      </c>
      <c r="E76" cm="1">
        <f t="array" ref="E76">INDEX(All_India_Index_Upto_April23__1___1[General index],
       MATCH(1,
            (All_India_Index_Upto_April23__1___1[Sector]="Rural+Urban") *
            (All_India_Index_Upto_April23__1___1[Year]=$B76-1) *
            (All_India_Index_Upto_April23__1___1[Month]=$C76),
       0))</f>
        <v>140.80000000000001</v>
      </c>
      <c r="F76" s="14">
        <f t="shared" si="5"/>
        <v>5.5397727272727147E-2</v>
      </c>
    </row>
    <row r="77" spans="1:6" x14ac:dyDescent="0.2">
      <c r="A77" s="1">
        <f t="shared" si="6"/>
        <v>43800</v>
      </c>
      <c r="B77">
        <f t="shared" si="3"/>
        <v>2019</v>
      </c>
      <c r="C77" t="str">
        <f t="shared" si="4"/>
        <v>December</v>
      </c>
      <c r="D77" cm="1">
        <f t="array" ref="D77">INDEX(All_India_Index_Upto_April23__1___1[General index],
       MATCH(1,
            (All_India_Index_Upto_April23__1___1[Sector]="Rural+Urban") *
            (All_India_Index_Upto_April23__1___1[Year]=$B77) *
            (All_India_Index_Upto_April23__1___1[Month]=$C77),
       0))</f>
        <v>150.4</v>
      </c>
      <c r="E77" cm="1">
        <f t="array" ref="E77">INDEX(All_India_Index_Upto_April23__1___1[General index],
       MATCH(1,
            (All_India_Index_Upto_April23__1___1[Sector]="Rural+Urban") *
            (All_India_Index_Upto_April23__1___1[Year]=$B77-1) *
            (All_India_Index_Upto_April23__1___1[Month]=$C77),
       0))</f>
        <v>140.1</v>
      </c>
      <c r="F77" s="14">
        <f t="shared" si="5"/>
        <v>7.3518915060671028E-2</v>
      </c>
    </row>
    <row r="78" spans="1:6" x14ac:dyDescent="0.2">
      <c r="A78" s="1">
        <f t="shared" si="6"/>
        <v>43831</v>
      </c>
      <c r="B78">
        <f t="shared" si="3"/>
        <v>2020</v>
      </c>
      <c r="C78" t="str">
        <f t="shared" si="4"/>
        <v>January</v>
      </c>
      <c r="D78" cm="1">
        <f t="array" ref="D78">INDEX(All_India_Index_Upto_April23__1___1[General index],
       MATCH(1,
            (All_India_Index_Upto_April23__1___1[Sector]="Rural+Urban") *
            (All_India_Index_Upto_April23__1___1[Year]=$B78) *
            (All_India_Index_Upto_April23__1___1[Month]=$C78),
       0))</f>
        <v>150.19999999999999</v>
      </c>
      <c r="E78" cm="1">
        <f t="array" ref="E78">INDEX(All_India_Index_Upto_April23__1___1[General index],
       MATCH(1,
            (All_India_Index_Upto_April23__1___1[Sector]="Rural+Urban") *
            (All_India_Index_Upto_April23__1___1[Year]=$B78-1) *
            (All_India_Index_Upto_April23__1___1[Month]=$C78),
       0))</f>
        <v>139.6</v>
      </c>
      <c r="F78" s="14">
        <f t="shared" si="5"/>
        <v>7.5931232091690504E-2</v>
      </c>
    </row>
    <row r="79" spans="1:6" x14ac:dyDescent="0.2">
      <c r="A79" s="1">
        <f t="shared" si="6"/>
        <v>43862</v>
      </c>
      <c r="B79">
        <f t="shared" si="3"/>
        <v>2020</v>
      </c>
      <c r="C79" t="str">
        <f t="shared" si="4"/>
        <v>February</v>
      </c>
      <c r="D79" cm="1">
        <f t="array" ref="D79">INDEX(All_India_Index_Upto_April23__1___1[General index],
       MATCH(1,
            (All_India_Index_Upto_April23__1___1[Sector]="Rural+Urban") *
            (All_India_Index_Upto_April23__1___1[Year]=$B79) *
            (All_India_Index_Upto_April23__1___1[Month]=$C79),
       0))</f>
        <v>149.1</v>
      </c>
      <c r="E79" cm="1">
        <f t="array" ref="E79">INDEX(All_India_Index_Upto_April23__1___1[General index],
       MATCH(1,
            (All_India_Index_Upto_April23__1___1[Sector]="Rural+Urban") *
            (All_India_Index_Upto_April23__1___1[Year]=$B79-1) *
            (All_India_Index_Upto_April23__1___1[Month]=$C79),
       0))</f>
        <v>139.9</v>
      </c>
      <c r="F79" s="14">
        <f t="shared" si="5"/>
        <v>6.5761258041458104E-2</v>
      </c>
    </row>
    <row r="80" spans="1:6" x14ac:dyDescent="0.2">
      <c r="A80" s="1">
        <f t="shared" si="6"/>
        <v>43891</v>
      </c>
      <c r="B80">
        <f t="shared" si="3"/>
        <v>2020</v>
      </c>
      <c r="C80" t="str">
        <f t="shared" si="4"/>
        <v>March</v>
      </c>
      <c r="D80" cm="1">
        <f t="array" ref="D80">INDEX(All_India_Index_Upto_April23__1___1[General index],
       MATCH(1,
            (All_India_Index_Upto_April23__1___1[Sector]="Rural+Urban") *
            (All_India_Index_Upto_April23__1___1[Year]=$B80) *
            (All_India_Index_Upto_April23__1___1[Month]=$C80),
       0))</f>
        <v>148.6</v>
      </c>
      <c r="E80" cm="1">
        <f t="array" ref="E80">INDEX(All_India_Index_Upto_April23__1___1[General index],
       MATCH(1,
            (All_India_Index_Upto_April23__1___1[Sector]="Rural+Urban") *
            (All_India_Index_Upto_April23__1___1[Year]=$B80-1) *
            (All_India_Index_Upto_April23__1___1[Month]=$C80),
       0))</f>
        <v>140.4</v>
      </c>
      <c r="F80" s="14">
        <f t="shared" si="5"/>
        <v>5.840455840455832E-2</v>
      </c>
    </row>
    <row r="81" spans="1:6" x14ac:dyDescent="0.2">
      <c r="A81" s="1">
        <f t="shared" si="6"/>
        <v>43922</v>
      </c>
      <c r="B81">
        <f t="shared" si="3"/>
        <v>2020</v>
      </c>
      <c r="C81" t="str">
        <f t="shared" si="4"/>
        <v>April</v>
      </c>
      <c r="D81" cm="1">
        <f t="array" ref="D81">INDEX(All_India_Index_Upto_April23__1___1[General index],
       MATCH(1,
            (All_India_Index_Upto_April23__1___1[Sector]="Rural+Urban") *
            (All_India_Index_Upto_April23__1___1[Year]=$B81) *
            (All_India_Index_Upto_April23__1___1[Month]=$C81),
       0))</f>
        <v>153.30000000000001</v>
      </c>
      <c r="E81" t="e" cm="1">
        <f t="array" ref="E81">INDEX(All_India_Index_Upto_April23__1___1[General index],
       MATCH(1,
            (All_India_Index_Upto_April23__1___1[Sector]="Rural+Urban") *
            (All_India_Index_Upto_April23__1___1[Year]=$B81-1) *
            (All_India_Index_Upto_April23__1___1[Month]=$C81),
       0))</f>
        <v>#N/A</v>
      </c>
      <c r="F81" s="14" t="e">
        <f t="shared" si="5"/>
        <v>#N/A</v>
      </c>
    </row>
    <row r="82" spans="1:6" x14ac:dyDescent="0.2">
      <c r="A82" s="1">
        <f t="shared" si="6"/>
        <v>43952</v>
      </c>
      <c r="B82">
        <f t="shared" si="3"/>
        <v>2020</v>
      </c>
      <c r="C82" t="str">
        <f t="shared" si="4"/>
        <v>May</v>
      </c>
      <c r="D82" cm="1">
        <f t="array" ref="D82">INDEX(All_India_Index_Upto_April23__1___1[General index],
       MATCH(1,
            (All_India_Index_Upto_April23__1___1[Sector]="Rural+Urban") *
            (All_India_Index_Upto_April23__1___1[Year]=$B82) *
            (All_India_Index_Upto_April23__1___1[Month]=$C82),
       0))</f>
        <v>151.5</v>
      </c>
      <c r="E82" cm="1">
        <f t="array" ref="E82">INDEX(All_India_Index_Upto_April23__1___1[General index],
       MATCH(1,
            (All_India_Index_Upto_April23__1___1[Sector]="Rural+Urban") *
            (All_India_Index_Upto_April23__1___1[Year]=$B82-1) *
            (All_India_Index_Upto_April23__1___1[Month]=$C82),
       0))</f>
        <v>142</v>
      </c>
      <c r="F82" s="14">
        <f t="shared" si="5"/>
        <v>6.6901408450704219E-2</v>
      </c>
    </row>
    <row r="83" spans="1:6" x14ac:dyDescent="0.2">
      <c r="A83" s="1">
        <f t="shared" si="6"/>
        <v>43983</v>
      </c>
      <c r="B83">
        <f t="shared" si="3"/>
        <v>2020</v>
      </c>
      <c r="C83" t="str">
        <f t="shared" si="4"/>
        <v>June</v>
      </c>
      <c r="D83" cm="1">
        <f t="array" ref="D83">INDEX(All_India_Index_Upto_April23__1___1[General index],
       MATCH(1,
            (All_India_Index_Upto_April23__1___1[Sector]="Rural+Urban") *
            (All_India_Index_Upto_April23__1___1[Year]=$B83) *
            (All_India_Index_Upto_April23__1___1[Month]=$C83),
       0))</f>
        <v>151.80000000000001</v>
      </c>
      <c r="E83" cm="1">
        <f t="array" ref="E83">INDEX(All_India_Index_Upto_April23__1___1[General index],
       MATCH(1,
            (All_India_Index_Upto_April23__1___1[Sector]="Rural+Urban") *
            (All_India_Index_Upto_April23__1___1[Year]=$B83-1) *
            (All_India_Index_Upto_April23__1___1[Month]=$C83),
       0))</f>
        <v>142.9</v>
      </c>
      <c r="F83" s="14">
        <f t="shared" si="5"/>
        <v>6.2281315605318445E-2</v>
      </c>
    </row>
    <row r="84" spans="1:6" x14ac:dyDescent="0.2">
      <c r="A84" s="1">
        <f t="shared" si="6"/>
        <v>44013</v>
      </c>
      <c r="B84">
        <f t="shared" si="3"/>
        <v>2020</v>
      </c>
      <c r="C84" t="str">
        <f t="shared" si="4"/>
        <v>July</v>
      </c>
      <c r="D84" cm="1">
        <f t="array" ref="D84">INDEX(All_India_Index_Upto_April23__1___1[General index],
       MATCH(1,
            (All_India_Index_Upto_April23__1___1[Sector]="Rural+Urban") *
            (All_India_Index_Upto_April23__1___1[Year]=$B84) *
            (All_India_Index_Upto_April23__1___1[Month]=$C84),
       0))</f>
        <v>151.80000000000001</v>
      </c>
      <c r="E84" cm="1">
        <f t="array" ref="E84">INDEX(All_India_Index_Upto_April23__1___1[General index],
       MATCH(1,
            (All_India_Index_Upto_April23__1___1[Sector]="Rural+Urban") *
            (All_India_Index_Upto_April23__1___1[Year]=$B84-1) *
            (All_India_Index_Upto_April23__1___1[Month]=$C84),
       0))</f>
        <v>144.19999999999999</v>
      </c>
      <c r="F84" s="14">
        <f t="shared" si="5"/>
        <v>5.2704576976421801E-2</v>
      </c>
    </row>
    <row r="85" spans="1:6" x14ac:dyDescent="0.2">
      <c r="A85" s="1">
        <f t="shared" si="6"/>
        <v>44044</v>
      </c>
      <c r="B85">
        <f t="shared" si="3"/>
        <v>2020</v>
      </c>
      <c r="C85" t="str">
        <f t="shared" si="4"/>
        <v>August</v>
      </c>
      <c r="D85" cm="1">
        <f t="array" ref="D85">INDEX(All_India_Index_Upto_April23__1___1[General index],
       MATCH(1,
            (All_India_Index_Upto_April23__1___1[Sector]="Rural+Urban") *
            (All_India_Index_Upto_April23__1___1[Year]=$B85) *
            (All_India_Index_Upto_April23__1___1[Month]=$C85),
       0))</f>
        <v>153.9</v>
      </c>
      <c r="E85" cm="1">
        <f t="array" ref="E85">INDEX(All_India_Index_Upto_April23__1___1[General index],
       MATCH(1,
            (All_India_Index_Upto_April23__1___1[Sector]="Rural+Urban") *
            (All_India_Index_Upto_April23__1___1[Year]=$B85-1) *
            (All_India_Index_Upto_April23__1___1[Month]=$C85),
       0))</f>
        <v>145</v>
      </c>
      <c r="F85" s="14">
        <f t="shared" si="5"/>
        <v>6.1379310344827624E-2</v>
      </c>
    </row>
    <row r="86" spans="1:6" x14ac:dyDescent="0.2">
      <c r="A86" s="1">
        <f t="shared" si="6"/>
        <v>44075</v>
      </c>
      <c r="B86">
        <f t="shared" si="3"/>
        <v>2020</v>
      </c>
      <c r="C86" t="str">
        <f t="shared" si="4"/>
        <v>September</v>
      </c>
      <c r="D86" cm="1">
        <f t="array" ref="D86">INDEX(All_India_Index_Upto_April23__1___1[General index],
       MATCH(1,
            (All_India_Index_Upto_April23__1___1[Sector]="Rural+Urban") *
            (All_India_Index_Upto_April23__1___1[Year]=$B86) *
            (All_India_Index_Upto_April23__1___1[Month]=$C86),
       0))</f>
        <v>154.69999999999999</v>
      </c>
      <c r="E86" cm="1">
        <f t="array" ref="E86">INDEX(All_India_Index_Upto_April23__1___1[General index],
       MATCH(1,
            (All_India_Index_Upto_April23__1___1[Sector]="Rural+Urban") *
            (All_India_Index_Upto_April23__1___1[Year]=$B86-1) *
            (All_India_Index_Upto_April23__1___1[Month]=$C86),
       0))</f>
        <v>145.80000000000001</v>
      </c>
      <c r="F86" s="14">
        <f t="shared" si="5"/>
        <v>6.1042524005486806E-2</v>
      </c>
    </row>
    <row r="87" spans="1:6" x14ac:dyDescent="0.2">
      <c r="A87" s="1">
        <f t="shared" si="6"/>
        <v>44105</v>
      </c>
      <c r="B87">
        <f t="shared" si="3"/>
        <v>2020</v>
      </c>
      <c r="C87" t="str">
        <f t="shared" si="4"/>
        <v>October</v>
      </c>
      <c r="D87" cm="1">
        <f t="array" ref="D87">INDEX(All_India_Index_Upto_April23__1___1[General index],
       MATCH(1,
            (All_India_Index_Upto_April23__1___1[Sector]="Rural+Urban") *
            (All_India_Index_Upto_April23__1___1[Year]=$B87) *
            (All_India_Index_Upto_April23__1___1[Month]=$C87),
       0))</f>
        <v>156.4</v>
      </c>
      <c r="E87" cm="1">
        <f t="array" ref="E87">INDEX(All_India_Index_Upto_April23__1___1[General index],
       MATCH(1,
            (All_India_Index_Upto_April23__1___1[Sector]="Rural+Urban") *
            (All_India_Index_Upto_April23__1___1[Year]=$B87-1) *
            (All_India_Index_Upto_April23__1___1[Month]=$C87),
       0))</f>
        <v>147.19999999999999</v>
      </c>
      <c r="F87" s="14">
        <f t="shared" si="5"/>
        <v>6.2500000000000125E-2</v>
      </c>
    </row>
    <row r="88" spans="1:6" x14ac:dyDescent="0.2">
      <c r="A88" s="1">
        <f t="shared" si="6"/>
        <v>44136</v>
      </c>
      <c r="B88">
        <f t="shared" si="3"/>
        <v>2020</v>
      </c>
      <c r="C88" t="str">
        <f t="shared" si="4"/>
        <v>November</v>
      </c>
      <c r="D88" cm="1">
        <f t="array" ref="D88">INDEX(All_India_Index_Upto_April23__1___1[General index],
       MATCH(1,
            (All_India_Index_Upto_April23__1___1[Sector]="Rural+Urban") *
            (All_India_Index_Upto_April23__1___1[Year]=$B88) *
            (All_India_Index_Upto_April23__1___1[Month]=$C88),
       0))</f>
        <v>158.4</v>
      </c>
      <c r="E88" cm="1">
        <f t="array" ref="E88">INDEX(All_India_Index_Upto_April23__1___1[General index],
       MATCH(1,
            (All_India_Index_Upto_April23__1___1[Sector]="Rural+Urban") *
            (All_India_Index_Upto_April23__1___1[Year]=$B88-1) *
            (All_India_Index_Upto_April23__1___1[Month]=$C88),
       0))</f>
        <v>148.6</v>
      </c>
      <c r="F88" s="14">
        <f t="shared" si="5"/>
        <v>6.5948855989232918E-2</v>
      </c>
    </row>
    <row r="89" spans="1:6" x14ac:dyDescent="0.2">
      <c r="A89" s="1">
        <f t="shared" si="6"/>
        <v>44166</v>
      </c>
      <c r="B89">
        <f t="shared" si="3"/>
        <v>2020</v>
      </c>
      <c r="C89" t="str">
        <f t="shared" si="4"/>
        <v>December</v>
      </c>
      <c r="D89" cm="1">
        <f t="array" ref="D89">INDEX(All_India_Index_Upto_April23__1___1[General index],
       MATCH(1,
            (All_India_Index_Upto_April23__1___1[Sector]="Rural+Urban") *
            (All_India_Index_Upto_April23__1___1[Year]=$B89) *
            (All_India_Index_Upto_April23__1___1[Month]=$C89),
       0))</f>
        <v>158.9</v>
      </c>
      <c r="E89" cm="1">
        <f t="array" ref="E89">INDEX(All_India_Index_Upto_April23__1___1[General index],
       MATCH(1,
            (All_India_Index_Upto_April23__1___1[Sector]="Rural+Urban") *
            (All_India_Index_Upto_April23__1___1[Year]=$B89-1) *
            (All_India_Index_Upto_April23__1___1[Month]=$C89),
       0))</f>
        <v>150.4</v>
      </c>
      <c r="F89" s="14">
        <f t="shared" si="5"/>
        <v>5.6515957446808505E-2</v>
      </c>
    </row>
    <row r="90" spans="1:6" x14ac:dyDescent="0.2">
      <c r="A90" s="1">
        <f t="shared" si="6"/>
        <v>44197</v>
      </c>
      <c r="B90">
        <f t="shared" si="3"/>
        <v>2021</v>
      </c>
      <c r="C90" t="str">
        <f t="shared" si="4"/>
        <v>January</v>
      </c>
      <c r="D90" cm="1">
        <f t="array" ref="D90">INDEX(All_India_Index_Upto_April23__1___1[General index],
       MATCH(1,
            (All_India_Index_Upto_April23__1___1[Sector]="Rural+Urban") *
            (All_India_Index_Upto_April23__1___1[Year]=$B90) *
            (All_India_Index_Upto_April23__1___1[Month]=$C90),
       0))</f>
        <v>157.30000000000001</v>
      </c>
      <c r="E90" cm="1">
        <f t="array" ref="E90">INDEX(All_India_Index_Upto_April23__1___1[General index],
       MATCH(1,
            (All_India_Index_Upto_April23__1___1[Sector]="Rural+Urban") *
            (All_India_Index_Upto_April23__1___1[Year]=$B90-1) *
            (All_India_Index_Upto_April23__1___1[Month]=$C90),
       0))</f>
        <v>150.19999999999999</v>
      </c>
      <c r="F90" s="14">
        <f t="shared" si="5"/>
        <v>4.7270306258322389E-2</v>
      </c>
    </row>
    <row r="91" spans="1:6" x14ac:dyDescent="0.2">
      <c r="A91" s="1">
        <f t="shared" si="6"/>
        <v>44228</v>
      </c>
      <c r="B91">
        <f t="shared" si="3"/>
        <v>2021</v>
      </c>
      <c r="C91" t="str">
        <f t="shared" si="4"/>
        <v>February</v>
      </c>
      <c r="D91" cm="1">
        <f t="array" ref="D91">INDEX(All_India_Index_Upto_April23__1___1[General index],
       MATCH(1,
            (All_India_Index_Upto_April23__1___1[Sector]="Rural+Urban") *
            (All_India_Index_Upto_April23__1___1[Year]=$B91) *
            (All_India_Index_Upto_April23__1___1[Month]=$C91),
       0))</f>
        <v>156.6</v>
      </c>
      <c r="E91" cm="1">
        <f t="array" ref="E91">INDEX(All_India_Index_Upto_April23__1___1[General index],
       MATCH(1,
            (All_India_Index_Upto_April23__1___1[Sector]="Rural+Urban") *
            (All_India_Index_Upto_April23__1___1[Year]=$B91-1) *
            (All_India_Index_Upto_April23__1___1[Month]=$C91),
       0))</f>
        <v>149.1</v>
      </c>
      <c r="F91" s="14">
        <f t="shared" si="5"/>
        <v>5.030181086519115E-2</v>
      </c>
    </row>
    <row r="92" spans="1:6" x14ac:dyDescent="0.2">
      <c r="A92" s="1">
        <f t="shared" si="6"/>
        <v>44256</v>
      </c>
      <c r="B92">
        <f t="shared" si="3"/>
        <v>2021</v>
      </c>
      <c r="C92" t="str">
        <f t="shared" si="4"/>
        <v>March</v>
      </c>
      <c r="D92" cm="1">
        <f t="array" ref="D92">INDEX(All_India_Index_Upto_April23__1___1[General index],
       MATCH(1,
            (All_India_Index_Upto_April23__1___1[Sector]="Rural+Urban") *
            (All_India_Index_Upto_April23__1___1[Year]=$B92) *
            (All_India_Index_Upto_April23__1___1[Month]=$C92),
       0))</f>
        <v>156.80000000000001</v>
      </c>
      <c r="E92" cm="1">
        <f t="array" ref="E92">INDEX(All_India_Index_Upto_April23__1___1[General index],
       MATCH(1,
            (All_India_Index_Upto_April23__1___1[Sector]="Rural+Urban") *
            (All_India_Index_Upto_April23__1___1[Year]=$B92-1) *
            (All_India_Index_Upto_April23__1___1[Month]=$C92),
       0))</f>
        <v>148.6</v>
      </c>
      <c r="F92" s="14">
        <f t="shared" si="5"/>
        <v>5.5181695827725558E-2</v>
      </c>
    </row>
    <row r="93" spans="1:6" x14ac:dyDescent="0.2">
      <c r="A93" s="1">
        <f t="shared" si="6"/>
        <v>44287</v>
      </c>
      <c r="B93">
        <f t="shared" si="3"/>
        <v>2021</v>
      </c>
      <c r="C93" t="str">
        <f t="shared" si="4"/>
        <v>April</v>
      </c>
      <c r="D93" cm="1">
        <f t="array" ref="D93">INDEX(All_India_Index_Upto_April23__1___1[General index],
       MATCH(1,
            (All_India_Index_Upto_April23__1___1[Sector]="Rural+Urban") *
            (All_India_Index_Upto_April23__1___1[Year]=$B93) *
            (All_India_Index_Upto_April23__1___1[Month]=$C93),
       0))</f>
        <v>157.80000000000001</v>
      </c>
      <c r="E93" cm="1">
        <f t="array" ref="E93">INDEX(All_India_Index_Upto_April23__1___1[General index],
       MATCH(1,
            (All_India_Index_Upto_April23__1___1[Sector]="Rural+Urban") *
            (All_India_Index_Upto_April23__1___1[Year]=$B93-1) *
            (All_India_Index_Upto_April23__1___1[Month]=$C93),
       0))</f>
        <v>153.30000000000001</v>
      </c>
      <c r="F93" s="14">
        <f t="shared" si="5"/>
        <v>2.9354207436399216E-2</v>
      </c>
    </row>
    <row r="94" spans="1:6" x14ac:dyDescent="0.2">
      <c r="A94" s="1">
        <f t="shared" si="6"/>
        <v>44317</v>
      </c>
      <c r="B94">
        <f t="shared" si="3"/>
        <v>2021</v>
      </c>
      <c r="C94" t="str">
        <f t="shared" si="4"/>
        <v>May</v>
      </c>
      <c r="D94" cm="1">
        <f t="array" ref="D94">INDEX(All_India_Index_Upto_April23__1___1[General index],
       MATCH(1,
            (All_India_Index_Upto_April23__1___1[Sector]="Rural+Urban") *
            (All_India_Index_Upto_April23__1___1[Year]=$B94) *
            (All_India_Index_Upto_April23__1___1[Month]=$C94),
       0))</f>
        <v>160.4</v>
      </c>
      <c r="E94" cm="1">
        <f t="array" ref="E94">INDEX(All_India_Index_Upto_April23__1___1[General index],
       MATCH(1,
            (All_India_Index_Upto_April23__1___1[Sector]="Rural+Urban") *
            (All_India_Index_Upto_April23__1___1[Year]=$B94-1) *
            (All_India_Index_Upto_April23__1___1[Month]=$C94),
       0))</f>
        <v>151.5</v>
      </c>
      <c r="F94" s="14">
        <f t="shared" si="5"/>
        <v>5.8745874587458786E-2</v>
      </c>
    </row>
    <row r="95" spans="1:6" x14ac:dyDescent="0.2">
      <c r="A95" s="1">
        <f t="shared" si="6"/>
        <v>44348</v>
      </c>
      <c r="B95">
        <f t="shared" si="3"/>
        <v>2021</v>
      </c>
      <c r="C95" t="str">
        <f t="shared" si="4"/>
        <v>June</v>
      </c>
      <c r="D95" cm="1">
        <f t="array" ref="D95">INDEX(All_India_Index_Upto_April23__1___1[General index],
       MATCH(1,
            (All_India_Index_Upto_April23__1___1[Sector]="Rural+Urban") *
            (All_India_Index_Upto_April23__1___1[Year]=$B95) *
            (All_India_Index_Upto_April23__1___1[Month]=$C95),
       0))</f>
        <v>161.30000000000001</v>
      </c>
      <c r="E95" cm="1">
        <f t="array" ref="E95">INDEX(All_India_Index_Upto_April23__1___1[General index],
       MATCH(1,
            (All_India_Index_Upto_April23__1___1[Sector]="Rural+Urban") *
            (All_India_Index_Upto_April23__1___1[Year]=$B95-1) *
            (All_India_Index_Upto_April23__1___1[Month]=$C95),
       0))</f>
        <v>151.80000000000001</v>
      </c>
      <c r="F95" s="14">
        <f t="shared" si="5"/>
        <v>6.2582345191040833E-2</v>
      </c>
    </row>
    <row r="96" spans="1:6" x14ac:dyDescent="0.2">
      <c r="A96" s="1">
        <f>EDATE(A95,1)</f>
        <v>44378</v>
      </c>
      <c r="B96">
        <f t="shared" si="3"/>
        <v>2021</v>
      </c>
      <c r="C96" t="str">
        <f t="shared" si="4"/>
        <v>July</v>
      </c>
      <c r="D96" cm="1">
        <f t="array" ref="D96">INDEX(All_India_Index_Upto_April23__1___1[General index],
       MATCH(1,
            (All_India_Index_Upto_April23__1___1[Sector]="Rural+Urban") *
            (All_India_Index_Upto_April23__1___1[Year]=$B96) *
            (All_India_Index_Upto_April23__1___1[Month]=$C96),
       0))</f>
        <v>162.5</v>
      </c>
      <c r="E96" cm="1">
        <f t="array" ref="E96">INDEX(All_India_Index_Upto_April23__1___1[General index],
       MATCH(1,
            (All_India_Index_Upto_April23__1___1[Sector]="Rural+Urban") *
            (All_India_Index_Upto_April23__1___1[Year]=$B96-1) *
            (All_India_Index_Upto_April23__1___1[Month]=$C96),
       0))</f>
        <v>151.80000000000001</v>
      </c>
      <c r="F96" s="14">
        <f t="shared" si="5"/>
        <v>7.0487483530961709E-2</v>
      </c>
    </row>
    <row r="97" spans="1:6" x14ac:dyDescent="0.2">
      <c r="A97" s="1">
        <f t="shared" si="6"/>
        <v>44409</v>
      </c>
      <c r="B97">
        <f t="shared" si="3"/>
        <v>2021</v>
      </c>
      <c r="C97" t="str">
        <f t="shared" si="4"/>
        <v>August</v>
      </c>
      <c r="D97" cm="1">
        <f t="array" ref="D97">INDEX(All_India_Index_Upto_April23__1___1[General index],
       MATCH(1,
            (All_India_Index_Upto_April23__1___1[Sector]="Rural+Urban") *
            (All_India_Index_Upto_April23__1___1[Year]=$B97) *
            (All_India_Index_Upto_April23__1___1[Month]=$C97),
       0))</f>
        <v>163.19999999999999</v>
      </c>
      <c r="E97" cm="1">
        <f t="array" ref="E97">INDEX(All_India_Index_Upto_April23__1___1[General index],
       MATCH(1,
            (All_India_Index_Upto_April23__1___1[Sector]="Rural+Urban") *
            (All_India_Index_Upto_April23__1___1[Year]=$B97-1) *
            (All_India_Index_Upto_April23__1___1[Month]=$C97),
       0))</f>
        <v>153.9</v>
      </c>
      <c r="F97" s="14">
        <f t="shared" si="5"/>
        <v>6.0428849902533999E-2</v>
      </c>
    </row>
    <row r="98" spans="1:6" x14ac:dyDescent="0.2">
      <c r="A98" s="1">
        <f t="shared" si="6"/>
        <v>44440</v>
      </c>
      <c r="B98">
        <f t="shared" si="3"/>
        <v>2021</v>
      </c>
      <c r="C98" t="str">
        <f t="shared" si="4"/>
        <v>September</v>
      </c>
      <c r="D98" cm="1">
        <f t="array" ref="D98">INDEX(All_India_Index_Upto_April23__1___1[General index],
       MATCH(1,
            (All_India_Index_Upto_April23__1___1[Sector]="Rural+Urban") *
            (All_India_Index_Upto_April23__1___1[Year]=$B98) *
            (All_India_Index_Upto_April23__1___1[Month]=$C98),
       0))</f>
        <v>163.19999999999999</v>
      </c>
      <c r="E98" cm="1">
        <f t="array" ref="E98">INDEX(All_India_Index_Upto_April23__1___1[General index],
       MATCH(1,
            (All_India_Index_Upto_April23__1___1[Sector]="Rural+Urban") *
            (All_India_Index_Upto_April23__1___1[Year]=$B98-1) *
            (All_India_Index_Upto_April23__1___1[Month]=$C98),
       0))</f>
        <v>154.69999999999999</v>
      </c>
      <c r="F98" s="14">
        <f t="shared" si="5"/>
        <v>5.4945054945054951E-2</v>
      </c>
    </row>
    <row r="99" spans="1:6" x14ac:dyDescent="0.2">
      <c r="A99" s="1">
        <f t="shared" si="6"/>
        <v>44470</v>
      </c>
      <c r="B99">
        <f t="shared" si="3"/>
        <v>2021</v>
      </c>
      <c r="C99" t="str">
        <f t="shared" si="4"/>
        <v>October</v>
      </c>
      <c r="D99" cm="1">
        <f t="array" ref="D99">INDEX(All_India_Index_Upto_April23__1___1[General index],
       MATCH(1,
            (All_India_Index_Upto_April23__1___1[Sector]="Rural+Urban") *
            (All_India_Index_Upto_April23__1___1[Year]=$B99) *
            (All_India_Index_Upto_April23__1___1[Month]=$C99),
       0))</f>
        <v>165.5</v>
      </c>
      <c r="E99" cm="1">
        <f t="array" ref="E99">INDEX(All_India_Index_Upto_April23__1___1[General index],
       MATCH(1,
            (All_India_Index_Upto_April23__1___1[Sector]="Rural+Urban") *
            (All_India_Index_Upto_April23__1___1[Year]=$B99-1) *
            (All_India_Index_Upto_April23__1___1[Month]=$C99),
       0))</f>
        <v>156.4</v>
      </c>
      <c r="F99" s="14">
        <f t="shared" si="5"/>
        <v>5.8184143222506354E-2</v>
      </c>
    </row>
    <row r="100" spans="1:6" x14ac:dyDescent="0.2">
      <c r="A100" s="1">
        <f t="shared" si="6"/>
        <v>44501</v>
      </c>
      <c r="B100">
        <f t="shared" si="3"/>
        <v>2021</v>
      </c>
      <c r="C100" t="str">
        <f t="shared" si="4"/>
        <v>November</v>
      </c>
      <c r="D100" cm="1">
        <f t="array" ref="D100">INDEX(All_India_Index_Upto_April23__1___1[General index],
       MATCH(1,
            (All_India_Index_Upto_April23__1___1[Sector]="Rural+Urban") *
            (All_India_Index_Upto_April23__1___1[Year]=$B100) *
            (All_India_Index_Upto_April23__1___1[Month]=$C100),
       0))</f>
        <v>166.7</v>
      </c>
      <c r="E100" cm="1">
        <f t="array" ref="E100">INDEX(All_India_Index_Upto_April23__1___1[General index],
       MATCH(1,
            (All_India_Index_Upto_April23__1___1[Sector]="Rural+Urban") *
            (All_India_Index_Upto_April23__1___1[Year]=$B100-1) *
            (All_India_Index_Upto_April23__1___1[Month]=$C100),
       0))</f>
        <v>158.4</v>
      </c>
      <c r="F100" s="14">
        <f t="shared" si="5"/>
        <v>5.2398989898989792E-2</v>
      </c>
    </row>
    <row r="101" spans="1:6" x14ac:dyDescent="0.2">
      <c r="A101" s="1">
        <f t="shared" si="6"/>
        <v>44531</v>
      </c>
      <c r="B101">
        <f t="shared" si="3"/>
        <v>2021</v>
      </c>
      <c r="C101" t="str">
        <f t="shared" si="4"/>
        <v>December</v>
      </c>
      <c r="D101" cm="1">
        <f t="array" ref="D101">INDEX(All_India_Index_Upto_April23__1___1[General index],
       MATCH(1,
            (All_India_Index_Upto_April23__1___1[Sector]="Rural+Urban") *
            (All_India_Index_Upto_April23__1___1[Year]=$B101) *
            (All_India_Index_Upto_April23__1___1[Month]=$C101),
       0))</f>
        <v>166.2</v>
      </c>
      <c r="E101" cm="1">
        <f t="array" ref="E101">INDEX(All_India_Index_Upto_April23__1___1[General index],
       MATCH(1,
            (All_India_Index_Upto_April23__1___1[Sector]="Rural+Urban") *
            (All_India_Index_Upto_April23__1___1[Year]=$B101-1) *
            (All_India_Index_Upto_April23__1___1[Month]=$C101),
       0))</f>
        <v>158.9</v>
      </c>
      <c r="F101" s="14">
        <f t="shared" si="5"/>
        <v>4.5940843297671383E-2</v>
      </c>
    </row>
    <row r="102" spans="1:6" x14ac:dyDescent="0.2">
      <c r="A102" s="1">
        <f t="shared" si="6"/>
        <v>44562</v>
      </c>
      <c r="B102">
        <f t="shared" si="3"/>
        <v>2022</v>
      </c>
      <c r="C102" t="str">
        <f t="shared" si="4"/>
        <v>January</v>
      </c>
      <c r="D102" cm="1">
        <f t="array" ref="D102">INDEX(All_India_Index_Upto_April23__1___1[General index],
       MATCH(1,
            (All_India_Index_Upto_April23__1___1[Sector]="Rural+Urban") *
            (All_India_Index_Upto_April23__1___1[Year]=$B102) *
            (All_India_Index_Upto_April23__1___1[Month]=$C102),
       0))</f>
        <v>165.7</v>
      </c>
      <c r="E102" cm="1">
        <f t="array" ref="E102">INDEX(All_India_Index_Upto_April23__1___1[General index],
       MATCH(1,
            (All_India_Index_Upto_April23__1___1[Sector]="Rural+Urban") *
            (All_India_Index_Upto_April23__1___1[Year]=$B102-1) *
            (All_India_Index_Upto_April23__1___1[Month]=$C102),
       0))</f>
        <v>157.30000000000001</v>
      </c>
      <c r="F102" s="14">
        <f t="shared" si="5"/>
        <v>5.3401144310235071E-2</v>
      </c>
    </row>
    <row r="103" spans="1:6" x14ac:dyDescent="0.2">
      <c r="A103" s="1">
        <f t="shared" si="6"/>
        <v>44593</v>
      </c>
      <c r="B103">
        <f t="shared" si="3"/>
        <v>2022</v>
      </c>
      <c r="C103" t="str">
        <f t="shared" si="4"/>
        <v>February</v>
      </c>
      <c r="D103" cm="1">
        <f t="array" ref="D103">INDEX(All_India_Index_Upto_April23__1___1[General index],
       MATCH(1,
            (All_India_Index_Upto_April23__1___1[Sector]="Rural+Urban") *
            (All_India_Index_Upto_April23__1___1[Year]=$B103) *
            (All_India_Index_Upto_April23__1___1[Month]=$C103),
       0))</f>
        <v>166.1</v>
      </c>
      <c r="E103" cm="1">
        <f t="array" ref="E103">INDEX(All_India_Index_Upto_April23__1___1[General index],
       MATCH(1,
            (All_India_Index_Upto_April23__1___1[Sector]="Rural+Urban") *
            (All_India_Index_Upto_April23__1___1[Year]=$B103-1) *
            (All_India_Index_Upto_April23__1___1[Month]=$C103),
       0))</f>
        <v>156.6</v>
      </c>
      <c r="F103" s="14">
        <f t="shared" si="5"/>
        <v>6.066411238825032E-2</v>
      </c>
    </row>
    <row r="104" spans="1:6" x14ac:dyDescent="0.2">
      <c r="A104" s="1">
        <f t="shared" si="6"/>
        <v>44621</v>
      </c>
      <c r="B104">
        <f t="shared" si="3"/>
        <v>2022</v>
      </c>
      <c r="C104" t="str">
        <f t="shared" si="4"/>
        <v>March</v>
      </c>
      <c r="D104" cm="1">
        <f t="array" ref="D104">INDEX(All_India_Index_Upto_April23__1___1[General index],
       MATCH(1,
            (All_India_Index_Upto_April23__1___1[Sector]="Rural+Urban") *
            (All_India_Index_Upto_April23__1___1[Year]=$B104) *
            (All_India_Index_Upto_April23__1___1[Month]=$C104),
       0))</f>
        <v>167.7</v>
      </c>
      <c r="E104" cm="1">
        <f t="array" ref="E104">INDEX(All_India_Index_Upto_April23__1___1[General index],
       MATCH(1,
            (All_India_Index_Upto_April23__1___1[Sector]="Rural+Urban") *
            (All_India_Index_Upto_April23__1___1[Year]=$B104-1) *
            (All_India_Index_Upto_April23__1___1[Month]=$C104),
       0))</f>
        <v>156.80000000000001</v>
      </c>
      <c r="F104" s="14">
        <f t="shared" si="5"/>
        <v>6.9515306122448828E-2</v>
      </c>
    </row>
    <row r="105" spans="1:6" x14ac:dyDescent="0.2">
      <c r="A105" s="1">
        <f t="shared" si="6"/>
        <v>44652</v>
      </c>
      <c r="B105">
        <f t="shared" si="3"/>
        <v>2022</v>
      </c>
      <c r="C105" t="str">
        <f t="shared" si="4"/>
        <v>April</v>
      </c>
      <c r="D105" cm="1">
        <f t="array" ref="D105">INDEX(All_India_Index_Upto_April23__1___1[General index],
       MATCH(1,
            (All_India_Index_Upto_April23__1___1[Sector]="Rural+Urban") *
            (All_India_Index_Upto_April23__1___1[Year]=$B105) *
            (All_India_Index_Upto_April23__1___1[Month]=$C105),
       0))</f>
        <v>170.1</v>
      </c>
      <c r="E105" cm="1">
        <f t="array" ref="E105">INDEX(All_India_Index_Upto_April23__1___1[General index],
       MATCH(1,
            (All_India_Index_Upto_April23__1___1[Sector]="Rural+Urban") *
            (All_India_Index_Upto_April23__1___1[Year]=$B105-1) *
            (All_India_Index_Upto_April23__1___1[Month]=$C105),
       0))</f>
        <v>157.80000000000001</v>
      </c>
      <c r="F105" s="14">
        <f t="shared" si="5"/>
        <v>7.7946768060836391E-2</v>
      </c>
    </row>
    <row r="106" spans="1:6" x14ac:dyDescent="0.2">
      <c r="A106" s="1">
        <f t="shared" si="6"/>
        <v>44682</v>
      </c>
      <c r="B106">
        <f t="shared" si="3"/>
        <v>2022</v>
      </c>
      <c r="C106" t="str">
        <f t="shared" si="4"/>
        <v>May</v>
      </c>
      <c r="D106" cm="1">
        <f t="array" ref="D106">INDEX(All_India_Index_Upto_April23__1___1[General index],
       MATCH(1,
            (All_India_Index_Upto_April23__1___1[Sector]="Rural+Urban") *
            (All_India_Index_Upto_April23__1___1[Year]=$B106) *
            (All_India_Index_Upto_April23__1___1[Month]=$C106),
       0))</f>
        <v>171.7</v>
      </c>
      <c r="E106" cm="1">
        <f t="array" ref="E106">INDEX(All_India_Index_Upto_April23__1___1[General index],
       MATCH(1,
            (All_India_Index_Upto_April23__1___1[Sector]="Rural+Urban") *
            (All_India_Index_Upto_April23__1___1[Year]=$B106-1) *
            (All_India_Index_Upto_April23__1___1[Month]=$C106),
       0))</f>
        <v>160.4</v>
      </c>
      <c r="F106" s="14">
        <f t="shared" si="5"/>
        <v>7.0448877805486171E-2</v>
      </c>
    </row>
    <row r="107" spans="1:6" x14ac:dyDescent="0.2">
      <c r="A107" s="1">
        <f t="shared" si="6"/>
        <v>44713</v>
      </c>
      <c r="B107">
        <f t="shared" ref="B107:B118" si="7">YEAR(A107)</f>
        <v>2022</v>
      </c>
      <c r="C107" t="str">
        <f t="shared" ref="C107:C118" si="8">TEXT(A107,"mmmm")</f>
        <v>June</v>
      </c>
      <c r="D107" cm="1">
        <f t="array" ref="D107">INDEX(All_India_Index_Upto_April23__1___1[General index],
       MATCH(1,
            (All_India_Index_Upto_April23__1___1[Sector]="Rural+Urban") *
            (All_India_Index_Upto_April23__1___1[Year]=$B107) *
            (All_India_Index_Upto_April23__1___1[Month]=$C107),
       0))</f>
        <v>172.6</v>
      </c>
      <c r="E107" cm="1">
        <f t="array" ref="E107">INDEX(All_India_Index_Upto_April23__1___1[General index],
       MATCH(1,
            (All_India_Index_Upto_April23__1___1[Sector]="Rural+Urban") *
            (All_India_Index_Upto_April23__1___1[Year]=$B107-1) *
            (All_India_Index_Upto_April23__1___1[Month]=$C107),
       0))</f>
        <v>161.30000000000001</v>
      </c>
      <c r="F107" s="14">
        <f t="shared" ref="F107:F118" si="9">(D107-E107)/E107</f>
        <v>7.0055796652200755E-2</v>
      </c>
    </row>
    <row r="108" spans="1:6" x14ac:dyDescent="0.2">
      <c r="A108" s="1">
        <f t="shared" ref="A108:A118" si="10">EDATE(A107,1)</f>
        <v>44743</v>
      </c>
      <c r="B108">
        <f t="shared" si="7"/>
        <v>2022</v>
      </c>
      <c r="C108" t="str">
        <f t="shared" si="8"/>
        <v>July</v>
      </c>
      <c r="D108" cm="1">
        <f t="array" ref="D108">INDEX(All_India_Index_Upto_April23__1___1[General index],
       MATCH(1,
            (All_India_Index_Upto_April23__1___1[Sector]="Rural+Urban") *
            (All_India_Index_Upto_April23__1___1[Year]=$B108) *
            (All_India_Index_Upto_April23__1___1[Month]=$C108),
       0))</f>
        <v>173.4</v>
      </c>
      <c r="E108" cm="1">
        <f t="array" ref="E108">INDEX(All_India_Index_Upto_April23__1___1[General index],
       MATCH(1,
            (All_India_Index_Upto_April23__1___1[Sector]="Rural+Urban") *
            (All_India_Index_Upto_April23__1___1[Year]=$B108-1) *
            (All_India_Index_Upto_April23__1___1[Month]=$C108),
       0))</f>
        <v>162.5</v>
      </c>
      <c r="F108" s="14">
        <f t="shared" si="9"/>
        <v>6.7076923076923117E-2</v>
      </c>
    </row>
    <row r="109" spans="1:6" x14ac:dyDescent="0.2">
      <c r="A109" s="1">
        <f t="shared" si="10"/>
        <v>44774</v>
      </c>
      <c r="B109">
        <f t="shared" si="7"/>
        <v>2022</v>
      </c>
      <c r="C109" t="str">
        <f t="shared" si="8"/>
        <v>August</v>
      </c>
      <c r="D109" cm="1">
        <f t="array" ref="D109">INDEX(All_India_Index_Upto_April23__1___1[General index],
       MATCH(1,
            (All_India_Index_Upto_April23__1___1[Sector]="Rural+Urban") *
            (All_India_Index_Upto_April23__1___1[Year]=$B109) *
            (All_India_Index_Upto_April23__1___1[Month]=$C109),
       0))</f>
        <v>174.3</v>
      </c>
      <c r="E109" cm="1">
        <f t="array" ref="E109">INDEX(All_India_Index_Upto_April23__1___1[General index],
       MATCH(1,
            (All_India_Index_Upto_April23__1___1[Sector]="Rural+Urban") *
            (All_India_Index_Upto_April23__1___1[Year]=$B109-1) *
            (All_India_Index_Upto_April23__1___1[Month]=$C109),
       0))</f>
        <v>163.19999999999999</v>
      </c>
      <c r="F109" s="14">
        <f t="shared" si="9"/>
        <v>6.8014705882353088E-2</v>
      </c>
    </row>
    <row r="110" spans="1:6" x14ac:dyDescent="0.2">
      <c r="A110" s="1">
        <f t="shared" si="10"/>
        <v>44805</v>
      </c>
      <c r="B110">
        <f t="shared" si="7"/>
        <v>2022</v>
      </c>
      <c r="C110" t="str">
        <f t="shared" si="8"/>
        <v>September</v>
      </c>
      <c r="D110" cm="1">
        <f t="array" ref="D110">INDEX(All_India_Index_Upto_April23__1___1[General index],
       MATCH(1,
            (All_India_Index_Upto_April23__1___1[Sector]="Rural+Urban") *
            (All_India_Index_Upto_April23__1___1[Year]=$B110) *
            (All_India_Index_Upto_April23__1___1[Month]=$C110),
       0))</f>
        <v>175.3</v>
      </c>
      <c r="E110" cm="1">
        <f t="array" ref="E110">INDEX(All_India_Index_Upto_April23__1___1[General index],
       MATCH(1,
            (All_India_Index_Upto_April23__1___1[Sector]="Rural+Urban") *
            (All_India_Index_Upto_April23__1___1[Year]=$B110-1) *
            (All_India_Index_Upto_April23__1___1[Month]=$C110),
       0))</f>
        <v>163.19999999999999</v>
      </c>
      <c r="F110" s="14">
        <f t="shared" si="9"/>
        <v>7.4142156862745237E-2</v>
      </c>
    </row>
    <row r="111" spans="1:6" x14ac:dyDescent="0.2">
      <c r="A111" s="1">
        <f t="shared" si="10"/>
        <v>44835</v>
      </c>
      <c r="B111">
        <f t="shared" si="7"/>
        <v>2022</v>
      </c>
      <c r="C111" t="str">
        <f t="shared" si="8"/>
        <v>October</v>
      </c>
      <c r="D111" cm="1">
        <f t="array" ref="D111">INDEX(All_India_Index_Upto_April23__1___1[General index],
       MATCH(1,
            (All_India_Index_Upto_April23__1___1[Sector]="Rural+Urban") *
            (All_India_Index_Upto_April23__1___1[Year]=$B111) *
            (All_India_Index_Upto_April23__1___1[Month]=$C111),
       0))</f>
        <v>176.7</v>
      </c>
      <c r="E111" cm="1">
        <f t="array" ref="E111">INDEX(All_India_Index_Upto_April23__1___1[General index],
       MATCH(1,
            (All_India_Index_Upto_April23__1___1[Sector]="Rural+Urban") *
            (All_India_Index_Upto_April23__1___1[Year]=$B111-1) *
            (All_India_Index_Upto_April23__1___1[Month]=$C111),
       0))</f>
        <v>165.5</v>
      </c>
      <c r="F111" s="14">
        <f t="shared" si="9"/>
        <v>6.7673716012084523E-2</v>
      </c>
    </row>
    <row r="112" spans="1:6" x14ac:dyDescent="0.2">
      <c r="A112" s="1">
        <f t="shared" si="10"/>
        <v>44866</v>
      </c>
      <c r="B112">
        <f t="shared" si="7"/>
        <v>2022</v>
      </c>
      <c r="C112" t="str">
        <f t="shared" si="8"/>
        <v>November</v>
      </c>
      <c r="D112" cm="1">
        <f t="array" ref="D112">INDEX(All_India_Index_Upto_April23__1___1[General index],
       MATCH(1,
            (All_India_Index_Upto_April23__1___1[Sector]="Rural+Urban") *
            (All_India_Index_Upto_April23__1___1[Year]=$B112) *
            (All_India_Index_Upto_April23__1___1[Month]=$C112),
       0))</f>
        <v>176.5</v>
      </c>
      <c r="E112" cm="1">
        <f t="array" ref="E112">INDEX(All_India_Index_Upto_April23__1___1[General index],
       MATCH(1,
            (All_India_Index_Upto_April23__1___1[Sector]="Rural+Urban") *
            (All_India_Index_Upto_April23__1___1[Year]=$B112-1) *
            (All_India_Index_Upto_April23__1___1[Month]=$C112),
       0))</f>
        <v>166.7</v>
      </c>
      <c r="F112" s="14">
        <f t="shared" si="9"/>
        <v>5.8788242351529768E-2</v>
      </c>
    </row>
    <row r="113" spans="1:6" x14ac:dyDescent="0.2">
      <c r="A113" s="1">
        <f t="shared" si="10"/>
        <v>44896</v>
      </c>
      <c r="B113">
        <f t="shared" si="7"/>
        <v>2022</v>
      </c>
      <c r="C113" t="str">
        <f t="shared" si="8"/>
        <v>December</v>
      </c>
      <c r="D113" cm="1">
        <f t="array" ref="D113">INDEX(All_India_Index_Upto_April23__1___1[General index],
       MATCH(1,
            (All_India_Index_Upto_April23__1___1[Sector]="Rural+Urban") *
            (All_India_Index_Upto_April23__1___1[Year]=$B113) *
            (All_India_Index_Upto_April23__1___1[Month]=$C113),
       0))</f>
        <v>175.7</v>
      </c>
      <c r="E113" cm="1">
        <f t="array" ref="E113">INDEX(All_India_Index_Upto_April23__1___1[General index],
       MATCH(1,
            (All_India_Index_Upto_April23__1___1[Sector]="Rural+Urban") *
            (All_India_Index_Upto_April23__1___1[Year]=$B113-1) *
            (All_India_Index_Upto_April23__1___1[Month]=$C113),
       0))</f>
        <v>166.2</v>
      </c>
      <c r="F113" s="14">
        <f t="shared" si="9"/>
        <v>5.7160048134777382E-2</v>
      </c>
    </row>
    <row r="114" spans="1:6" x14ac:dyDescent="0.2">
      <c r="A114" s="1">
        <f t="shared" si="10"/>
        <v>44927</v>
      </c>
      <c r="B114">
        <f t="shared" si="7"/>
        <v>2023</v>
      </c>
      <c r="C114" t="str">
        <f t="shared" si="8"/>
        <v>January</v>
      </c>
      <c r="D114" cm="1">
        <f t="array" ref="D114">INDEX(All_India_Index_Upto_April23__1___1[General index],
       MATCH(1,
            (All_India_Index_Upto_April23__1___1[Sector]="Rural+Urban") *
            (All_India_Index_Upto_April23__1___1[Year]=$B114) *
            (All_India_Index_Upto_April23__1___1[Month]=$C114),
       0))</f>
        <v>176.5</v>
      </c>
      <c r="E114" cm="1">
        <f t="array" ref="E114">INDEX(All_India_Index_Upto_April23__1___1[General index],
       MATCH(1,
            (All_India_Index_Upto_April23__1___1[Sector]="Rural+Urban") *
            (All_India_Index_Upto_April23__1___1[Year]=$B114-1) *
            (All_India_Index_Upto_April23__1___1[Month]=$C114),
       0))</f>
        <v>165.7</v>
      </c>
      <c r="F114" s="14">
        <f t="shared" si="9"/>
        <v>6.5178032589016374E-2</v>
      </c>
    </row>
    <row r="115" spans="1:6" x14ac:dyDescent="0.2">
      <c r="A115" s="1">
        <f t="shared" si="10"/>
        <v>44958</v>
      </c>
      <c r="B115">
        <f t="shared" si="7"/>
        <v>2023</v>
      </c>
      <c r="C115" t="str">
        <f t="shared" si="8"/>
        <v>February</v>
      </c>
      <c r="D115" cm="1">
        <f t="array" ref="D115">INDEX(All_India_Index_Upto_April23__1___1[General index],
       MATCH(1,
            (All_India_Index_Upto_April23__1___1[Sector]="Rural+Urban") *
            (All_India_Index_Upto_April23__1___1[Year]=$B115) *
            (All_India_Index_Upto_April23__1___1[Month]=$C115),
       0))</f>
        <v>177.2</v>
      </c>
      <c r="E115" cm="1">
        <f t="array" ref="E115">INDEX(All_India_Index_Upto_April23__1___1[General index],
       MATCH(1,
            (All_India_Index_Upto_April23__1___1[Sector]="Rural+Urban") *
            (All_India_Index_Upto_April23__1___1[Year]=$B115-1) *
            (All_India_Index_Upto_April23__1___1[Month]=$C115),
       0))</f>
        <v>166.1</v>
      </c>
      <c r="F115" s="14">
        <f t="shared" si="9"/>
        <v>6.6827212522576729E-2</v>
      </c>
    </row>
    <row r="116" spans="1:6" x14ac:dyDescent="0.2">
      <c r="A116" s="1">
        <f t="shared" si="10"/>
        <v>44986</v>
      </c>
      <c r="B116">
        <f t="shared" si="7"/>
        <v>2023</v>
      </c>
      <c r="C116" t="str">
        <f t="shared" si="8"/>
        <v>March</v>
      </c>
      <c r="D116" cm="1">
        <f t="array" ref="D116">INDEX(All_India_Index_Upto_April23__1___1[General index],
       MATCH(1,
            (All_India_Index_Upto_April23__1___1[Sector]="Rural+Urban") *
            (All_India_Index_Upto_April23__1___1[Year]=$B116) *
            (All_India_Index_Upto_April23__1___1[Month]=$C116),
       0))</f>
        <v>177.2</v>
      </c>
      <c r="E116" cm="1">
        <f t="array" ref="E116">INDEX(All_India_Index_Upto_April23__1___1[General index],
       MATCH(1,
            (All_India_Index_Upto_April23__1___1[Sector]="Rural+Urban") *
            (All_India_Index_Upto_April23__1___1[Year]=$B116-1) *
            (All_India_Index_Upto_April23__1___1[Month]=$C116),
       0))</f>
        <v>167.7</v>
      </c>
      <c r="F116" s="14">
        <f t="shared" si="9"/>
        <v>5.6648777579010143E-2</v>
      </c>
    </row>
    <row r="117" spans="1:6" x14ac:dyDescent="0.2">
      <c r="A117" s="1">
        <f t="shared" si="10"/>
        <v>45017</v>
      </c>
      <c r="B117">
        <f t="shared" si="7"/>
        <v>2023</v>
      </c>
      <c r="C117" t="str">
        <f t="shared" si="8"/>
        <v>April</v>
      </c>
      <c r="D117" cm="1">
        <f t="array" ref="D117">INDEX(All_India_Index_Upto_April23__1___1[General index],
       MATCH(1,
            (All_India_Index_Upto_April23__1___1[Sector]="Rural+Urban") *
            (All_India_Index_Upto_April23__1___1[Year]=$B117) *
            (All_India_Index_Upto_April23__1___1[Month]=$C117),
       0))</f>
        <v>178.1</v>
      </c>
      <c r="E117" cm="1">
        <f t="array" ref="E117">INDEX(All_India_Index_Upto_April23__1___1[General index],
       MATCH(1,
            (All_India_Index_Upto_April23__1___1[Sector]="Rural+Urban") *
            (All_India_Index_Upto_April23__1___1[Year]=$B117-1) *
            (All_India_Index_Upto_April23__1___1[Month]=$C117),
       0))</f>
        <v>170.1</v>
      </c>
      <c r="F117" s="14">
        <f t="shared" si="9"/>
        <v>4.7031158142269255E-2</v>
      </c>
    </row>
    <row r="118" spans="1:6" x14ac:dyDescent="0.2">
      <c r="A118" s="1">
        <f t="shared" si="10"/>
        <v>45047</v>
      </c>
      <c r="B118">
        <f t="shared" si="7"/>
        <v>2023</v>
      </c>
      <c r="C118" t="str">
        <f t="shared" si="8"/>
        <v>May</v>
      </c>
      <c r="D118" cm="1">
        <f t="array" ref="D118">INDEX(All_India_Index_Upto_April23__1___1[General index],
       MATCH(1,
            (All_India_Index_Upto_April23__1___1[Sector]="Rural+Urban") *
            (All_India_Index_Upto_April23__1___1[Year]=$B118) *
            (All_India_Index_Upto_April23__1___1[Month]=$C118),
       0))</f>
        <v>179.1</v>
      </c>
      <c r="E118" cm="1">
        <f t="array" ref="E118">INDEX(All_India_Index_Upto_April23__1___1[General index],
       MATCH(1,
            (All_India_Index_Upto_April23__1___1[Sector]="Rural+Urban") *
            (All_India_Index_Upto_April23__1___1[Year]=$B118-1) *
            (All_India_Index_Upto_April23__1___1[Month]=$C118),
       0))</f>
        <v>171.7</v>
      </c>
      <c r="F118" s="14">
        <f t="shared" si="9"/>
        <v>4.3098427489807842E-2</v>
      </c>
    </row>
    <row r="119" spans="1:6" x14ac:dyDescent="0.2">
      <c r="A119" s="1"/>
    </row>
    <row r="120" spans="1:6" x14ac:dyDescent="0.2">
      <c r="A120" s="1"/>
    </row>
    <row r="121" spans="1:6" x14ac:dyDescent="0.2">
      <c r="A121" s="1"/>
    </row>
    <row r="122" spans="1:6" x14ac:dyDescent="0.2">
      <c r="A122" s="1"/>
    </row>
    <row r="123" spans="1:6" x14ac:dyDescent="0.2">
      <c r="A123" s="1"/>
    </row>
    <row r="124" spans="1:6" x14ac:dyDescent="0.2">
      <c r="A124" s="1"/>
    </row>
    <row r="125" spans="1:6" x14ac:dyDescent="0.2">
      <c r="A125" s="1"/>
    </row>
    <row r="126" spans="1:6" x14ac:dyDescent="0.2">
      <c r="A126" s="1"/>
    </row>
    <row r="127" spans="1:6" x14ac:dyDescent="0.2">
      <c r="A127" s="1"/>
    </row>
    <row r="128" spans="1:6" x14ac:dyDescent="0.2">
      <c r="A128" s="1"/>
    </row>
    <row r="129" spans="1:1" x14ac:dyDescent="0.2">
      <c r="A129" s="1"/>
    </row>
    <row r="130" spans="1:1" x14ac:dyDescent="0.2">
      <c r="A130" s="1"/>
    </row>
    <row r="131" spans="1:1" x14ac:dyDescent="0.2">
      <c r="A131" s="1"/>
    </row>
    <row r="132" spans="1:1" x14ac:dyDescent="0.2">
      <c r="A132" s="1"/>
    </row>
    <row r="133" spans="1:1" x14ac:dyDescent="0.2">
      <c r="A133" s="1"/>
    </row>
    <row r="134" spans="1:1" x14ac:dyDescent="0.2">
      <c r="A134" s="1"/>
    </row>
    <row r="135" spans="1:1" x14ac:dyDescent="0.2">
      <c r="A135" s="1"/>
    </row>
    <row r="136" spans="1:1" x14ac:dyDescent="0.2">
      <c r="A136" s="1"/>
    </row>
    <row r="137" spans="1:1" x14ac:dyDescent="0.2">
      <c r="A137" s="1"/>
    </row>
    <row r="138" spans="1:1" x14ac:dyDescent="0.2">
      <c r="A138" s="1"/>
    </row>
    <row r="139" spans="1:1" x14ac:dyDescent="0.2">
      <c r="A139" s="1"/>
    </row>
    <row r="140" spans="1:1" x14ac:dyDescent="0.2">
      <c r="A140" s="1"/>
    </row>
    <row r="141" spans="1:1" x14ac:dyDescent="0.2">
      <c r="A141" s="1"/>
    </row>
    <row r="142" spans="1:1" x14ac:dyDescent="0.2">
      <c r="A142" s="1"/>
    </row>
    <row r="143" spans="1:1" x14ac:dyDescent="0.2">
      <c r="A143" s="1"/>
    </row>
    <row r="144" spans="1:1" x14ac:dyDescent="0.2">
      <c r="A144" s="1"/>
    </row>
    <row r="145" spans="1:1" x14ac:dyDescent="0.2">
      <c r="A145" s="1"/>
    </row>
    <row r="146" spans="1:1" x14ac:dyDescent="0.2">
      <c r="A146" s="1"/>
    </row>
    <row r="147" spans="1:1" x14ac:dyDescent="0.2">
      <c r="A147" s="1"/>
    </row>
    <row r="148" spans="1:1" x14ac:dyDescent="0.2">
      <c r="A148" s="1"/>
    </row>
    <row r="149" spans="1:1" x14ac:dyDescent="0.2">
      <c r="A149" s="1"/>
    </row>
    <row r="150" spans="1:1" x14ac:dyDescent="0.2">
      <c r="A150" s="1"/>
    </row>
    <row r="151" spans="1:1" x14ac:dyDescent="0.2">
      <c r="A151" s="1"/>
    </row>
    <row r="152" spans="1:1" x14ac:dyDescent="0.2">
      <c r="A152" s="1"/>
    </row>
    <row r="153" spans="1:1" x14ac:dyDescent="0.2">
      <c r="A153" s="1"/>
    </row>
    <row r="154" spans="1:1" x14ac:dyDescent="0.2">
      <c r="A154" s="1"/>
    </row>
    <row r="155" spans="1:1" x14ac:dyDescent="0.2">
      <c r="A155" s="1"/>
    </row>
    <row r="156" spans="1:1" x14ac:dyDescent="0.2">
      <c r="A156" s="1"/>
    </row>
    <row r="157" spans="1:1" x14ac:dyDescent="0.2">
      <c r="A157" s="1"/>
    </row>
    <row r="158" spans="1:1" x14ac:dyDescent="0.2">
      <c r="A158" s="1"/>
    </row>
    <row r="159" spans="1:1" x14ac:dyDescent="0.2">
      <c r="A159" s="1"/>
    </row>
    <row r="160" spans="1:1" x14ac:dyDescent="0.2">
      <c r="A160" s="1"/>
    </row>
    <row r="161" spans="1:1" x14ac:dyDescent="0.2">
      <c r="A161" s="1"/>
    </row>
    <row r="162" spans="1:1" x14ac:dyDescent="0.2">
      <c r="A162" s="1"/>
    </row>
    <row r="163" spans="1:1" x14ac:dyDescent="0.2">
      <c r="A163" s="1"/>
    </row>
    <row r="164" spans="1:1" x14ac:dyDescent="0.2">
      <c r="A164" s="1"/>
    </row>
    <row r="165" spans="1:1" x14ac:dyDescent="0.2">
      <c r="A165" s="1"/>
    </row>
    <row r="166" spans="1:1" x14ac:dyDescent="0.2">
      <c r="A166" s="1"/>
    </row>
    <row r="167" spans="1:1" x14ac:dyDescent="0.2">
      <c r="A167" s="1"/>
    </row>
    <row r="168" spans="1:1" x14ac:dyDescent="0.2">
      <c r="A168" s="1"/>
    </row>
    <row r="169" spans="1:1" x14ac:dyDescent="0.2">
      <c r="A169" s="1"/>
    </row>
    <row r="170" spans="1:1" x14ac:dyDescent="0.2">
      <c r="A170" s="1"/>
    </row>
    <row r="171" spans="1:1" x14ac:dyDescent="0.2">
      <c r="A171" s="1"/>
    </row>
    <row r="172" spans="1:1" x14ac:dyDescent="0.2">
      <c r="A172" s="1"/>
    </row>
    <row r="173" spans="1:1" x14ac:dyDescent="0.2">
      <c r="A173" s="1"/>
    </row>
    <row r="174" spans="1:1" x14ac:dyDescent="0.2">
      <c r="A174" s="1"/>
    </row>
    <row r="175" spans="1:1" x14ac:dyDescent="0.2">
      <c r="A175" s="1"/>
    </row>
    <row r="176" spans="1:1" x14ac:dyDescent="0.2">
      <c r="A176" s="1"/>
    </row>
    <row r="177" spans="1:1" x14ac:dyDescent="0.2">
      <c r="A177" s="1"/>
    </row>
    <row r="178" spans="1:1" x14ac:dyDescent="0.2">
      <c r="A178" s="1"/>
    </row>
    <row r="179" spans="1:1" x14ac:dyDescent="0.2">
      <c r="A179" s="1"/>
    </row>
    <row r="180" spans="1:1" x14ac:dyDescent="0.2">
      <c r="A180" s="1"/>
    </row>
    <row r="181" spans="1:1" x14ac:dyDescent="0.2">
      <c r="A181" s="1"/>
    </row>
    <row r="182" spans="1:1" x14ac:dyDescent="0.2">
      <c r="A182" s="1"/>
    </row>
    <row r="183" spans="1:1" x14ac:dyDescent="0.2">
      <c r="A183" s="1"/>
    </row>
    <row r="184" spans="1:1" x14ac:dyDescent="0.2">
      <c r="A184" s="1"/>
    </row>
    <row r="185" spans="1:1" x14ac:dyDescent="0.2">
      <c r="A185" s="1"/>
    </row>
    <row r="186" spans="1:1" x14ac:dyDescent="0.2">
      <c r="A186" s="1"/>
    </row>
    <row r="187" spans="1:1" x14ac:dyDescent="0.2">
      <c r="A187" s="1"/>
    </row>
    <row r="188" spans="1:1" x14ac:dyDescent="0.2">
      <c r="A188" s="1"/>
    </row>
    <row r="189" spans="1:1" x14ac:dyDescent="0.2">
      <c r="A189" s="1"/>
    </row>
    <row r="190" spans="1:1" x14ac:dyDescent="0.2">
      <c r="A190" s="1"/>
    </row>
    <row r="191" spans="1:1" x14ac:dyDescent="0.2">
      <c r="A191" s="1"/>
    </row>
    <row r="192" spans="1:1" x14ac:dyDescent="0.2">
      <c r="A192" s="1"/>
    </row>
    <row r="193" spans="1:1" x14ac:dyDescent="0.2">
      <c r="A193" s="1"/>
    </row>
    <row r="194" spans="1:1" x14ac:dyDescent="0.2">
      <c r="A194" s="1"/>
    </row>
    <row r="195" spans="1:1" x14ac:dyDescent="0.2">
      <c r="A195" s="1"/>
    </row>
    <row r="196" spans="1:1" x14ac:dyDescent="0.2">
      <c r="A196" s="1"/>
    </row>
    <row r="197" spans="1:1" x14ac:dyDescent="0.2">
      <c r="A197" s="1"/>
    </row>
    <row r="198" spans="1:1" x14ac:dyDescent="0.2">
      <c r="A198" s="1"/>
    </row>
    <row r="199" spans="1:1" x14ac:dyDescent="0.2">
      <c r="A199" s="1"/>
    </row>
    <row r="200" spans="1:1" x14ac:dyDescent="0.2">
      <c r="A200" s="1"/>
    </row>
    <row r="201" spans="1:1" x14ac:dyDescent="0.2">
      <c r="A201" s="1"/>
    </row>
    <row r="202" spans="1:1" x14ac:dyDescent="0.2">
      <c r="A202" s="1"/>
    </row>
    <row r="203" spans="1:1" x14ac:dyDescent="0.2">
      <c r="A203" s="1"/>
    </row>
    <row r="204" spans="1:1" x14ac:dyDescent="0.2">
      <c r="A204" s="1"/>
    </row>
    <row r="205" spans="1:1" x14ac:dyDescent="0.2">
      <c r="A205" s="1"/>
    </row>
    <row r="206" spans="1:1" x14ac:dyDescent="0.2">
      <c r="A206" s="1"/>
    </row>
    <row r="207" spans="1:1" x14ac:dyDescent="0.2">
      <c r="A207" s="1"/>
    </row>
    <row r="208" spans="1:1" x14ac:dyDescent="0.2">
      <c r="A208" s="1"/>
    </row>
    <row r="209" spans="1:1" x14ac:dyDescent="0.2">
      <c r="A209" s="1"/>
    </row>
    <row r="210" spans="1:1" x14ac:dyDescent="0.2">
      <c r="A210" s="1"/>
    </row>
    <row r="211" spans="1:1" x14ac:dyDescent="0.2">
      <c r="A211" s="1"/>
    </row>
    <row r="212" spans="1:1" x14ac:dyDescent="0.2">
      <c r="A212" s="1"/>
    </row>
    <row r="213" spans="1:1" x14ac:dyDescent="0.2">
      <c r="A213" s="1"/>
    </row>
    <row r="214" spans="1:1" x14ac:dyDescent="0.2">
      <c r="A214" s="1"/>
    </row>
    <row r="215" spans="1:1" x14ac:dyDescent="0.2">
      <c r="A215" s="1"/>
    </row>
    <row r="216" spans="1:1" x14ac:dyDescent="0.2">
      <c r="A216" s="1"/>
    </row>
    <row r="217" spans="1:1" x14ac:dyDescent="0.2">
      <c r="A217" s="1"/>
    </row>
    <row r="218" spans="1:1" x14ac:dyDescent="0.2">
      <c r="A218" s="1"/>
    </row>
    <row r="219" spans="1:1" x14ac:dyDescent="0.2">
      <c r="A219" s="1"/>
    </row>
    <row r="220" spans="1:1" x14ac:dyDescent="0.2">
      <c r="A220" s="1"/>
    </row>
    <row r="221" spans="1:1" x14ac:dyDescent="0.2">
      <c r="A221" s="1"/>
    </row>
    <row r="222" spans="1:1" x14ac:dyDescent="0.2">
      <c r="A222" s="1"/>
    </row>
    <row r="223" spans="1:1" x14ac:dyDescent="0.2">
      <c r="A223" s="1"/>
    </row>
    <row r="224" spans="1:1" x14ac:dyDescent="0.2">
      <c r="A224" s="1"/>
    </row>
    <row r="225" spans="1:1" x14ac:dyDescent="0.2">
      <c r="A225" s="1"/>
    </row>
    <row r="226" spans="1:1" x14ac:dyDescent="0.2">
      <c r="A226" s="1"/>
    </row>
    <row r="227" spans="1:1" x14ac:dyDescent="0.2">
      <c r="A227" s="1"/>
    </row>
    <row r="228" spans="1:1" x14ac:dyDescent="0.2">
      <c r="A228" s="1"/>
    </row>
    <row r="229" spans="1:1" x14ac:dyDescent="0.2">
      <c r="A229" s="1"/>
    </row>
    <row r="230" spans="1:1" x14ac:dyDescent="0.2">
      <c r="A230" s="1"/>
    </row>
    <row r="231" spans="1:1" x14ac:dyDescent="0.2">
      <c r="A231" s="1"/>
    </row>
    <row r="232" spans="1:1" x14ac:dyDescent="0.2">
      <c r="A232" s="1"/>
    </row>
    <row r="233" spans="1:1" x14ac:dyDescent="0.2">
      <c r="A233" s="1"/>
    </row>
    <row r="234" spans="1:1" x14ac:dyDescent="0.2">
      <c r="A234" s="1"/>
    </row>
    <row r="235" spans="1:1" x14ac:dyDescent="0.2">
      <c r="A235" s="1"/>
    </row>
    <row r="236" spans="1:1" x14ac:dyDescent="0.2">
      <c r="A236" s="1"/>
    </row>
    <row r="237" spans="1:1" x14ac:dyDescent="0.2">
      <c r="A237" s="1"/>
    </row>
    <row r="238" spans="1:1" x14ac:dyDescent="0.2">
      <c r="A238" s="1"/>
    </row>
    <row r="239" spans="1:1" x14ac:dyDescent="0.2">
      <c r="A239" s="1"/>
    </row>
    <row r="240" spans="1:1" x14ac:dyDescent="0.2">
      <c r="A240" s="1"/>
    </row>
    <row r="241" spans="1:1" x14ac:dyDescent="0.2">
      <c r="A241" s="1"/>
    </row>
    <row r="242" spans="1:1" x14ac:dyDescent="0.2">
      <c r="A242" s="1"/>
    </row>
    <row r="243" spans="1:1" x14ac:dyDescent="0.2">
      <c r="A243" s="1"/>
    </row>
    <row r="244" spans="1:1" x14ac:dyDescent="0.2">
      <c r="A244" s="1"/>
    </row>
    <row r="245" spans="1:1" x14ac:dyDescent="0.2">
      <c r="A245" s="1"/>
    </row>
    <row r="246" spans="1:1" x14ac:dyDescent="0.2">
      <c r="A246" s="1"/>
    </row>
    <row r="247" spans="1:1" x14ac:dyDescent="0.2">
      <c r="A247" s="1"/>
    </row>
    <row r="248" spans="1:1" x14ac:dyDescent="0.2">
      <c r="A248" s="1"/>
    </row>
    <row r="249" spans="1:1" x14ac:dyDescent="0.2">
      <c r="A249" s="1"/>
    </row>
    <row r="250" spans="1:1" x14ac:dyDescent="0.2">
      <c r="A250" s="1"/>
    </row>
    <row r="251" spans="1:1" x14ac:dyDescent="0.2">
      <c r="A251" s="1"/>
    </row>
    <row r="252" spans="1:1" x14ac:dyDescent="0.2">
      <c r="A252" s="1"/>
    </row>
    <row r="253" spans="1:1" x14ac:dyDescent="0.2">
      <c r="A253" s="1"/>
    </row>
    <row r="254" spans="1:1" x14ac:dyDescent="0.2">
      <c r="A254" s="1"/>
    </row>
    <row r="255" spans="1:1" x14ac:dyDescent="0.2">
      <c r="A255" s="1"/>
    </row>
    <row r="256" spans="1:1" x14ac:dyDescent="0.2">
      <c r="A256" s="1"/>
    </row>
    <row r="257" spans="1:1" x14ac:dyDescent="0.2">
      <c r="A257" s="1"/>
    </row>
    <row r="258" spans="1:1" x14ac:dyDescent="0.2">
      <c r="A258" s="1"/>
    </row>
    <row r="259" spans="1:1" x14ac:dyDescent="0.2">
      <c r="A259" s="1"/>
    </row>
    <row r="260" spans="1:1" x14ac:dyDescent="0.2">
      <c r="A260" s="1"/>
    </row>
    <row r="261" spans="1:1" x14ac:dyDescent="0.2">
      <c r="A261" s="1"/>
    </row>
    <row r="262" spans="1:1" x14ac:dyDescent="0.2">
      <c r="A262" s="1"/>
    </row>
    <row r="263" spans="1:1" x14ac:dyDescent="0.2">
      <c r="A263" s="1"/>
    </row>
    <row r="264" spans="1:1" x14ac:dyDescent="0.2">
      <c r="A264" s="1"/>
    </row>
    <row r="265" spans="1:1" x14ac:dyDescent="0.2">
      <c r="A265" s="1"/>
    </row>
    <row r="266" spans="1:1" x14ac:dyDescent="0.2">
      <c r="A266" s="1"/>
    </row>
    <row r="267" spans="1:1" x14ac:dyDescent="0.2">
      <c r="A267" s="1"/>
    </row>
    <row r="268" spans="1:1" x14ac:dyDescent="0.2">
      <c r="A268" s="1"/>
    </row>
    <row r="269" spans="1:1" x14ac:dyDescent="0.2">
      <c r="A269" s="1"/>
    </row>
    <row r="270" spans="1:1" x14ac:dyDescent="0.2">
      <c r="A270" s="1"/>
    </row>
    <row r="271" spans="1:1" x14ac:dyDescent="0.2">
      <c r="A271" s="1"/>
    </row>
    <row r="272" spans="1:1" x14ac:dyDescent="0.2">
      <c r="A272" s="1"/>
    </row>
    <row r="273" spans="1:1" x14ac:dyDescent="0.2">
      <c r="A273" s="1"/>
    </row>
    <row r="274" spans="1:1" x14ac:dyDescent="0.2">
      <c r="A274" s="1"/>
    </row>
    <row r="275" spans="1:1" x14ac:dyDescent="0.2">
      <c r="A275" s="1"/>
    </row>
    <row r="276" spans="1:1" x14ac:dyDescent="0.2">
      <c r="A276" s="1"/>
    </row>
    <row r="277" spans="1:1" x14ac:dyDescent="0.2">
      <c r="A277" s="1"/>
    </row>
    <row r="278" spans="1:1" x14ac:dyDescent="0.2">
      <c r="A278" s="1"/>
    </row>
    <row r="279" spans="1:1" x14ac:dyDescent="0.2">
      <c r="A279" s="1"/>
    </row>
    <row r="280" spans="1:1" x14ac:dyDescent="0.2">
      <c r="A280" s="1"/>
    </row>
    <row r="281" spans="1:1" x14ac:dyDescent="0.2">
      <c r="A281" s="1"/>
    </row>
    <row r="282" spans="1:1" x14ac:dyDescent="0.2">
      <c r="A282" s="1"/>
    </row>
    <row r="283" spans="1:1" x14ac:dyDescent="0.2">
      <c r="A283" s="1"/>
    </row>
    <row r="284" spans="1:1" x14ac:dyDescent="0.2">
      <c r="A284" s="1"/>
    </row>
    <row r="285" spans="1:1" x14ac:dyDescent="0.2">
      <c r="A285" s="1"/>
    </row>
    <row r="286" spans="1:1" x14ac:dyDescent="0.2">
      <c r="A286" s="1"/>
    </row>
    <row r="287" spans="1:1" x14ac:dyDescent="0.2">
      <c r="A287" s="1"/>
    </row>
    <row r="288" spans="1:1" x14ac:dyDescent="0.2">
      <c r="A288" s="1"/>
    </row>
    <row r="289" spans="1:1" x14ac:dyDescent="0.2">
      <c r="A289" s="1"/>
    </row>
    <row r="290" spans="1:1" x14ac:dyDescent="0.2">
      <c r="A290" s="1"/>
    </row>
    <row r="291" spans="1:1" x14ac:dyDescent="0.2">
      <c r="A291" s="1"/>
    </row>
    <row r="292" spans="1:1" x14ac:dyDescent="0.2">
      <c r="A292" s="1"/>
    </row>
    <row r="293" spans="1:1" x14ac:dyDescent="0.2">
      <c r="A293" s="1"/>
    </row>
    <row r="294" spans="1:1" x14ac:dyDescent="0.2">
      <c r="A294" s="1"/>
    </row>
    <row r="295" spans="1:1" x14ac:dyDescent="0.2">
      <c r="A295" s="1"/>
    </row>
    <row r="296" spans="1:1" x14ac:dyDescent="0.2">
      <c r="A296" s="1"/>
    </row>
    <row r="297" spans="1:1" x14ac:dyDescent="0.2">
      <c r="A297" s="1"/>
    </row>
    <row r="298" spans="1:1" x14ac:dyDescent="0.2">
      <c r="A298" s="1"/>
    </row>
    <row r="299" spans="1:1" x14ac:dyDescent="0.2">
      <c r="A299" s="1"/>
    </row>
    <row r="300" spans="1:1" x14ac:dyDescent="0.2">
      <c r="A300" s="1"/>
    </row>
    <row r="301" spans="1:1" x14ac:dyDescent="0.2">
      <c r="A301" s="1"/>
    </row>
    <row r="302" spans="1:1" x14ac:dyDescent="0.2">
      <c r="A302" s="1"/>
    </row>
    <row r="303" spans="1:1" x14ac:dyDescent="0.2">
      <c r="A303" s="1"/>
    </row>
    <row r="304" spans="1:1" x14ac:dyDescent="0.2">
      <c r="A304" s="1"/>
    </row>
    <row r="305" spans="1:1" x14ac:dyDescent="0.2">
      <c r="A305" s="1"/>
    </row>
    <row r="306" spans="1:1" x14ac:dyDescent="0.2">
      <c r="A306" s="1"/>
    </row>
    <row r="307" spans="1:1" x14ac:dyDescent="0.2">
      <c r="A307" s="1"/>
    </row>
    <row r="308" spans="1:1" x14ac:dyDescent="0.2">
      <c r="A308" s="1"/>
    </row>
    <row r="309" spans="1:1" x14ac:dyDescent="0.2">
      <c r="A309" s="1"/>
    </row>
    <row r="310" spans="1:1" x14ac:dyDescent="0.2">
      <c r="A310" s="1"/>
    </row>
    <row r="311" spans="1:1" x14ac:dyDescent="0.2">
      <c r="A311" s="1"/>
    </row>
    <row r="312" spans="1:1" x14ac:dyDescent="0.2">
      <c r="A312" s="1"/>
    </row>
    <row r="313" spans="1:1" x14ac:dyDescent="0.2">
      <c r="A313" s="1"/>
    </row>
    <row r="314" spans="1:1" x14ac:dyDescent="0.2">
      <c r="A314" s="1"/>
    </row>
    <row r="315" spans="1:1" x14ac:dyDescent="0.2">
      <c r="A315" s="1"/>
    </row>
    <row r="316" spans="1:1" x14ac:dyDescent="0.2">
      <c r="A316" s="1"/>
    </row>
    <row r="317" spans="1:1" x14ac:dyDescent="0.2">
      <c r="A317" s="1"/>
    </row>
    <row r="318" spans="1:1" x14ac:dyDescent="0.2">
      <c r="A318" s="1"/>
    </row>
    <row r="319" spans="1:1" x14ac:dyDescent="0.2">
      <c r="A319" s="1"/>
    </row>
    <row r="320" spans="1:1" x14ac:dyDescent="0.2">
      <c r="A320" s="1"/>
    </row>
    <row r="321" spans="1:1" x14ac:dyDescent="0.2">
      <c r="A321" s="1"/>
    </row>
    <row r="322" spans="1:1" x14ac:dyDescent="0.2">
      <c r="A322" s="1"/>
    </row>
    <row r="323" spans="1:1" x14ac:dyDescent="0.2">
      <c r="A323" s="1"/>
    </row>
    <row r="324" spans="1:1" x14ac:dyDescent="0.2">
      <c r="A324" s="1"/>
    </row>
    <row r="325" spans="1:1" x14ac:dyDescent="0.2">
      <c r="A325" s="1"/>
    </row>
    <row r="326" spans="1:1" x14ac:dyDescent="0.2">
      <c r="A326" s="1"/>
    </row>
    <row r="327" spans="1:1" x14ac:dyDescent="0.2">
      <c r="A327" s="1"/>
    </row>
    <row r="328" spans="1:1" x14ac:dyDescent="0.2">
      <c r="A328" s="1"/>
    </row>
    <row r="329" spans="1:1" x14ac:dyDescent="0.2">
      <c r="A329" s="1"/>
    </row>
    <row r="330" spans="1:1" x14ac:dyDescent="0.2">
      <c r="A330"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393E0E-4C93-9B49-9189-0F0F420450C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All_India_Index_Upto_April23 (1</vt:lpstr>
      <vt:lpstr>Inflation_Dashboard</vt:lpstr>
      <vt:lpstr>Q1_Contribution_Analysis</vt:lpstr>
      <vt:lpstr>Sheet6</vt:lpstr>
      <vt:lpstr>Sheet7</vt:lpstr>
      <vt:lpstr>Q2_YoY_Inflation_Trend</vt:lpstr>
      <vt:lpstr>Sheet2</vt:lpstr>
      <vt:lpstr>Q3_Food_Inflation</vt:lpstr>
      <vt:lpstr>Sheet8</vt:lpstr>
      <vt:lpstr>Q4_COVID_Inflation_Analysis</vt:lpstr>
      <vt:lpstr>Sheet3</vt:lpstr>
      <vt:lpstr>Sheet4</vt:lpstr>
      <vt:lpstr>Q5_Final_Insights</vt:lpstr>
      <vt:lpstr>Q3_Food_</vt:lpstr>
      <vt:lpstr>Contribution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muskaan lagwal</dc:creator>
  <cp:lastModifiedBy>muskaan lagwal</cp:lastModifiedBy>
  <dcterms:created xsi:type="dcterms:W3CDTF">2025-11-08T10:25:11Z</dcterms:created>
  <dcterms:modified xsi:type="dcterms:W3CDTF">2026-02-12T14:19:35Z</dcterms:modified>
</cp:coreProperties>
</file>